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Revenue_Forecast" sheetId="2" r:id="rId5"/>
    <sheet state="visible" name="Operating_Costs" sheetId="3" r:id="rId6"/>
    <sheet state="visible" name="EBITDA_EBIT" sheetId="4" r:id="rId7"/>
    <sheet state="visible" name="Working_Capital" sheetId="5" r:id="rId8"/>
    <sheet state="visible" name="FCFF" sheetId="6" r:id="rId9"/>
    <sheet state="visible" name="WACC_Valuation" sheetId="7" r:id="rId10"/>
    <sheet state="visible" name="APV_Valuation" sheetId="8" r:id="rId11"/>
    <sheet state="visible" name="FCFE_Valuation" sheetId="9" r:id="rId12"/>
    <sheet state="visible" name="Sensitivity_Analysis" sheetId="10" r:id="rId13"/>
    <sheet state="visible" name="Scenario_Analysis" sheetId="11" r:id="rId14"/>
    <sheet state="visible" name="Breakeven_Analysis" sheetId="12" r:id="rId15"/>
    <sheet state="visible" name="MonteCarlo" sheetId="13" r:id="rId16"/>
    <sheet state="visible" name="Tornado_Analysis" sheetId="14" r:id="rId17"/>
    <sheet state="visible" name="Leverage_Analysis" sheetId="15" r:id="rId18"/>
    <sheet state="visible" name="Appendix" sheetId="16" r:id="rId19"/>
    <sheet state="visible" name="Additional" sheetId="17" r:id="rId20"/>
  </sheets>
  <definedNames/>
  <calcPr/>
  <extLst>
    <ext uri="GoogleSheetsCustomDataVersion2">
      <go:sheetsCustomData xmlns:go="http://customooxmlschemas.google.com/" r:id="rId21" roundtripDataChecksum="vyF3E28aIShLZlsqr6wTgVuazXVkQTRaom+pILnK+VU="/>
    </ext>
  </extLst>
</workbook>
</file>

<file path=xl/sharedStrings.xml><?xml version="1.0" encoding="utf-8"?>
<sst xmlns="http://schemas.openxmlformats.org/spreadsheetml/2006/main" count="277" uniqueCount="224">
  <si>
    <t>ULTRAFAN NEO PROGRAMME - MODEL INPUTS</t>
  </si>
  <si>
    <t>1. Project Fundamentals</t>
  </si>
  <si>
    <t>Start Year</t>
  </si>
  <si>
    <t>Forecast Horizon (Years)</t>
  </si>
  <si>
    <t>Perpetual Growth Rate (g)</t>
  </si>
  <si>
    <t>Corporate Tax Rate</t>
  </si>
  <si>
    <t>2. CAPEX &amp; Depreciation</t>
  </si>
  <si>
    <t>Year 0 CAPEX (£)</t>
  </si>
  <si>
    <t>Sustaining CAPEX (Years 1-7) (£)</t>
  </si>
  <si>
    <t>Asset Useful Life (Years)</t>
  </si>
  <si>
    <t>3. Engine Revenues</t>
  </si>
  <si>
    <t>Engine List Price (£)</t>
  </si>
  <si>
    <t>Year 3 Unit Sales</t>
  </si>
  <si>
    <t>Year 7 Unit Sales</t>
  </si>
  <si>
    <t>Market Share Capture (%)</t>
  </si>
  <si>
    <t>Aftermarket £/Engine-Year</t>
  </si>
  <si>
    <t>4. Operating Costs</t>
  </si>
  <si>
    <t>Unit COGS - Early Years (£)</t>
  </si>
  <si>
    <t>Unit COGS - Mature Years (£)</t>
  </si>
  <si>
    <t>Certification Costs Year 1 (£)</t>
  </si>
  <si>
    <t>Certification Costs Year 2 (£)</t>
  </si>
  <si>
    <t>Annual Programme Mgmt Cost (£)</t>
  </si>
  <si>
    <t>Aftermarket COGS Margin (%)</t>
  </si>
  <si>
    <t>5. Working Capital</t>
  </si>
  <si>
    <t>NWC as % of Revenue</t>
  </si>
  <si>
    <t>6. Financing Inputs</t>
  </si>
  <si>
    <t>WACC (Bloomberg)</t>
  </si>
  <si>
    <t>Cost of Equity</t>
  </si>
  <si>
    <t>Cost of Debt</t>
  </si>
  <si>
    <t>Adjusted Beta</t>
  </si>
  <si>
    <t>Risk-Free Rate</t>
  </si>
  <si>
    <t>Market Risk Premium</t>
  </si>
  <si>
    <t>Project Debt as % of CAPEX</t>
  </si>
  <si>
    <t>Project Debt Amount (£)</t>
  </si>
  <si>
    <t>Amortization</t>
  </si>
  <si>
    <t>None (level debt)</t>
  </si>
  <si>
    <t>Equity Weight (%)</t>
  </si>
  <si>
    <t>Debt Weight (%)</t>
  </si>
  <si>
    <t>Year 4 Unit Sales</t>
  </si>
  <si>
    <t>Year 5 Unit Sales</t>
  </si>
  <si>
    <t>Year 6 Unit Sales</t>
  </si>
  <si>
    <t>Legacy Engine Contribution Margin (£)</t>
  </si>
  <si>
    <t>Cannibalisation Rate Y3 (%)</t>
  </si>
  <si>
    <t>Cannibalisation Rate Y4 (%)</t>
  </si>
  <si>
    <t>Cannibalisation Rate Y5 (%)</t>
  </si>
  <si>
    <t>Cannibalisation Rate Y6 (%)</t>
  </si>
  <si>
    <t>Cannibalisation Rate Y7 (%)</t>
  </si>
  <si>
    <t>Annual Facility Opportunity Cost (£)</t>
  </si>
  <si>
    <t>REVENUE FORECAST</t>
  </si>
  <si>
    <t>Year</t>
  </si>
  <si>
    <t>Engine Unit Sales</t>
  </si>
  <si>
    <t>OE Revenue (£)</t>
  </si>
  <si>
    <t>Cumulative Engines in Service</t>
  </si>
  <si>
    <t>Aftermarket Revenue (£)</t>
  </si>
  <si>
    <t>Cannibalised Units</t>
  </si>
  <si>
    <t>Lost Contribution Margin (£)</t>
  </si>
  <si>
    <t>Net Incremental Revenue (£)</t>
  </si>
  <si>
    <t>OPERATING COSTS</t>
  </si>
  <si>
    <t>Production COGS (£)</t>
  </si>
  <si>
    <t>Certification Costs (£)</t>
  </si>
  <si>
    <t>Programme Management (£)</t>
  </si>
  <si>
    <t>Aftermarket Service COGS (£)</t>
  </si>
  <si>
    <t>Facility Opportunity Cost (£)</t>
  </si>
  <si>
    <t>Total Operating Costs (£)</t>
  </si>
  <si>
    <t>EBITDA &amp; EBIT CALCULATION</t>
  </si>
  <si>
    <t>Net Incremental Revenue (GBP m)</t>
  </si>
  <si>
    <t>Total Operating Costs (GBP m)</t>
  </si>
  <si>
    <t>EBITDA (GBP m)</t>
  </si>
  <si>
    <t>Depreciation (GBP m)</t>
  </si>
  <si>
    <t>EBIT (GBP m)</t>
  </si>
  <si>
    <t>WORKING CAPITAL</t>
  </si>
  <si>
    <t>NWC Level (GBP m)</t>
  </si>
  <si>
    <t>Delta NWC (GBP m)</t>
  </si>
  <si>
    <t>FREE CASH FLOW TO FIRM (FCFF)</t>
  </si>
  <si>
    <t>Tax on EBIT (GBP m)</t>
  </si>
  <si>
    <t>NOPAT (GBP m)</t>
  </si>
  <si>
    <t>Add: Depreciation (GBP m)</t>
  </si>
  <si>
    <t>Less: CAPEX (GBP m)</t>
  </si>
  <si>
    <t>Less: Delta NWC (GBP m)</t>
  </si>
  <si>
    <t>FCFF (GBP m)</t>
  </si>
  <si>
    <t>WACC METHOD VALUATION</t>
  </si>
  <si>
    <t>Discount Factor (WACC)</t>
  </si>
  <si>
    <t>PV of FCFF (GBP m)</t>
  </si>
  <si>
    <t>Terminal Value (GBP m)</t>
  </si>
  <si>
    <t>PV of Terminal Value (GBP m)</t>
  </si>
  <si>
    <t>Sum of PV(FCFF) Years 0-7 (GBP m)</t>
  </si>
  <si>
    <t>Enterprise Value (WACC Method) (GBP m)</t>
  </si>
  <si>
    <t>NPV (WACC Method) (GBP m)</t>
  </si>
  <si>
    <t>APV METHOD VALUATION</t>
  </si>
  <si>
    <t>SECTION A: UNLEVERED PROJECT VALUE</t>
  </si>
  <si>
    <t>Unlevered Cost of Capital (r_u)</t>
  </si>
  <si>
    <t>Discount Factor (r_u)</t>
  </si>
  <si>
    <t>PV of Unlevered FCFF (GBP m)</t>
  </si>
  <si>
    <t>Unlevered Terminal Value (GBP m)</t>
  </si>
  <si>
    <t>PV of Unlevered TV (GBP m)</t>
  </si>
  <si>
    <t>Total Unlevered Project Value (GBP m)</t>
  </si>
  <si>
    <t>SECTION B: PV OF INTEREST TAX SHIELD</t>
  </si>
  <si>
    <t>Debt Outstanding (GBP m)</t>
  </si>
  <si>
    <t>Interest Expense (GBP m)</t>
  </si>
  <si>
    <t>Tax Shield (GBP m)</t>
  </si>
  <si>
    <t>Discount Factor (r_d)</t>
  </si>
  <si>
    <t>PV of Tax Shield (GBP m)</t>
  </si>
  <si>
    <t>Total PV of Tax Shield (GBP m)</t>
  </si>
  <si>
    <t>SECTION C: APV &amp; NPV</t>
  </si>
  <si>
    <t>Adjusted Present Value (APV) (GBP m)</t>
  </si>
  <si>
    <t>NPV (APV Method) (GBP m)</t>
  </si>
  <si>
    <t>FCFE METHOD VALUATION</t>
  </si>
  <si>
    <t>SECTION A: BUILD FCFE</t>
  </si>
  <si>
    <t>After-tax Interest (GBP m)</t>
  </si>
  <si>
    <t>Net Borrowing (GBP m)</t>
  </si>
  <si>
    <t>FCFE (GBP m)</t>
  </si>
  <si>
    <t>SECTION B: DISCOUNT &amp; VALUE EQUITY</t>
  </si>
  <si>
    <t>Cost of Equity (r_e)</t>
  </si>
  <si>
    <t>Discount Factor (r_e)</t>
  </si>
  <si>
    <t>PV of FCFE (GBP m)</t>
  </si>
  <si>
    <t>Equity Terminal Value (GBP m)</t>
  </si>
  <si>
    <t>PV of Equity TV (GBP m)</t>
  </si>
  <si>
    <t>Equity Value (Gross) (GBP m)</t>
  </si>
  <si>
    <t>Equity Investment (Initial) (GBP m)</t>
  </si>
  <si>
    <t>NPV (FCFE Method) (GBP m)</t>
  </si>
  <si>
    <t>Sensitivity Analysis – UltraFan Neo (WACC &amp; g)</t>
  </si>
  <si>
    <t>WACC sensitivity around Bloomberg WACC</t>
  </si>
  <si>
    <t>g sensitivity around base g</t>
  </si>
  <si>
    <t>WACC</t>
  </si>
  <si>
    <t>NPV (GBP m)</t>
  </si>
  <si>
    <t>g</t>
  </si>
  <si>
    <t>Scenario Analysis – UltraFan Neo</t>
  </si>
  <si>
    <t>Scenario</t>
  </si>
  <si>
    <t>Rev multiplier</t>
  </si>
  <si>
    <t>WACC shift (decimal)</t>
  </si>
  <si>
    <t>g shift (decimal)</t>
  </si>
  <si>
    <t>Best</t>
  </si>
  <si>
    <t>Base</t>
  </si>
  <si>
    <t>Worst</t>
  </si>
  <si>
    <t>WACC_s</t>
  </si>
  <si>
    <t>g_s</t>
  </si>
  <si>
    <t>TV (GBP m)</t>
  </si>
  <si>
    <t>FCFF7 (GBP m)</t>
  </si>
  <si>
    <t>Base FCFF (GBP m)</t>
  </si>
  <si>
    <t>Best FCFF</t>
  </si>
  <si>
    <t>Base FCFF</t>
  </si>
  <si>
    <t>Worst FCFF</t>
  </si>
  <si>
    <t>Breakeven Analysis – UltraFan Neo</t>
  </si>
  <si>
    <t>Base Year-3 net incremental revenue (GBP)</t>
  </si>
  <si>
    <t>Trial Year-3 net incremental revenue (GBP)</t>
  </si>
  <si>
    <t>Revenue scale factor</t>
  </si>
  <si>
    <t>Scaled FCFF (GBP m)</t>
  </si>
  <si>
    <t>NPV at this revenue (GBP m)</t>
  </si>
  <si>
    <t>Use Data → What-If Analysis → Goal Seek:</t>
  </si>
  <si>
    <t>Set cell B11 to 0 by changing cell B4.</t>
  </si>
  <si>
    <t>Monte Carlo Simulation – UltraFan Neo</t>
  </si>
  <si>
    <t>Base WACC</t>
  </si>
  <si>
    <t>WACC min</t>
  </si>
  <si>
    <t>WACC max</t>
  </si>
  <si>
    <t># simulations</t>
  </si>
  <si>
    <t>Summary</t>
  </si>
  <si>
    <t>Mean NPV (GBP m)</t>
  </si>
  <si>
    <t>Std Dev NPV (GBP m)</t>
  </si>
  <si>
    <t>Prob(NPV &lt; 0)</t>
  </si>
  <si>
    <t>Iteration</t>
  </si>
  <si>
    <t>Random WACC</t>
  </si>
  <si>
    <t>Tornado Sensitivity Analysis – UltraFan Neo</t>
  </si>
  <si>
    <t>Parameter</t>
  </si>
  <si>
    <t>Low</t>
  </si>
  <si>
    <t>High</t>
  </si>
  <si>
    <t>Rev Scale</t>
  </si>
  <si>
    <t>Low NPV (GBP m)</t>
  </si>
  <si>
    <t>High NPV (GBP m)</t>
  </si>
  <si>
    <t>Range (High - Low)</t>
  </si>
  <si>
    <t>Rev Low FCFF</t>
  </si>
  <si>
    <t>Rev High FCFF</t>
  </si>
  <si>
    <t>Metric</t>
  </si>
  <si>
    <t>FY2019</t>
  </si>
  <si>
    <t>FY2020</t>
  </si>
  <si>
    <t>FY2021</t>
  </si>
  <si>
    <t>FY2022</t>
  </si>
  <si>
    <t>FY2023</t>
  </si>
  <si>
    <t>FY2024</t>
  </si>
  <si>
    <t>Total Debt</t>
  </si>
  <si>
    <t>Total Equity</t>
  </si>
  <si>
    <t>Cash &amp; Cash Equivalents</t>
  </si>
  <si>
    <t>Net Debt</t>
  </si>
  <si>
    <t>Short-Term Debt</t>
  </si>
  <si>
    <t>—</t>
  </si>
  <si>
    <t>Long-Term Debt</t>
  </si>
  <si>
    <t>Debt/Equity</t>
  </si>
  <si>
    <t>N/A (neg)</t>
  </si>
  <si>
    <t>Total Debt / Total Assets</t>
  </si>
  <si>
    <t>EBITDA / Interest Expense</t>
  </si>
  <si>
    <t>EBIT / Interest Expense</t>
  </si>
  <si>
    <t>Rolls-Royce</t>
  </si>
  <si>
    <t>Safran (FR)</t>
  </si>
  <si>
    <t>GE Aero (US)</t>
  </si>
  <si>
    <t>Industry Avg.</t>
  </si>
  <si>
    <t>Solvency</t>
  </si>
  <si>
    <t>Debt / Assets</t>
  </si>
  <si>
    <t>Debt / Equity</t>
  </si>
  <si>
    <t>N/A (Neg. Eq)</t>
  </si>
  <si>
    <t>Coverage</t>
  </si>
  <si>
    <t>EBITDA / Interest</t>
  </si>
  <si>
    <t>7.6x</t>
  </si>
  <si>
    <t>34.5x</t>
  </si>
  <si>
    <t>15.0x</t>
  </si>
  <si>
    <t>12.0x</t>
  </si>
  <si>
    <t>EBIT / Interest</t>
  </si>
  <si>
    <t>6.1x</t>
  </si>
  <si>
    <t>26.2x</t>
  </si>
  <si>
    <t>12.3x</t>
  </si>
  <si>
    <t>8.7x</t>
  </si>
  <si>
    <t>Liquidity</t>
  </si>
  <si>
    <t>Net Debt position</t>
  </si>
  <si>
    <t>Net Cash (-£443m)</t>
  </si>
  <si>
    <t>Net Cash (-£1.5bn)</t>
  </si>
  <si>
    <t>Net Debt (£4.5bn)</t>
  </si>
  <si>
    <t>Structure</t>
  </si>
  <si>
    <t>Long-Term Debt %</t>
  </si>
  <si>
    <t>Financial Charts</t>
  </si>
  <si>
    <t>(All monetary values in £ millions unless otherwise stated)</t>
  </si>
  <si>
    <t>Total Shareholders’ Equity</t>
  </si>
  <si>
    <t>Debt-to-Assets (%)</t>
  </si>
  <si>
    <t>Debt-to-Equity</t>
  </si>
  <si>
    <t>N/A</t>
  </si>
  <si>
    <t>EBITDA</t>
  </si>
  <si>
    <t>Net Debt/EBITDA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</si>
</sst>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0.0%"/>
    <numFmt numFmtId="166" formatCode="0.000"/>
    <numFmt numFmtId="167" formatCode="[$£-809]#,##0.00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/>
    <font>
      <b/>
      <sz val="11.0"/>
      <color rgb="FF002060"/>
      <name val="Calibri"/>
    </font>
    <font>
      <sz val="10.0"/>
      <color theme="1"/>
      <name val="Calibri"/>
    </font>
    <font>
      <sz val="10.0"/>
      <color rgb="FF002060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EEECE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2.0"/>
      <color rgb="FFEEECE1"/>
      <name val="Calibri"/>
    </font>
    <font>
      <b/>
      <sz val="14.0"/>
      <color rgb="FFEEECE1"/>
      <name val="Calibri"/>
    </font>
    <font>
      <b/>
      <sz val="14.0"/>
      <color theme="0"/>
      <name val="Calibri"/>
    </font>
    <font>
      <b/>
      <sz val="11.0"/>
      <color theme="0"/>
      <name val="Calibri"/>
    </font>
    <font>
      <b/>
      <sz val="11.0"/>
      <color rgb="FF1F1F1F"/>
      <name val="Calibri"/>
    </font>
    <font>
      <sz val="11.0"/>
      <color rgb="FF1F1F1F"/>
      <name val="Calibri"/>
    </font>
    <font>
      <b/>
      <sz val="14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B4C7E7"/>
        <bgColor rgb="FFB4C7E7"/>
      </patternFill>
    </fill>
    <fill>
      <patternFill patternType="solid">
        <fgColor rgb="FFB8CCE4"/>
        <bgColor rgb="FFB8CCE4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1F497D"/>
        <bgColor rgb="FF1F497D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3" fillId="4" fontId="5" numFmtId="3" xfId="0" applyAlignment="1" applyBorder="1" applyFill="1" applyFont="1" applyNumberFormat="1">
      <alignment horizontal="right" vertical="center"/>
    </xf>
    <xf borderId="3" fillId="4" fontId="5" numFmtId="10" xfId="0" applyAlignment="1" applyBorder="1" applyFont="1" applyNumberFormat="1">
      <alignment horizontal="right" vertical="center"/>
    </xf>
    <xf borderId="0" fillId="0" fontId="6" numFmtId="0" xfId="0" applyFont="1"/>
    <xf borderId="3" fillId="5" fontId="7" numFmtId="0" xfId="0" applyBorder="1" applyFill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0" fillId="0" fontId="8" numFmtId="0" xfId="0" applyFont="1"/>
    <xf borderId="7" fillId="6" fontId="9" numFmtId="0" xfId="0" applyAlignment="1" applyBorder="1" applyFill="1" applyFont="1">
      <alignment horizontal="center"/>
    </xf>
    <xf borderId="0" fillId="0" fontId="6" numFmtId="3" xfId="0" applyFont="1" applyNumberFormat="1"/>
    <xf borderId="0" fillId="0" fontId="7" numFmtId="0" xfId="0" applyFont="1"/>
    <xf borderId="0" fillId="0" fontId="10" numFmtId="0" xfId="0" applyFont="1"/>
    <xf borderId="7" fillId="6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164" xfId="0" applyFont="1" applyNumberFormat="1"/>
    <xf borderId="0" fillId="0" fontId="8" numFmtId="0" xfId="0" applyAlignment="1" applyFont="1">
      <alignment horizontal="left" vertical="center"/>
    </xf>
    <xf borderId="0" fillId="0" fontId="8" numFmtId="164" xfId="0" applyFont="1" applyNumberFormat="1"/>
    <xf borderId="0" fillId="0" fontId="7" numFmtId="165" xfId="0" applyFont="1" applyNumberFormat="1"/>
    <xf borderId="7" fillId="7" fontId="1" numFmtId="0" xfId="0" applyAlignment="1" applyBorder="1" applyFill="1" applyFont="1">
      <alignment horizontal="left" vertical="center"/>
    </xf>
    <xf borderId="7" fillId="7" fontId="1" numFmtId="164" xfId="0" applyBorder="1" applyFont="1" applyNumberFormat="1"/>
    <xf borderId="0" fillId="0" fontId="7" numFmtId="166" xfId="0" applyFont="1" applyNumberFormat="1"/>
    <xf borderId="7" fillId="3" fontId="8" numFmtId="0" xfId="0" applyAlignment="1" applyBorder="1" applyFont="1">
      <alignment horizontal="left" vertical="center"/>
    </xf>
    <xf borderId="7" fillId="3" fontId="8" numFmtId="164" xfId="0" applyBorder="1" applyFont="1" applyNumberFormat="1"/>
    <xf borderId="7" fillId="7" fontId="11" numFmtId="0" xfId="0" applyAlignment="1" applyBorder="1" applyFont="1">
      <alignment horizontal="left" vertical="center"/>
    </xf>
    <xf borderId="7" fillId="7" fontId="11" numFmtId="164" xfId="0" applyBorder="1" applyFont="1" applyNumberFormat="1"/>
    <xf borderId="7" fillId="3" fontId="8" numFmtId="0" xfId="0" applyBorder="1" applyFont="1"/>
    <xf borderId="0" fillId="0" fontId="8" numFmtId="10" xfId="0" applyFont="1" applyNumberFormat="1"/>
    <xf borderId="7" fillId="7" fontId="1" numFmtId="0" xfId="0" applyBorder="1" applyFont="1"/>
    <xf borderId="7" fillId="7" fontId="11" numFmtId="0" xfId="0" applyBorder="1" applyFont="1"/>
    <xf borderId="8" fillId="6" fontId="12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7" fillId="5" fontId="7" numFmtId="0" xfId="0" applyBorder="1" applyFont="1"/>
    <xf borderId="8" fillId="6" fontId="13" numFmtId="0" xfId="0" applyAlignment="1" applyBorder="1" applyFont="1">
      <alignment horizontal="center"/>
    </xf>
    <xf borderId="0" fillId="0" fontId="6" numFmtId="167" xfId="0" applyFont="1" applyNumberFormat="1"/>
    <xf borderId="0" fillId="0" fontId="6" numFmtId="164" xfId="0" applyFont="1" applyNumberFormat="1"/>
    <xf borderId="8" fillId="8" fontId="14" numFmtId="0" xfId="0" applyAlignment="1" applyBorder="1" applyFill="1" applyFont="1">
      <alignment horizontal="center"/>
    </xf>
    <xf borderId="1" fillId="0" fontId="7" numFmtId="0" xfId="0" applyBorder="1" applyFont="1"/>
    <xf borderId="11" fillId="0" fontId="7" numFmtId="0" xfId="0" applyBorder="1" applyFont="1"/>
    <xf borderId="2" fillId="0" fontId="7" numFmtId="0" xfId="0" applyBorder="1" applyFont="1"/>
    <xf borderId="7" fillId="5" fontId="8" numFmtId="167" xfId="0" applyBorder="1" applyFont="1" applyNumberFormat="1"/>
    <xf borderId="7" fillId="8" fontId="14" numFmtId="0" xfId="0" applyBorder="1" applyFont="1"/>
    <xf borderId="3" fillId="6" fontId="15" numFmtId="0" xfId="0" applyAlignment="1" applyBorder="1" applyFont="1">
      <alignment horizontal="center"/>
    </xf>
    <xf borderId="3" fillId="0" fontId="7" numFmtId="0" xfId="0" applyBorder="1" applyFont="1"/>
    <xf borderId="3" fillId="6" fontId="15" numFmtId="0" xfId="0" applyAlignment="1" applyBorder="1" applyFont="1">
      <alignment horizontal="center" readingOrder="1" vertical="center"/>
    </xf>
    <xf borderId="3" fillId="0" fontId="16" numFmtId="0" xfId="0" applyAlignment="1" applyBorder="1" applyFont="1">
      <alignment horizontal="left" readingOrder="1" vertical="center"/>
    </xf>
    <xf borderId="3" fillId="0" fontId="17" numFmtId="0" xfId="0" applyAlignment="1" applyBorder="1" applyFont="1">
      <alignment horizontal="left" readingOrder="1" vertical="center"/>
    </xf>
    <xf borderId="3" fillId="0" fontId="16" numFmtId="10" xfId="0" applyAlignment="1" applyBorder="1" applyFont="1" applyNumberFormat="1">
      <alignment horizontal="left" readingOrder="1" vertical="center"/>
    </xf>
    <xf borderId="3" fillId="0" fontId="17" numFmtId="10" xfId="0" applyAlignment="1" applyBorder="1" applyFont="1" applyNumberFormat="1">
      <alignment horizontal="left" readingOrder="1" vertical="center"/>
    </xf>
    <xf borderId="3" fillId="0" fontId="16" numFmtId="9" xfId="0" applyAlignment="1" applyBorder="1" applyFont="1" applyNumberFormat="1">
      <alignment horizontal="left" readingOrder="1" vertical="center"/>
    </xf>
    <xf borderId="3" fillId="0" fontId="17" numFmtId="9" xfId="0" applyAlignment="1" applyBorder="1" applyFont="1" applyNumberFormat="1">
      <alignment horizontal="left" readingOrder="1" vertical="center"/>
    </xf>
    <xf borderId="0" fillId="0" fontId="18" numFmtId="0" xfId="0" applyFont="1"/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NPV Sensitivity (Tornado)</a:t>
            </a:r>
          </a:p>
        </c:rich>
      </c:tx>
      <c:overlay val="0"/>
    </c:title>
    <c:plotArea>
      <c:layout>
        <c:manualLayout>
          <c:xMode val="edge"/>
          <c:yMode val="edge"/>
          <c:x val="0.11314611111111111"/>
          <c:y val="0.0877376410422924"/>
          <c:w val="0.8023275925925925"/>
          <c:h val="0.7590613415591092"/>
        </c:manualLayout>
      </c:layout>
      <c:barChart>
        <c:barDir val="bar"/>
        <c:ser>
          <c:idx val="0"/>
          <c:order val="0"/>
          <c:tx>
            <c:v>Range (High - Low)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Tornado_Analysis!$A$11:$A$13</c:f>
            </c:strRef>
          </c:cat>
          <c:val>
            <c:numRef>
              <c:f>Tornado_Analysis!$D$11:$D$13</c:f>
              <c:numCache/>
            </c:numRef>
          </c:val>
        </c:ser>
        <c:axId val="631523692"/>
        <c:axId val="89271006"/>
      </c:barChart>
      <c:catAx>
        <c:axId val="6315236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Parameters</a:t>
                </a:r>
              </a:p>
            </c:rich>
          </c:tx>
          <c:layout>
            <c:manualLayout>
              <c:xMode val="edge"/>
              <c:yMode val="edge"/>
              <c:x val="0.018814814814814815"/>
              <c:y val="0.4253954595881700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271006"/>
      </c:catAx>
      <c:valAx>
        <c:axId val="892710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Change in NPV (GBP m)
</a:t>
                </a:r>
              </a:p>
            </c:rich>
          </c:tx>
          <c:layout>
            <c:manualLayout>
              <c:xMode val="edge"/>
              <c:yMode val="edge"/>
              <c:x val="0.3930012962962964"/>
              <c:y val="0.90580756013745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1523692"/>
        <c:crosses val="max"/>
      </c:valAx>
    </c:plotArea>
    <c:legend>
      <c:legendPos val="r"/>
      <c:layout>
        <c:manualLayout>
          <c:xMode val="edge"/>
          <c:yMode val="edge"/>
          <c:x val="0.9173399999999998"/>
          <c:y val="0.32710420218091296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Total Debt (£m)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 Debt</c:v>
          </c:tx>
          <c:spPr>
            <a:ln cmpd="sng" w="19050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Additional!$C$4:$H$4</c:f>
            </c:strRef>
          </c:cat>
          <c:val>
            <c:numRef>
              <c:f>Additional!$C$5:$H$5</c:f>
              <c:numCache/>
            </c:numRef>
          </c:val>
          <c:smooth val="0"/>
        </c:ser>
        <c:axId val="925235483"/>
        <c:axId val="2109763238"/>
      </c:lineChart>
      <c:catAx>
        <c:axId val="925235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2109763238"/>
      </c:catAx>
      <c:valAx>
        <c:axId val="21097632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Total debt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5235483"/>
      </c:valAx>
    </c:plotArea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Net Debt (£m)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Net Debt</c:v>
          </c:tx>
          <c:spPr>
            <a:ln cmpd="sng" w="19050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Additional!$C$4:$H$4</c:f>
            </c:strRef>
          </c:cat>
          <c:val>
            <c:numRef>
              <c:f>Additional!$C$9:$H$9</c:f>
              <c:numCache/>
            </c:numRef>
          </c:val>
          <c:smooth val="0"/>
        </c:ser>
        <c:axId val="898569696"/>
        <c:axId val="1006078761"/>
      </c:lineChart>
      <c:catAx>
        <c:axId val="89856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006078761"/>
      </c:catAx>
      <c:valAx>
        <c:axId val="10060787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Axis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8569696"/>
      </c:valAx>
    </c:plotArea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Total Shareholders’ Equity (£m)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 Shareholders’ Equity</c:v>
          </c:tx>
          <c:spPr>
            <a:ln cmpd="sng" w="19050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Additional!$C$4:$H$4</c:f>
            </c:strRef>
          </c:cat>
          <c:val>
            <c:numRef>
              <c:f>Additional!$C$10:$H$10</c:f>
              <c:numCache/>
            </c:numRef>
          </c:val>
          <c:smooth val="0"/>
        </c:ser>
        <c:axId val="894484783"/>
        <c:axId val="1586565886"/>
      </c:lineChart>
      <c:catAx>
        <c:axId val="894484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586565886"/>
      </c:catAx>
      <c:valAx>
        <c:axId val="158656588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Total equity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4484783"/>
      </c:valAx>
    </c:plotArea>
    <c:plotVisOnly val="1"/>
  </c:chart>
  <c:spPr>
    <a:solidFill>
      <a:schemeClr val="lt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RATIOS TREND (£m)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Debt-to-Assets (%)</c:v>
          </c:tx>
          <c:spPr>
            <a:ln cmpd="sng" w="19050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Additional!$C$4:$H$4</c:f>
            </c:strRef>
          </c:cat>
          <c:val>
            <c:numRef>
              <c:f>Additional!$C$11:$H$11</c:f>
              <c:numCache/>
            </c:numRef>
          </c:val>
          <c:smooth val="0"/>
        </c:ser>
        <c:ser>
          <c:idx val="1"/>
          <c:order val="1"/>
          <c:tx>
            <c:v>Net Debt/EBITDA</c:v>
          </c:tx>
          <c:spPr>
            <a:ln cmpd="sng" w="19050">
              <a:solidFill>
                <a:schemeClr val="accent2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Additional!$C$4:$H$4</c:f>
            </c:strRef>
          </c:cat>
          <c:val>
            <c:numRef>
              <c:f>Additional!$C$14:$H$14</c:f>
              <c:numCache/>
            </c:numRef>
          </c:val>
          <c:smooth val="0"/>
        </c:ser>
        <c:axId val="355617478"/>
        <c:axId val="2017709995"/>
      </c:lineChart>
      <c:catAx>
        <c:axId val="355617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2017709995"/>
      </c:catAx>
      <c:valAx>
        <c:axId val="20177099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ratios trend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5617478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CASH &amp; CASH EQUIVALENTS (£M)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Cash &amp; Cash Equivalents</c:v>
          </c:tx>
          <c:spPr>
            <a:ln cmpd="sng" w="19050">
              <a:solidFill>
                <a:schemeClr val="accent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Additional!$C$4:$H$4</c:f>
            </c:strRef>
          </c:cat>
          <c:val>
            <c:numRef>
              <c:f>Additional!$C$8:$H$8</c:f>
              <c:numCache/>
            </c:numRef>
          </c:val>
          <c:smooth val="0"/>
        </c:ser>
        <c:axId val="1389793136"/>
        <c:axId val="230592503"/>
      </c:lineChart>
      <c:catAx>
        <c:axId val="138979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230592503"/>
      </c:catAx>
      <c:valAx>
        <c:axId val="2305925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CASH &amp; CASH EQUIVALENTS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9793136"/>
      </c:valAx>
    </c:plotArea>
    <c:plotVisOnly val="1"/>
  </c:chart>
  <c:spPr>
    <a:solidFill>
      <a:schemeClr val="lt1"/>
    </a:solidFill>
  </c:spPr>
</c:chartSpace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409575</xdr:colOff>
      <xdr:row>3</xdr:row>
      <xdr:rowOff>0</xdr:rowOff>
    </xdr:from>
    <xdr:ext cx="5391150" cy="3695700"/>
    <xdr:graphicFrame>
      <xdr:nvGraphicFramePr>
        <xdr:cNvPr id="7721693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69</xdr:row>
      <xdr:rowOff>28575</xdr:rowOff>
    </xdr:from>
    <xdr:ext cx="1114425" cy="228600"/>
    <xdr:sp>
      <xdr:nvSpPr>
        <xdr:cNvPr id="3" name="Shape 3"/>
        <xdr:cNvSpPr txBox="1"/>
      </xdr:nvSpPr>
      <xdr:spPr>
        <a:xfrm>
          <a:off x="4788788" y="3665700"/>
          <a:ext cx="1114425" cy="228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800">
              <a:solidFill>
                <a:srgbClr val="555555"/>
              </a:solidFill>
              <a:latin typeface="Arial"/>
              <a:ea typeface="Arial"/>
              <a:cs typeface="Arial"/>
              <a:sym typeface="Arial"/>
            </a:rPr>
            <a:t>Source: Bloomberg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</xdr:row>
      <xdr:rowOff>0</xdr:rowOff>
    </xdr:from>
    <xdr:ext cx="5229225" cy="3476625"/>
    <xdr:pic>
      <xdr:nvPicPr>
        <xdr:cNvPr descr="chart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571500</xdr:colOff>
      <xdr:row>3</xdr:row>
      <xdr:rowOff>38100</xdr:rowOff>
    </xdr:from>
    <xdr:ext cx="5229225" cy="3476625"/>
    <xdr:pic>
      <xdr:nvPicPr>
        <xdr:cNvPr descr="chart.png"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5229225" cy="3476625"/>
    <xdr:pic>
      <xdr:nvPicPr>
        <xdr:cNvPr descr="chart.png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26</xdr:row>
      <xdr:rowOff>114300</xdr:rowOff>
    </xdr:from>
    <xdr:ext cx="5229225" cy="3476625"/>
    <xdr:pic>
      <xdr:nvPicPr>
        <xdr:cNvPr descr="chart.png"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47</xdr:row>
      <xdr:rowOff>123825</xdr:rowOff>
    </xdr:from>
    <xdr:ext cx="5229225" cy="3476625"/>
    <xdr:pic>
      <xdr:nvPicPr>
        <xdr:cNvPr descr="chart.png"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304800</xdr:colOff>
      <xdr:row>2</xdr:row>
      <xdr:rowOff>171450</xdr:rowOff>
    </xdr:from>
    <xdr:ext cx="4343400" cy="2724150"/>
    <xdr:graphicFrame>
      <xdr:nvGraphicFramePr>
        <xdr:cNvPr id="33957513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133350</xdr:colOff>
      <xdr:row>2</xdr:row>
      <xdr:rowOff>171450</xdr:rowOff>
    </xdr:from>
    <xdr:ext cx="4410075" cy="2743200"/>
    <xdr:graphicFrame>
      <xdr:nvGraphicFramePr>
        <xdr:cNvPr id="133910667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314325</xdr:colOff>
      <xdr:row>18</xdr:row>
      <xdr:rowOff>180975</xdr:rowOff>
    </xdr:from>
    <xdr:ext cx="4333875" cy="2705100"/>
    <xdr:graphicFrame>
      <xdr:nvGraphicFramePr>
        <xdr:cNvPr id="1427141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123825</xdr:colOff>
      <xdr:row>19</xdr:row>
      <xdr:rowOff>0</xdr:rowOff>
    </xdr:from>
    <xdr:ext cx="4419600" cy="2733675"/>
    <xdr:graphicFrame>
      <xdr:nvGraphicFramePr>
        <xdr:cNvPr id="210935698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657225</xdr:colOff>
      <xdr:row>19</xdr:row>
      <xdr:rowOff>9525</xdr:rowOff>
    </xdr:from>
    <xdr:ext cx="4486275" cy="2705100"/>
    <xdr:graphicFrame>
      <xdr:nvGraphicFramePr>
        <xdr:cNvPr id="110014203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3" width="15.0"/>
    <col customWidth="1" min="4" max="26" width="8.71"/>
  </cols>
  <sheetData>
    <row r="1" ht="14.25" customHeight="1">
      <c r="A1" s="1" t="s">
        <v>0</v>
      </c>
      <c r="B1" s="2"/>
    </row>
    <row r="2" ht="14.25" customHeight="1"/>
    <row r="3" ht="14.25" customHeight="1">
      <c r="A3" s="3" t="s">
        <v>1</v>
      </c>
    </row>
    <row r="4" ht="14.25" customHeight="1">
      <c r="A4" s="4" t="s">
        <v>2</v>
      </c>
      <c r="B4" s="5">
        <v>2026.0</v>
      </c>
    </row>
    <row r="5" ht="14.25" customHeight="1">
      <c r="A5" s="4" t="s">
        <v>3</v>
      </c>
      <c r="B5" s="5">
        <v>7.0</v>
      </c>
    </row>
    <row r="6" ht="14.25" customHeight="1">
      <c r="A6" s="4" t="s">
        <v>4</v>
      </c>
      <c r="B6" s="5">
        <v>0.025</v>
      </c>
    </row>
    <row r="7" ht="14.25" customHeight="1">
      <c r="A7" s="4" t="s">
        <v>5</v>
      </c>
      <c r="B7" s="5">
        <v>0.25</v>
      </c>
    </row>
    <row r="8" ht="14.25" customHeight="1"/>
    <row r="9" ht="14.25" customHeight="1">
      <c r="A9" s="3" t="s">
        <v>6</v>
      </c>
    </row>
    <row r="10" ht="14.25" customHeight="1">
      <c r="A10" s="4" t="s">
        <v>7</v>
      </c>
      <c r="B10" s="5">
        <v>2.5E9</v>
      </c>
    </row>
    <row r="11" ht="14.25" customHeight="1">
      <c r="A11" s="4" t="s">
        <v>8</v>
      </c>
      <c r="B11" s="5">
        <v>5.5E7</v>
      </c>
    </row>
    <row r="12" ht="14.25" customHeight="1">
      <c r="A12" s="4" t="s">
        <v>9</v>
      </c>
      <c r="B12" s="5">
        <v>12.0</v>
      </c>
    </row>
    <row r="13" ht="14.25" customHeight="1"/>
    <row r="14" ht="14.25" customHeight="1">
      <c r="A14" s="3" t="s">
        <v>10</v>
      </c>
    </row>
    <row r="15" ht="14.25" customHeight="1">
      <c r="A15" s="4" t="s">
        <v>11</v>
      </c>
      <c r="B15" s="5">
        <v>1.35E7</v>
      </c>
    </row>
    <row r="16" ht="14.25" customHeight="1">
      <c r="A16" s="4" t="s">
        <v>12</v>
      </c>
      <c r="B16" s="5">
        <v>25.0</v>
      </c>
    </row>
    <row r="17" ht="14.25" customHeight="1">
      <c r="A17" s="4" t="s">
        <v>13</v>
      </c>
      <c r="B17" s="5">
        <v>95.0</v>
      </c>
    </row>
    <row r="18" ht="14.25" customHeight="1">
      <c r="A18" s="4" t="s">
        <v>14</v>
      </c>
      <c r="B18" s="5">
        <v>0.12</v>
      </c>
    </row>
    <row r="19" ht="14.25" customHeight="1">
      <c r="A19" s="4" t="s">
        <v>15</v>
      </c>
      <c r="B19" s="5">
        <v>425000.0</v>
      </c>
    </row>
    <row r="20" ht="14.25" customHeight="1"/>
    <row r="21" ht="14.25" customHeight="1">
      <c r="A21" s="3" t="s">
        <v>16</v>
      </c>
    </row>
    <row r="22" ht="14.25" customHeight="1">
      <c r="A22" s="4" t="s">
        <v>17</v>
      </c>
      <c r="B22" s="5">
        <v>1.12E7</v>
      </c>
    </row>
    <row r="23" ht="14.25" customHeight="1">
      <c r="A23" s="4" t="s">
        <v>18</v>
      </c>
      <c r="B23" s="5">
        <v>8900000.0</v>
      </c>
    </row>
    <row r="24" ht="14.25" customHeight="1">
      <c r="A24" s="4" t="s">
        <v>19</v>
      </c>
      <c r="B24" s="5">
        <v>2.75E8</v>
      </c>
    </row>
    <row r="25" ht="14.25" customHeight="1">
      <c r="A25" s="4" t="s">
        <v>20</v>
      </c>
      <c r="B25" s="5">
        <v>1.8E8</v>
      </c>
    </row>
    <row r="26" ht="14.25" customHeight="1">
      <c r="A26" s="4" t="s">
        <v>21</v>
      </c>
      <c r="B26" s="5">
        <v>6.5E7</v>
      </c>
    </row>
    <row r="27" ht="14.25" customHeight="1">
      <c r="A27" s="4" t="s">
        <v>22</v>
      </c>
      <c r="B27" s="5">
        <v>0.38</v>
      </c>
    </row>
    <row r="28" ht="14.25" customHeight="1"/>
    <row r="29" ht="14.25" customHeight="1">
      <c r="A29" s="3" t="s">
        <v>23</v>
      </c>
    </row>
    <row r="30" ht="14.25" customHeight="1">
      <c r="A30" s="4" t="s">
        <v>24</v>
      </c>
      <c r="B30" s="5">
        <v>0.18</v>
      </c>
    </row>
    <row r="31" ht="14.25" customHeight="1"/>
    <row r="32" ht="14.25" customHeight="1">
      <c r="A32" s="3" t="s">
        <v>25</v>
      </c>
    </row>
    <row r="33" ht="14.25" customHeight="1">
      <c r="A33" s="4" t="s">
        <v>26</v>
      </c>
      <c r="B33" s="5">
        <v>0.113</v>
      </c>
    </row>
    <row r="34" ht="14.25" customHeight="1">
      <c r="A34" s="4" t="s">
        <v>27</v>
      </c>
      <c r="B34" s="5">
        <v>0.1166</v>
      </c>
    </row>
    <row r="35" ht="14.25" customHeight="1">
      <c r="A35" s="4" t="s">
        <v>28</v>
      </c>
      <c r="B35" s="6">
        <v>0.0443</v>
      </c>
    </row>
    <row r="36" ht="14.25" customHeight="1">
      <c r="A36" s="4" t="s">
        <v>29</v>
      </c>
      <c r="B36" s="5">
        <v>1.011</v>
      </c>
    </row>
    <row r="37" ht="14.25" customHeight="1">
      <c r="A37" s="4" t="s">
        <v>30</v>
      </c>
      <c r="B37" s="5">
        <v>0.0443</v>
      </c>
    </row>
    <row r="38" ht="14.25" customHeight="1">
      <c r="A38" s="4" t="s">
        <v>31</v>
      </c>
      <c r="B38" s="5">
        <v>0.0723</v>
      </c>
    </row>
    <row r="39" ht="14.25" customHeight="1">
      <c r="A39" s="7" t="s">
        <v>32</v>
      </c>
      <c r="B39" s="8">
        <v>0.06</v>
      </c>
    </row>
    <row r="40" ht="14.25" customHeight="1">
      <c r="A40" s="4" t="s">
        <v>33</v>
      </c>
      <c r="B40" s="5">
        <f>B10*B39</f>
        <v>150000000</v>
      </c>
    </row>
    <row r="41" ht="14.25" customHeight="1">
      <c r="A41" s="7" t="s">
        <v>34</v>
      </c>
      <c r="B41" s="7" t="s">
        <v>35</v>
      </c>
    </row>
    <row r="42" ht="14.25" customHeight="1">
      <c r="A42" s="7" t="s">
        <v>36</v>
      </c>
      <c r="B42" s="7">
        <v>0.944</v>
      </c>
    </row>
    <row r="43" ht="14.25" customHeight="1">
      <c r="A43" s="7" t="s">
        <v>37</v>
      </c>
      <c r="B43" s="7">
        <v>0.056</v>
      </c>
    </row>
    <row r="44" ht="14.25" customHeight="1"/>
    <row r="45" ht="14.25" customHeight="1"/>
    <row r="46" ht="14.25" customHeight="1"/>
    <row r="47" ht="14.25" customHeight="1">
      <c r="A47" s="7" t="s">
        <v>38</v>
      </c>
      <c r="B47" s="9">
        <v>45.0</v>
      </c>
    </row>
    <row r="48" ht="14.25" customHeight="1">
      <c r="A48" s="7" t="s">
        <v>39</v>
      </c>
      <c r="B48" s="10">
        <v>65.0</v>
      </c>
    </row>
    <row r="49" ht="14.25" customHeight="1">
      <c r="A49" s="7" t="s">
        <v>40</v>
      </c>
      <c r="B49" s="10">
        <v>80.0</v>
      </c>
    </row>
    <row r="50" ht="14.25" customHeight="1">
      <c r="A50" s="7" t="s">
        <v>41</v>
      </c>
      <c r="B50" s="10">
        <v>3200000.0</v>
      </c>
    </row>
    <row r="51" ht="14.25" customHeight="1">
      <c r="A51" s="7" t="s">
        <v>42</v>
      </c>
      <c r="B51" s="10">
        <v>0.15</v>
      </c>
    </row>
    <row r="52" ht="14.25" customHeight="1">
      <c r="A52" s="7" t="s">
        <v>43</v>
      </c>
      <c r="B52" s="10">
        <v>0.18</v>
      </c>
    </row>
    <row r="53" ht="14.25" customHeight="1">
      <c r="A53" s="7" t="s">
        <v>44</v>
      </c>
      <c r="B53" s="10">
        <v>0.2</v>
      </c>
    </row>
    <row r="54" ht="14.25" customHeight="1">
      <c r="A54" s="7" t="s">
        <v>45</v>
      </c>
      <c r="B54" s="10">
        <v>0.22</v>
      </c>
    </row>
    <row r="55" ht="14.25" customHeight="1">
      <c r="A55" s="7" t="s">
        <v>46</v>
      </c>
      <c r="B55" s="10">
        <v>0.25</v>
      </c>
    </row>
    <row r="56" ht="14.25" customHeight="1">
      <c r="A56" s="7" t="s">
        <v>47</v>
      </c>
      <c r="B56" s="11">
        <v>2.8E7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9" width="14.0"/>
    <col customWidth="1" min="10" max="26" width="8.71"/>
  </cols>
  <sheetData>
    <row r="1" ht="14.25" customHeight="1">
      <c r="A1" s="12" t="s">
        <v>48</v>
      </c>
    </row>
    <row r="2" ht="14.25" customHeight="1">
      <c r="A2" s="13" t="s">
        <v>49</v>
      </c>
      <c r="B2" s="13">
        <v>0.0</v>
      </c>
      <c r="C2" s="13">
        <v>1.0</v>
      </c>
      <c r="D2" s="13">
        <v>2.0</v>
      </c>
      <c r="E2" s="13">
        <v>3.0</v>
      </c>
      <c r="F2" s="13">
        <v>4.0</v>
      </c>
      <c r="G2" s="13">
        <v>5.0</v>
      </c>
      <c r="H2" s="13">
        <v>6.0</v>
      </c>
      <c r="I2" s="13">
        <v>7.0</v>
      </c>
    </row>
    <row r="3" ht="14.25" customHeight="1">
      <c r="A3" s="7" t="s">
        <v>50</v>
      </c>
      <c r="B3" s="7">
        <v>0.0</v>
      </c>
      <c r="C3" s="7">
        <v>0.0</v>
      </c>
      <c r="D3" s="7">
        <v>0.0</v>
      </c>
      <c r="E3" s="14">
        <f>Inputs!B16</f>
        <v>25</v>
      </c>
      <c r="F3" s="7">
        <f>Inputs!B47</f>
        <v>45</v>
      </c>
      <c r="G3" s="7">
        <f>Inputs!B48</f>
        <v>65</v>
      </c>
      <c r="H3" s="7">
        <f>Inputs!B49</f>
        <v>80</v>
      </c>
      <c r="I3" s="14">
        <f>Inputs!B17</f>
        <v>95</v>
      </c>
    </row>
    <row r="4" ht="14.25" customHeight="1">
      <c r="A4" s="7" t="s">
        <v>51</v>
      </c>
      <c r="B4" s="7">
        <f>B3*Inputs!$B$15</f>
        <v>0</v>
      </c>
      <c r="C4" s="7">
        <f>C3*Inputs!$B$15</f>
        <v>0</v>
      </c>
      <c r="D4" s="7">
        <f>D3*Inputs!$B$15</f>
        <v>0</v>
      </c>
      <c r="E4" s="7">
        <f>E3*Inputs!$B$15</f>
        <v>337500000</v>
      </c>
      <c r="F4" s="7">
        <f>F3*Inputs!$B$15</f>
        <v>607500000</v>
      </c>
      <c r="G4" s="7">
        <f>G3*Inputs!$B$15</f>
        <v>877500000</v>
      </c>
      <c r="H4" s="7">
        <f>H3*Inputs!$B$15</f>
        <v>1080000000</v>
      </c>
      <c r="I4" s="7">
        <f>I3*Inputs!$B$15</f>
        <v>1282500000</v>
      </c>
    </row>
    <row r="5" ht="14.25" customHeight="1">
      <c r="A5" s="7" t="s">
        <v>52</v>
      </c>
      <c r="B5" s="7">
        <v>0.0</v>
      </c>
      <c r="C5" s="7">
        <f>B3</f>
        <v>0</v>
      </c>
      <c r="D5" s="7">
        <f t="shared" ref="D5:I5" si="1">C5+C3</f>
        <v>0</v>
      </c>
      <c r="E5" s="7">
        <f t="shared" si="1"/>
        <v>0</v>
      </c>
      <c r="F5" s="14">
        <f t="shared" si="1"/>
        <v>25</v>
      </c>
      <c r="G5" s="14">
        <f t="shared" si="1"/>
        <v>70</v>
      </c>
      <c r="H5" s="14">
        <f t="shared" si="1"/>
        <v>135</v>
      </c>
      <c r="I5" s="14">
        <f t="shared" si="1"/>
        <v>215</v>
      </c>
    </row>
    <row r="6" ht="14.25" customHeight="1">
      <c r="A6" s="7" t="s">
        <v>53</v>
      </c>
      <c r="B6" s="7">
        <v>0.0</v>
      </c>
      <c r="C6" s="7">
        <v>0.0</v>
      </c>
      <c r="D6" s="7">
        <v>0.0</v>
      </c>
      <c r="E6" s="7">
        <v>0.0</v>
      </c>
      <c r="F6" s="7">
        <f>F5*Inputs!$B$19</f>
        <v>10625000</v>
      </c>
      <c r="G6" s="7">
        <f>G5*Inputs!$B$19</f>
        <v>29750000</v>
      </c>
      <c r="H6" s="7">
        <f>H5*Inputs!$B$19</f>
        <v>57375000</v>
      </c>
      <c r="I6" s="7">
        <f>I5*Inputs!$B$19</f>
        <v>91375000</v>
      </c>
    </row>
    <row r="7" ht="14.25" customHeight="1">
      <c r="A7" s="7" t="s">
        <v>54</v>
      </c>
      <c r="B7" s="7">
        <v>0.0</v>
      </c>
      <c r="C7" s="7">
        <v>0.0</v>
      </c>
      <c r="D7" s="7">
        <v>0.0</v>
      </c>
      <c r="E7" s="7">
        <f>E3*Inputs!$B$51</f>
        <v>3.75</v>
      </c>
      <c r="F7" s="7">
        <f>F3*Inputs!$B$52</f>
        <v>8.1</v>
      </c>
      <c r="G7" s="7">
        <f>G3*Inputs!$B$53</f>
        <v>13</v>
      </c>
      <c r="H7" s="7">
        <f>H3*Inputs!$B$54</f>
        <v>17.6</v>
      </c>
      <c r="I7" s="7">
        <f>I3*Inputs!$B$55</f>
        <v>23.75</v>
      </c>
    </row>
    <row r="8" ht="14.25" customHeight="1">
      <c r="A8" s="7" t="s">
        <v>55</v>
      </c>
      <c r="B8" s="7">
        <f>B7*Inputs!$B$50</f>
        <v>0</v>
      </c>
      <c r="C8" s="7">
        <f>C7*Inputs!$B$50</f>
        <v>0</v>
      </c>
      <c r="D8" s="7">
        <f>D7*Inputs!$B$50</f>
        <v>0</v>
      </c>
      <c r="E8" s="7">
        <f>E7*Inputs!$B$50</f>
        <v>12000000</v>
      </c>
      <c r="F8" s="7">
        <f>F7*Inputs!$B$50</f>
        <v>25920000</v>
      </c>
      <c r="G8" s="7">
        <f>G7*Inputs!$B$50</f>
        <v>41600000</v>
      </c>
      <c r="H8" s="7">
        <f>H7*Inputs!$B$50</f>
        <v>56320000</v>
      </c>
      <c r="I8" s="7">
        <f>I7*Inputs!$B$50</f>
        <v>76000000</v>
      </c>
    </row>
    <row r="9" ht="14.25" customHeight="1">
      <c r="A9" s="7" t="s">
        <v>56</v>
      </c>
      <c r="B9" s="7">
        <f t="shared" ref="B9:I9" si="2">B4+B6-B8</f>
        <v>0</v>
      </c>
      <c r="C9" s="7">
        <f t="shared" si="2"/>
        <v>0</v>
      </c>
      <c r="D9" s="7">
        <f t="shared" si="2"/>
        <v>0</v>
      </c>
      <c r="E9" s="7">
        <f t="shared" si="2"/>
        <v>325500000</v>
      </c>
      <c r="F9" s="7">
        <f t="shared" si="2"/>
        <v>592205000</v>
      </c>
      <c r="G9" s="7">
        <f t="shared" si="2"/>
        <v>865650000</v>
      </c>
      <c r="H9" s="7">
        <f t="shared" si="2"/>
        <v>1081055000</v>
      </c>
      <c r="I9" s="7">
        <f t="shared" si="2"/>
        <v>1297875000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9" width="14.0"/>
    <col customWidth="1" min="10" max="26" width="8.71"/>
  </cols>
  <sheetData>
    <row r="1" ht="14.25" customHeight="1">
      <c r="A1" s="15" t="s">
        <v>57</v>
      </c>
    </row>
    <row r="2" ht="14.25" customHeight="1">
      <c r="A2" s="13" t="s">
        <v>49</v>
      </c>
      <c r="B2" s="13">
        <v>0.0</v>
      </c>
      <c r="C2" s="13">
        <v>1.0</v>
      </c>
      <c r="D2" s="13">
        <v>2.0</v>
      </c>
      <c r="E2" s="13">
        <v>3.0</v>
      </c>
      <c r="F2" s="13">
        <v>4.0</v>
      </c>
      <c r="G2" s="13">
        <v>5.0</v>
      </c>
      <c r="H2" s="13">
        <v>6.0</v>
      </c>
      <c r="I2" s="13">
        <v>7.0</v>
      </c>
    </row>
    <row r="3" ht="14.25" customHeight="1">
      <c r="A3" s="7" t="s">
        <v>58</v>
      </c>
      <c r="B3" s="7">
        <v>0.0</v>
      </c>
      <c r="C3" s="7">
        <v>0.0</v>
      </c>
      <c r="D3" s="7">
        <v>0.0</v>
      </c>
      <c r="E3" s="7">
        <f>Revenue_Forecast!E3*Inputs!$B$22</f>
        <v>280000000</v>
      </c>
      <c r="F3" s="7">
        <f>Revenue_Forecast!F3*Inputs!$B$22</f>
        <v>504000000</v>
      </c>
      <c r="G3" s="7">
        <f>Revenue_Forecast!G3*Inputs!$B$23</f>
        <v>578500000</v>
      </c>
      <c r="H3" s="7">
        <f>Revenue_Forecast!H3*Inputs!$B$23</f>
        <v>712000000</v>
      </c>
      <c r="I3" s="7">
        <f>Revenue_Forecast!I3*Inputs!$B$23</f>
        <v>845500000</v>
      </c>
    </row>
    <row r="4" ht="14.25" customHeight="1">
      <c r="A4" s="7" t="s">
        <v>59</v>
      </c>
      <c r="B4" s="7">
        <v>0.0</v>
      </c>
      <c r="C4" s="14">
        <f>Inputs!$B$24</f>
        <v>275000000</v>
      </c>
      <c r="D4" s="14">
        <f>Inputs!$B$25</f>
        <v>180000000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</row>
    <row r="5" ht="14.25" customHeight="1">
      <c r="A5" s="7" t="s">
        <v>60</v>
      </c>
      <c r="B5" s="7">
        <v>0.0</v>
      </c>
      <c r="C5" s="14">
        <f>Inputs!$B$26</f>
        <v>65000000</v>
      </c>
      <c r="D5" s="14">
        <f>Inputs!$B$26</f>
        <v>65000000</v>
      </c>
      <c r="E5" s="14">
        <f>Inputs!$B$26</f>
        <v>65000000</v>
      </c>
      <c r="F5" s="14">
        <f>Inputs!$B$26</f>
        <v>65000000</v>
      </c>
      <c r="G5" s="14">
        <f>Inputs!$B$26</f>
        <v>65000000</v>
      </c>
      <c r="H5" s="14">
        <f>Inputs!$B$26</f>
        <v>65000000</v>
      </c>
      <c r="I5" s="14">
        <f>Inputs!$B$26</f>
        <v>65000000</v>
      </c>
    </row>
    <row r="6" ht="14.25" customHeight="1">
      <c r="A6" s="7" t="s">
        <v>61</v>
      </c>
      <c r="B6" s="7">
        <f>Revenue_Forecast!B6*Inputs!$B$27</f>
        <v>0</v>
      </c>
      <c r="C6" s="7">
        <f>Revenue_Forecast!C6*Inputs!$B$27</f>
        <v>0</v>
      </c>
      <c r="D6" s="7">
        <f>Revenue_Forecast!D6*Inputs!$B$27</f>
        <v>0</v>
      </c>
      <c r="E6" s="7">
        <f>Revenue_Forecast!E6*Inputs!$B$27</f>
        <v>0</v>
      </c>
      <c r="F6" s="7">
        <f>Revenue_Forecast!F6*Inputs!$B$27</f>
        <v>4037500</v>
      </c>
      <c r="G6" s="7">
        <f>Revenue_Forecast!G6*Inputs!$B$27</f>
        <v>11305000</v>
      </c>
      <c r="H6" s="7">
        <f>Revenue_Forecast!H6*Inputs!$B$27</f>
        <v>21802500</v>
      </c>
      <c r="I6" s="7">
        <f>Revenue_Forecast!I6*Inputs!$B$27</f>
        <v>34722500</v>
      </c>
    </row>
    <row r="7" ht="14.25" customHeight="1">
      <c r="A7" s="7" t="s">
        <v>62</v>
      </c>
      <c r="B7" s="7">
        <v>0.0</v>
      </c>
      <c r="C7" s="7">
        <f>Inputs!$B$56</f>
        <v>28000000</v>
      </c>
      <c r="D7" s="7">
        <f>Inputs!$B$56</f>
        <v>28000000</v>
      </c>
      <c r="E7" s="7">
        <f>Inputs!$B$56</f>
        <v>28000000</v>
      </c>
      <c r="F7" s="7">
        <f>Inputs!$B$56</f>
        <v>28000000</v>
      </c>
      <c r="G7" s="7">
        <f>Inputs!$B$56</f>
        <v>28000000</v>
      </c>
      <c r="H7" s="7">
        <f>Inputs!$B$56</f>
        <v>28000000</v>
      </c>
      <c r="I7" s="7">
        <f>Inputs!$B$56</f>
        <v>28000000</v>
      </c>
    </row>
    <row r="8" ht="14.25" customHeight="1">
      <c r="A8" s="7" t="s">
        <v>63</v>
      </c>
      <c r="B8" s="7">
        <f t="shared" ref="B8:I8" si="1">B3+B4+B5+B6+B7</f>
        <v>0</v>
      </c>
      <c r="C8" s="14">
        <f t="shared" si="1"/>
        <v>368000000</v>
      </c>
      <c r="D8" s="14">
        <f t="shared" si="1"/>
        <v>273000000</v>
      </c>
      <c r="E8" s="14">
        <f t="shared" si="1"/>
        <v>373000000</v>
      </c>
      <c r="F8" s="14">
        <f t="shared" si="1"/>
        <v>601037500</v>
      </c>
      <c r="G8" s="14">
        <f t="shared" si="1"/>
        <v>682805000</v>
      </c>
      <c r="H8" s="14">
        <f t="shared" si="1"/>
        <v>826802500</v>
      </c>
      <c r="I8" s="14">
        <f t="shared" si="1"/>
        <v>973222500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.57"/>
    <col customWidth="1" min="3" max="9" width="12.0"/>
    <col customWidth="1" min="10" max="26" width="8.71"/>
  </cols>
  <sheetData>
    <row r="1" ht="15.0" customHeight="1">
      <c r="A1" s="16" t="s">
        <v>64</v>
      </c>
    </row>
    <row r="2" ht="14.25" customHeight="1">
      <c r="A2" s="17" t="s">
        <v>49</v>
      </c>
      <c r="B2" s="17">
        <v>0.0</v>
      </c>
      <c r="C2" s="17">
        <v>1.0</v>
      </c>
      <c r="D2" s="17">
        <v>2.0</v>
      </c>
      <c r="E2" s="17">
        <v>3.0</v>
      </c>
      <c r="F2" s="17">
        <v>4.0</v>
      </c>
      <c r="G2" s="17">
        <v>5.0</v>
      </c>
      <c r="H2" s="17">
        <v>6.0</v>
      </c>
      <c r="I2" s="17">
        <v>7.0</v>
      </c>
    </row>
    <row r="3" ht="14.25" customHeight="1">
      <c r="A3" s="18" t="s">
        <v>65</v>
      </c>
      <c r="B3" s="19">
        <f>Revenue_Forecast!B9/1000000</f>
        <v>0</v>
      </c>
      <c r="C3" s="19">
        <f>Revenue_Forecast!C9/1000000</f>
        <v>0</v>
      </c>
      <c r="D3" s="19">
        <f>Revenue_Forecast!D9/1000000</f>
        <v>0</v>
      </c>
      <c r="E3" s="19">
        <f>Revenue_Forecast!E9/1000000</f>
        <v>325.5</v>
      </c>
      <c r="F3" s="19">
        <f>Revenue_Forecast!F9/1000000</f>
        <v>592.205</v>
      </c>
      <c r="G3" s="19">
        <f>Revenue_Forecast!G9/1000000</f>
        <v>865.65</v>
      </c>
      <c r="H3" s="19">
        <f>Revenue_Forecast!H9/1000000</f>
        <v>1081.055</v>
      </c>
      <c r="I3" s="19">
        <f>Revenue_Forecast!I9/1000000</f>
        <v>1297.875</v>
      </c>
    </row>
    <row r="4" ht="14.25" customHeight="1">
      <c r="A4" s="18" t="s">
        <v>66</v>
      </c>
      <c r="B4" s="19">
        <f>Operating_Costs!B8/1000000</f>
        <v>0</v>
      </c>
      <c r="C4" s="19">
        <f>Operating_Costs!C8/1000000</f>
        <v>368</v>
      </c>
      <c r="D4" s="19">
        <f>Operating_Costs!D8/1000000</f>
        <v>273</v>
      </c>
      <c r="E4" s="19">
        <f>Operating_Costs!E8/1000000</f>
        <v>373</v>
      </c>
      <c r="F4" s="19">
        <f>Operating_Costs!F8/1000000</f>
        <v>601.0375</v>
      </c>
      <c r="G4" s="19">
        <f>Operating_Costs!G8/1000000</f>
        <v>682.805</v>
      </c>
      <c r="H4" s="19">
        <f>Operating_Costs!H8/1000000</f>
        <v>826.8025</v>
      </c>
      <c r="I4" s="19">
        <f>Operating_Costs!I8/1000000</f>
        <v>973.2225</v>
      </c>
    </row>
    <row r="5" ht="14.25" customHeight="1">
      <c r="A5" s="20" t="s">
        <v>67</v>
      </c>
      <c r="B5" s="21">
        <f t="shared" ref="B5:I5" si="1">B3-B4</f>
        <v>0</v>
      </c>
      <c r="C5" s="21">
        <f t="shared" si="1"/>
        <v>-368</v>
      </c>
      <c r="D5" s="21">
        <f t="shared" si="1"/>
        <v>-273</v>
      </c>
      <c r="E5" s="21">
        <f t="shared" si="1"/>
        <v>-47.5</v>
      </c>
      <c r="F5" s="21">
        <f t="shared" si="1"/>
        <v>-8.8325</v>
      </c>
      <c r="G5" s="21">
        <f t="shared" si="1"/>
        <v>182.845</v>
      </c>
      <c r="H5" s="21">
        <f t="shared" si="1"/>
        <v>254.2525</v>
      </c>
      <c r="I5" s="21">
        <f t="shared" si="1"/>
        <v>324.6525</v>
      </c>
    </row>
    <row r="6" ht="14.25" customHeight="1">
      <c r="A6" s="18" t="s">
        <v>68</v>
      </c>
      <c r="B6" s="19">
        <v>0.0</v>
      </c>
      <c r="C6" s="19">
        <f>Inputs!$B$10/Inputs!$B$12/1000000</f>
        <v>208.3333333</v>
      </c>
      <c r="D6" s="19">
        <f>Inputs!$B$10/Inputs!$B$12/1000000</f>
        <v>208.3333333</v>
      </c>
      <c r="E6" s="19">
        <f>Inputs!$B$10/Inputs!$B$12/1000000</f>
        <v>208.3333333</v>
      </c>
      <c r="F6" s="19">
        <f>Inputs!$B$10/Inputs!$B$12/1000000</f>
        <v>208.3333333</v>
      </c>
      <c r="G6" s="19">
        <f>Inputs!$B$10/Inputs!$B$12/1000000</f>
        <v>208.3333333</v>
      </c>
      <c r="H6" s="19">
        <f>Inputs!$B$10/Inputs!$B$12/1000000</f>
        <v>208.3333333</v>
      </c>
      <c r="I6" s="19">
        <f>Inputs!$B$10/Inputs!$B$12/1000000</f>
        <v>208.3333333</v>
      </c>
    </row>
    <row r="7" ht="14.25" customHeight="1">
      <c r="A7" s="20" t="s">
        <v>69</v>
      </c>
      <c r="B7" s="21">
        <f t="shared" ref="B7:I7" si="2">B5-B6</f>
        <v>0</v>
      </c>
      <c r="C7" s="21">
        <f t="shared" si="2"/>
        <v>-576.3333333</v>
      </c>
      <c r="D7" s="21">
        <f t="shared" si="2"/>
        <v>-481.3333333</v>
      </c>
      <c r="E7" s="21">
        <f t="shared" si="2"/>
        <v>-255.8333333</v>
      </c>
      <c r="F7" s="21">
        <f t="shared" si="2"/>
        <v>-217.1658333</v>
      </c>
      <c r="G7" s="21">
        <f t="shared" si="2"/>
        <v>-25.48833333</v>
      </c>
      <c r="H7" s="21">
        <f t="shared" si="2"/>
        <v>45.91916667</v>
      </c>
      <c r="I7" s="21">
        <f t="shared" si="2"/>
        <v>116.3191667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6.0"/>
    <col customWidth="1" min="3" max="9" width="12.0"/>
    <col customWidth="1" min="10" max="26" width="8.71"/>
  </cols>
  <sheetData>
    <row r="1" ht="15.0" customHeight="1">
      <c r="A1" s="16" t="s">
        <v>70</v>
      </c>
    </row>
    <row r="2" ht="14.25" customHeight="1">
      <c r="A2" s="17" t="s">
        <v>49</v>
      </c>
      <c r="B2" s="17">
        <v>0.0</v>
      </c>
      <c r="C2" s="17">
        <v>1.0</v>
      </c>
      <c r="D2" s="17">
        <v>2.0</v>
      </c>
      <c r="E2" s="17">
        <v>3.0</v>
      </c>
      <c r="F2" s="17">
        <v>4.0</v>
      </c>
      <c r="G2" s="17">
        <v>5.0</v>
      </c>
      <c r="H2" s="17">
        <v>6.0</v>
      </c>
      <c r="I2" s="17">
        <v>7.0</v>
      </c>
    </row>
    <row r="3" ht="14.25" customHeight="1">
      <c r="A3" s="18" t="s">
        <v>65</v>
      </c>
      <c r="B3" s="19">
        <f>Revenue_Forecast!B9/1000000</f>
        <v>0</v>
      </c>
      <c r="C3" s="19">
        <f>Revenue_Forecast!C9/1000000</f>
        <v>0</v>
      </c>
      <c r="D3" s="19">
        <f>Revenue_Forecast!D9/1000000</f>
        <v>0</v>
      </c>
      <c r="E3" s="19">
        <f>Revenue_Forecast!E9/1000000</f>
        <v>325.5</v>
      </c>
      <c r="F3" s="19">
        <f>Revenue_Forecast!F9/1000000</f>
        <v>592.205</v>
      </c>
      <c r="G3" s="19">
        <f>Revenue_Forecast!G9/1000000</f>
        <v>865.65</v>
      </c>
      <c r="H3" s="19">
        <f>Revenue_Forecast!H9/1000000</f>
        <v>1081.055</v>
      </c>
      <c r="I3" s="19">
        <f>Revenue_Forecast!I9/1000000</f>
        <v>1297.875</v>
      </c>
    </row>
    <row r="4" ht="14.25" customHeight="1">
      <c r="A4" s="18" t="s">
        <v>24</v>
      </c>
      <c r="B4" s="22">
        <f>Inputs!$B$30</f>
        <v>0.18</v>
      </c>
      <c r="C4" s="22">
        <f>Inputs!$B$30</f>
        <v>0.18</v>
      </c>
      <c r="D4" s="22">
        <f>Inputs!$B$30</f>
        <v>0.18</v>
      </c>
      <c r="E4" s="22">
        <f>Inputs!$B$30</f>
        <v>0.18</v>
      </c>
      <c r="F4" s="22">
        <f>Inputs!$B$30</f>
        <v>0.18</v>
      </c>
      <c r="G4" s="22">
        <f>Inputs!$B$30</f>
        <v>0.18</v>
      </c>
      <c r="H4" s="22">
        <f>Inputs!$B$30</f>
        <v>0.18</v>
      </c>
      <c r="I4" s="22">
        <f>Inputs!$B$30</f>
        <v>0.18</v>
      </c>
    </row>
    <row r="5" ht="14.25" customHeight="1">
      <c r="A5" s="20" t="s">
        <v>71</v>
      </c>
      <c r="B5" s="21">
        <f t="shared" ref="B5:I5" si="1">B3*B4</f>
        <v>0</v>
      </c>
      <c r="C5" s="21">
        <f t="shared" si="1"/>
        <v>0</v>
      </c>
      <c r="D5" s="21">
        <f t="shared" si="1"/>
        <v>0</v>
      </c>
      <c r="E5" s="21">
        <f t="shared" si="1"/>
        <v>58.59</v>
      </c>
      <c r="F5" s="21">
        <f t="shared" si="1"/>
        <v>106.5969</v>
      </c>
      <c r="G5" s="21">
        <f t="shared" si="1"/>
        <v>155.817</v>
      </c>
      <c r="H5" s="21">
        <f t="shared" si="1"/>
        <v>194.5899</v>
      </c>
      <c r="I5" s="21">
        <f t="shared" si="1"/>
        <v>233.6175</v>
      </c>
    </row>
    <row r="6" ht="14.25" customHeight="1">
      <c r="A6" s="20" t="s">
        <v>72</v>
      </c>
      <c r="B6" s="21">
        <v>0.0</v>
      </c>
      <c r="C6" s="21">
        <f t="shared" ref="C6:I6" si="2">C5-B5</f>
        <v>0</v>
      </c>
      <c r="D6" s="21">
        <f t="shared" si="2"/>
        <v>0</v>
      </c>
      <c r="E6" s="21">
        <f t="shared" si="2"/>
        <v>58.59</v>
      </c>
      <c r="F6" s="21">
        <f t="shared" si="2"/>
        <v>48.0069</v>
      </c>
      <c r="G6" s="21">
        <f t="shared" si="2"/>
        <v>49.2201</v>
      </c>
      <c r="H6" s="21">
        <f t="shared" si="2"/>
        <v>38.7729</v>
      </c>
      <c r="I6" s="21">
        <f t="shared" si="2"/>
        <v>39.0276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9" width="12.0"/>
    <col customWidth="1" min="10" max="26" width="8.71"/>
  </cols>
  <sheetData>
    <row r="1" ht="15.0" customHeight="1">
      <c r="A1" s="16" t="s">
        <v>73</v>
      </c>
    </row>
    <row r="2" ht="14.25" customHeight="1">
      <c r="A2" s="17" t="s">
        <v>49</v>
      </c>
      <c r="B2" s="17">
        <v>0.0</v>
      </c>
      <c r="C2" s="17">
        <v>1.0</v>
      </c>
      <c r="D2" s="17">
        <v>2.0</v>
      </c>
      <c r="E2" s="17">
        <v>3.0</v>
      </c>
      <c r="F2" s="17">
        <v>4.0</v>
      </c>
      <c r="G2" s="17">
        <v>5.0</v>
      </c>
      <c r="H2" s="17">
        <v>6.0</v>
      </c>
      <c r="I2" s="17">
        <v>7.0</v>
      </c>
    </row>
    <row r="3" ht="14.25" customHeight="1">
      <c r="A3" s="18" t="s">
        <v>69</v>
      </c>
      <c r="B3" s="19">
        <f>EBITDA_EBIT!B7</f>
        <v>0</v>
      </c>
      <c r="C3" s="19">
        <f>EBITDA_EBIT!C7</f>
        <v>-576.3333333</v>
      </c>
      <c r="D3" s="19">
        <f>EBITDA_EBIT!D7</f>
        <v>-481.3333333</v>
      </c>
      <c r="E3" s="19">
        <f>EBITDA_EBIT!E7</f>
        <v>-255.8333333</v>
      </c>
      <c r="F3" s="19">
        <f>EBITDA_EBIT!F7</f>
        <v>-217.1658333</v>
      </c>
      <c r="G3" s="19">
        <f>EBITDA_EBIT!G7</f>
        <v>-25.48833333</v>
      </c>
      <c r="H3" s="19">
        <f>EBITDA_EBIT!H7</f>
        <v>45.91916667</v>
      </c>
      <c r="I3" s="19">
        <f>EBITDA_EBIT!I7</f>
        <v>116.3191667</v>
      </c>
    </row>
    <row r="4" ht="14.25" customHeight="1">
      <c r="A4" s="18" t="s">
        <v>74</v>
      </c>
      <c r="B4" s="19">
        <f>B3*Inputs!$B$7</f>
        <v>0</v>
      </c>
      <c r="C4" s="19">
        <f>C3*Inputs!$B$7</f>
        <v>-144.0833333</v>
      </c>
      <c r="D4" s="19">
        <f>D3*Inputs!$B$7</f>
        <v>-120.3333333</v>
      </c>
      <c r="E4" s="19">
        <f>E3*Inputs!$B$7</f>
        <v>-63.95833333</v>
      </c>
      <c r="F4" s="19">
        <f>F3*Inputs!$B$7</f>
        <v>-54.29145833</v>
      </c>
      <c r="G4" s="19">
        <f>G3*Inputs!$B$7</f>
        <v>-6.372083333</v>
      </c>
      <c r="H4" s="19">
        <f>H3*Inputs!$B$7</f>
        <v>11.47979167</v>
      </c>
      <c r="I4" s="19">
        <f>I3*Inputs!$B$7</f>
        <v>29.07979167</v>
      </c>
    </row>
    <row r="5" ht="14.25" customHeight="1">
      <c r="A5" s="20" t="s">
        <v>75</v>
      </c>
      <c r="B5" s="21">
        <f t="shared" ref="B5:I5" si="1">B3-B4</f>
        <v>0</v>
      </c>
      <c r="C5" s="21">
        <f t="shared" si="1"/>
        <v>-432.25</v>
      </c>
      <c r="D5" s="21">
        <f t="shared" si="1"/>
        <v>-361</v>
      </c>
      <c r="E5" s="21">
        <f t="shared" si="1"/>
        <v>-191.875</v>
      </c>
      <c r="F5" s="21">
        <f t="shared" si="1"/>
        <v>-162.874375</v>
      </c>
      <c r="G5" s="21">
        <f t="shared" si="1"/>
        <v>-19.11625</v>
      </c>
      <c r="H5" s="21">
        <f t="shared" si="1"/>
        <v>34.439375</v>
      </c>
      <c r="I5" s="21">
        <f t="shared" si="1"/>
        <v>87.239375</v>
      </c>
    </row>
    <row r="6" ht="14.25" customHeight="1">
      <c r="A6" s="18" t="s">
        <v>76</v>
      </c>
      <c r="B6" s="19">
        <f>EBITDA_EBIT!B6</f>
        <v>0</v>
      </c>
      <c r="C6" s="19">
        <f>EBITDA_EBIT!C6</f>
        <v>208.3333333</v>
      </c>
      <c r="D6" s="19">
        <f>EBITDA_EBIT!D6</f>
        <v>208.3333333</v>
      </c>
      <c r="E6" s="19">
        <f>EBITDA_EBIT!E6</f>
        <v>208.3333333</v>
      </c>
      <c r="F6" s="19">
        <f>EBITDA_EBIT!F6</f>
        <v>208.3333333</v>
      </c>
      <c r="G6" s="19">
        <f>EBITDA_EBIT!G6</f>
        <v>208.3333333</v>
      </c>
      <c r="H6" s="19">
        <f>EBITDA_EBIT!H6</f>
        <v>208.3333333</v>
      </c>
      <c r="I6" s="19">
        <f>EBITDA_EBIT!I6</f>
        <v>208.3333333</v>
      </c>
    </row>
    <row r="7" ht="14.25" customHeight="1">
      <c r="A7" s="18" t="s">
        <v>77</v>
      </c>
      <c r="B7" s="19">
        <f>-Inputs!B10/1000000</f>
        <v>-2500</v>
      </c>
      <c r="C7" s="19">
        <f>-Inputs!B11/1000000</f>
        <v>-55</v>
      </c>
      <c r="D7" s="19">
        <f>-Inputs!B11/1000000</f>
        <v>-55</v>
      </c>
      <c r="E7" s="19">
        <f>-Inputs!B11/1000000</f>
        <v>-55</v>
      </c>
      <c r="F7" s="19">
        <f>-Inputs!B11/1000000</f>
        <v>-55</v>
      </c>
      <c r="G7" s="19">
        <f>-Inputs!B11/1000000</f>
        <v>-55</v>
      </c>
      <c r="H7" s="19">
        <f>-Inputs!B11/1000000</f>
        <v>-55</v>
      </c>
      <c r="I7" s="19">
        <f>-Inputs!B11/1000000</f>
        <v>-55</v>
      </c>
    </row>
    <row r="8" ht="14.25" customHeight="1">
      <c r="A8" s="18" t="s">
        <v>78</v>
      </c>
      <c r="B8" s="19">
        <f>Working_Capital!B6</f>
        <v>0</v>
      </c>
      <c r="C8" s="19">
        <f>Working_Capital!C6</f>
        <v>0</v>
      </c>
      <c r="D8" s="19">
        <f>Working_Capital!D6</f>
        <v>0</v>
      </c>
      <c r="E8" s="19">
        <f>Working_Capital!E6</f>
        <v>58.59</v>
      </c>
      <c r="F8" s="19">
        <f>Working_Capital!F6</f>
        <v>48.0069</v>
      </c>
      <c r="G8" s="19">
        <f>Working_Capital!G6</f>
        <v>49.2201</v>
      </c>
      <c r="H8" s="19">
        <f>Working_Capital!H6</f>
        <v>38.7729</v>
      </c>
      <c r="I8" s="19">
        <f>Working_Capital!I6</f>
        <v>39.0276</v>
      </c>
    </row>
    <row r="9" ht="14.25" customHeight="1">
      <c r="A9" s="23" t="s">
        <v>79</v>
      </c>
      <c r="B9" s="24">
        <f t="shared" ref="B9:I9" si="2">B5+B6+B7-B8</f>
        <v>-2500</v>
      </c>
      <c r="C9" s="24">
        <f t="shared" si="2"/>
        <v>-278.9166667</v>
      </c>
      <c r="D9" s="24">
        <f t="shared" si="2"/>
        <v>-207.6666667</v>
      </c>
      <c r="E9" s="24">
        <f t="shared" si="2"/>
        <v>-97.13166667</v>
      </c>
      <c r="F9" s="24">
        <f t="shared" si="2"/>
        <v>-57.54794167</v>
      </c>
      <c r="G9" s="24">
        <f t="shared" si="2"/>
        <v>84.99698333</v>
      </c>
      <c r="H9" s="24">
        <f t="shared" si="2"/>
        <v>148.9998083</v>
      </c>
      <c r="I9" s="24">
        <f t="shared" si="2"/>
        <v>201.5451083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9" width="12.0"/>
    <col customWidth="1" min="10" max="26" width="8.71"/>
  </cols>
  <sheetData>
    <row r="1" ht="15.0" customHeight="1">
      <c r="A1" s="16" t="s">
        <v>80</v>
      </c>
    </row>
    <row r="2" ht="14.25" customHeight="1">
      <c r="A2" s="17" t="s">
        <v>49</v>
      </c>
      <c r="B2" s="17">
        <v>0.0</v>
      </c>
      <c r="C2" s="17">
        <v>1.0</v>
      </c>
      <c r="D2" s="17">
        <v>2.0</v>
      </c>
      <c r="E2" s="17">
        <v>3.0</v>
      </c>
      <c r="F2" s="17">
        <v>4.0</v>
      </c>
      <c r="G2" s="17">
        <v>5.0</v>
      </c>
      <c r="H2" s="17">
        <v>6.0</v>
      </c>
      <c r="I2" s="17">
        <v>7.0</v>
      </c>
    </row>
    <row r="3" ht="14.25" customHeight="1">
      <c r="A3" s="18" t="s">
        <v>79</v>
      </c>
      <c r="B3" s="19">
        <f>FCFF!B9</f>
        <v>-2500</v>
      </c>
      <c r="C3" s="19">
        <f>FCFF!C9</f>
        <v>-278.9166667</v>
      </c>
      <c r="D3" s="19">
        <f>FCFF!D9</f>
        <v>-207.6666667</v>
      </c>
      <c r="E3" s="19">
        <f>FCFF!E9</f>
        <v>-97.13166667</v>
      </c>
      <c r="F3" s="19">
        <f>FCFF!F9</f>
        <v>-57.54794167</v>
      </c>
      <c r="G3" s="19">
        <f>FCFF!G9</f>
        <v>84.99698333</v>
      </c>
      <c r="H3" s="19">
        <f>FCFF!H9</f>
        <v>148.9998083</v>
      </c>
      <c r="I3" s="19">
        <f>FCFF!I9</f>
        <v>201.5451083</v>
      </c>
    </row>
    <row r="4" ht="14.25" customHeight="1">
      <c r="A4" s="18" t="s">
        <v>81</v>
      </c>
      <c r="B4" s="25">
        <f>1/((1+Inputs!$B$33)^0)</f>
        <v>1</v>
      </c>
      <c r="C4" s="25">
        <f>1/((1+Inputs!$B$33)^1)</f>
        <v>0.8984725966</v>
      </c>
      <c r="D4" s="25">
        <f>1/((1+Inputs!$B$33)^2)</f>
        <v>0.8072530068</v>
      </c>
      <c r="E4" s="25">
        <f>1/((1+Inputs!$B$33)^3)</f>
        <v>0.7252947051</v>
      </c>
      <c r="F4" s="25">
        <f>1/((1+Inputs!$B$33)^4)</f>
        <v>0.651657417</v>
      </c>
      <c r="G4" s="25">
        <f>1/((1+Inputs!$B$33)^5)</f>
        <v>0.5854963315</v>
      </c>
      <c r="H4" s="25">
        <f>1/((1+Inputs!$B$33)^6)</f>
        <v>0.5260524093</v>
      </c>
      <c r="I4" s="25">
        <f>1/((1+Inputs!$B$33)^7)</f>
        <v>0.4726436741</v>
      </c>
    </row>
    <row r="5" ht="14.25" customHeight="1">
      <c r="A5" s="20" t="s">
        <v>82</v>
      </c>
      <c r="B5" s="21">
        <f t="shared" ref="B5:I5" si="1">B3*B4</f>
        <v>-2500</v>
      </c>
      <c r="C5" s="21">
        <f t="shared" si="1"/>
        <v>-250.5989817</v>
      </c>
      <c r="D5" s="21">
        <f t="shared" si="1"/>
        <v>-167.6395411</v>
      </c>
      <c r="E5" s="21">
        <f t="shared" si="1"/>
        <v>-70.44908353</v>
      </c>
      <c r="F5" s="21">
        <f t="shared" si="1"/>
        <v>-37.50154302</v>
      </c>
      <c r="G5" s="21">
        <f t="shared" si="1"/>
        <v>49.76542193</v>
      </c>
      <c r="H5" s="21">
        <f t="shared" si="1"/>
        <v>78.38170816</v>
      </c>
      <c r="I5" s="21">
        <f t="shared" si="1"/>
        <v>95.2590205</v>
      </c>
    </row>
    <row r="6" ht="14.25" customHeight="1"/>
    <row r="7" ht="14.25" customHeight="1">
      <c r="A7" s="18" t="s">
        <v>83</v>
      </c>
      <c r="I7" s="21">
        <f>I3*(1+Inputs!$B$6)/(Inputs!$B$33-Inputs!$B$6)</f>
        <v>2347.542455</v>
      </c>
    </row>
    <row r="8" ht="14.25" customHeight="1">
      <c r="A8" s="18" t="s">
        <v>84</v>
      </c>
      <c r="I8" s="21">
        <f>I7*I4</f>
        <v>1109.551091</v>
      </c>
    </row>
    <row r="9" ht="14.25" customHeight="1"/>
    <row r="10" ht="14.25" customHeight="1">
      <c r="A10" s="18" t="s">
        <v>85</v>
      </c>
      <c r="B10" s="19">
        <f>SUM(B5:I5)</f>
        <v>-2802.782999</v>
      </c>
    </row>
    <row r="11" ht="14.25" customHeight="1">
      <c r="A11" s="18" t="s">
        <v>84</v>
      </c>
      <c r="B11" s="19">
        <f>I8</f>
        <v>1109.551091</v>
      </c>
    </row>
    <row r="12" ht="14.25" customHeight="1"/>
    <row r="13" ht="14.25" customHeight="1">
      <c r="A13" s="26" t="s">
        <v>86</v>
      </c>
      <c r="B13" s="27">
        <f>B10+B11</f>
        <v>-1693.231908</v>
      </c>
    </row>
    <row r="14" ht="14.25" customHeight="1"/>
    <row r="15" ht="15.0" customHeight="1">
      <c r="A15" s="28" t="s">
        <v>87</v>
      </c>
      <c r="B15" s="29">
        <f>B13</f>
        <v>-1693.231908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9" width="12.0"/>
    <col customWidth="1" min="10" max="26" width="8.71"/>
  </cols>
  <sheetData>
    <row r="1" ht="15.0" customHeight="1">
      <c r="A1" s="16" t="s">
        <v>88</v>
      </c>
    </row>
    <row r="2" ht="14.25" customHeight="1">
      <c r="A2" s="17" t="s">
        <v>49</v>
      </c>
      <c r="B2" s="17">
        <v>0.0</v>
      </c>
      <c r="C2" s="17">
        <v>1.0</v>
      </c>
      <c r="D2" s="17">
        <v>2.0</v>
      </c>
      <c r="E2" s="17">
        <v>3.0</v>
      </c>
      <c r="F2" s="17">
        <v>4.0</v>
      </c>
      <c r="G2" s="17">
        <v>5.0</v>
      </c>
      <c r="H2" s="17">
        <v>6.0</v>
      </c>
      <c r="I2" s="17">
        <v>7.0</v>
      </c>
    </row>
    <row r="3" ht="14.25" customHeight="1">
      <c r="A3" s="30" t="s">
        <v>89</v>
      </c>
    </row>
    <row r="4" ht="14.25" customHeight="1">
      <c r="A4" s="15" t="s">
        <v>90</v>
      </c>
      <c r="B4" s="31">
        <f>Inputs!$B$33+(Inputs!$B$43*Inputs!$B$35*Inputs!$B$7)</f>
        <v>0.1136202</v>
      </c>
    </row>
    <row r="5" ht="14.25" customHeight="1">
      <c r="A5" s="15" t="s">
        <v>79</v>
      </c>
      <c r="B5" s="19">
        <f>FCFF!B9</f>
        <v>-2500</v>
      </c>
      <c r="C5" s="19">
        <f>FCFF!C9</f>
        <v>-278.9166667</v>
      </c>
      <c r="D5" s="19">
        <f>FCFF!D9</f>
        <v>-207.6666667</v>
      </c>
      <c r="E5" s="19">
        <f>FCFF!E9</f>
        <v>-97.13166667</v>
      </c>
      <c r="F5" s="19">
        <f>FCFF!F9</f>
        <v>-57.54794167</v>
      </c>
      <c r="G5" s="19">
        <f>FCFF!G9</f>
        <v>84.99698333</v>
      </c>
      <c r="H5" s="19">
        <f>FCFF!H9</f>
        <v>148.9998083</v>
      </c>
      <c r="I5" s="19">
        <f>FCFF!I9</f>
        <v>201.5451083</v>
      </c>
    </row>
    <row r="6" ht="14.25" customHeight="1">
      <c r="A6" s="15" t="s">
        <v>91</v>
      </c>
      <c r="B6" s="25">
        <f>1/((1+$B$4)^0)</f>
        <v>1</v>
      </c>
      <c r="C6" s="25">
        <f>1/((1+$B$4)^1)</f>
        <v>0.8979722171</v>
      </c>
      <c r="D6" s="25">
        <f>1/((1+$B$4)^2)</f>
        <v>0.8063541027</v>
      </c>
      <c r="E6" s="25">
        <f>1/((1+$B$4)^3)</f>
        <v>0.7240835814</v>
      </c>
      <c r="F6" s="25">
        <f>1/((1+$B$4)^4)</f>
        <v>0.6502069389</v>
      </c>
      <c r="G6" s="25">
        <f>1/((1+$B$4)^5)</f>
        <v>0.5838677665</v>
      </c>
      <c r="H6" s="25">
        <f>1/((1+$B$4)^6)</f>
        <v>0.5242970328</v>
      </c>
      <c r="I6" s="25">
        <f>1/((1+$B$4)^7)</f>
        <v>0.4708041689</v>
      </c>
    </row>
    <row r="7" ht="14.25" customHeight="1">
      <c r="A7" s="12" t="s">
        <v>92</v>
      </c>
      <c r="B7" s="21">
        <f t="shared" ref="B7:I7" si="1">B5*B6</f>
        <v>-2500</v>
      </c>
      <c r="C7" s="21">
        <f t="shared" si="1"/>
        <v>-250.4594176</v>
      </c>
      <c r="D7" s="21">
        <f t="shared" si="1"/>
        <v>-167.4528687</v>
      </c>
      <c r="E7" s="21">
        <f t="shared" si="1"/>
        <v>-70.33144506</v>
      </c>
      <c r="F7" s="21">
        <f t="shared" si="1"/>
        <v>-37.41807099</v>
      </c>
      <c r="G7" s="21">
        <f t="shared" si="1"/>
        <v>49.62699882</v>
      </c>
      <c r="H7" s="21">
        <f t="shared" si="1"/>
        <v>78.12015739</v>
      </c>
      <c r="I7" s="21">
        <f t="shared" si="1"/>
        <v>94.88827723</v>
      </c>
    </row>
    <row r="8" ht="14.25" customHeight="1"/>
    <row r="9" ht="14.25" customHeight="1">
      <c r="A9" s="15" t="s">
        <v>93</v>
      </c>
      <c r="I9" s="21">
        <f>I5*(1+Inputs!$B$6)/($B$4-Inputs!$B$6)</f>
        <v>2331.113404</v>
      </c>
    </row>
    <row r="10" ht="14.25" customHeight="1">
      <c r="A10" s="15" t="s">
        <v>94</v>
      </c>
      <c r="I10" s="21">
        <f>I9*I6</f>
        <v>1097.497909</v>
      </c>
    </row>
    <row r="11" ht="14.25" customHeight="1"/>
    <row r="12" ht="14.25" customHeight="1">
      <c r="A12" s="30" t="s">
        <v>95</v>
      </c>
      <c r="B12" s="27">
        <f>SUM(B7:I7)+I10</f>
        <v>-1705.52846</v>
      </c>
    </row>
    <row r="13" ht="14.25" customHeight="1"/>
    <row r="14" ht="14.25" customHeight="1">
      <c r="A14" s="30" t="s">
        <v>96</v>
      </c>
    </row>
    <row r="15" ht="14.25" customHeight="1">
      <c r="A15" s="15" t="s">
        <v>97</v>
      </c>
      <c r="B15" s="19">
        <f>Inputs!$B$40/1000000</f>
        <v>150</v>
      </c>
      <c r="C15" s="19">
        <f>Inputs!$B$40/1000000</f>
        <v>150</v>
      </c>
      <c r="D15" s="19">
        <f>Inputs!$B$40/1000000</f>
        <v>150</v>
      </c>
      <c r="E15" s="19">
        <f>Inputs!$B$40/1000000</f>
        <v>150</v>
      </c>
      <c r="F15" s="19">
        <f>Inputs!$B$40/1000000</f>
        <v>150</v>
      </c>
      <c r="G15" s="19">
        <f>Inputs!$B$40/1000000</f>
        <v>150</v>
      </c>
      <c r="H15" s="19">
        <f>Inputs!$B$40/1000000</f>
        <v>150</v>
      </c>
      <c r="I15" s="19">
        <f>Inputs!$B$40/1000000</f>
        <v>150</v>
      </c>
    </row>
    <row r="16" ht="14.25" customHeight="1">
      <c r="A16" s="15" t="s">
        <v>98</v>
      </c>
      <c r="B16" s="19">
        <v>0.0</v>
      </c>
      <c r="C16" s="19">
        <f>C15*Inputs!$B$35</f>
        <v>6.645</v>
      </c>
      <c r="D16" s="19">
        <f>D15*Inputs!$B$35</f>
        <v>6.645</v>
      </c>
      <c r="E16" s="19">
        <f>E15*Inputs!$B$35</f>
        <v>6.645</v>
      </c>
      <c r="F16" s="19">
        <f>F15*Inputs!$B$35</f>
        <v>6.645</v>
      </c>
      <c r="G16" s="19">
        <f>G15*Inputs!$B$35</f>
        <v>6.645</v>
      </c>
      <c r="H16" s="19">
        <f>H15*Inputs!$B$35</f>
        <v>6.645</v>
      </c>
      <c r="I16" s="19">
        <f>I15*Inputs!$B$35</f>
        <v>6.645</v>
      </c>
    </row>
    <row r="17" ht="14.25" customHeight="1">
      <c r="A17" s="15" t="s">
        <v>99</v>
      </c>
      <c r="B17" s="19">
        <f>B16*Inputs!$B$7</f>
        <v>0</v>
      </c>
      <c r="C17" s="19">
        <f>C16*Inputs!$B$7</f>
        <v>1.66125</v>
      </c>
      <c r="D17" s="19">
        <f>D16*Inputs!$B$7</f>
        <v>1.66125</v>
      </c>
      <c r="E17" s="19">
        <f>E16*Inputs!$B$7</f>
        <v>1.66125</v>
      </c>
      <c r="F17" s="19">
        <f>F16*Inputs!$B$7</f>
        <v>1.66125</v>
      </c>
      <c r="G17" s="19">
        <f>G16*Inputs!$B$7</f>
        <v>1.66125</v>
      </c>
      <c r="H17" s="19">
        <f>H16*Inputs!$B$7</f>
        <v>1.66125</v>
      </c>
      <c r="I17" s="19">
        <f>I16*Inputs!$B$7</f>
        <v>1.66125</v>
      </c>
    </row>
    <row r="18" ht="14.25" customHeight="1">
      <c r="A18" s="15" t="s">
        <v>100</v>
      </c>
      <c r="B18" s="25">
        <f>1/((1+Inputs!$B$35)^0)</f>
        <v>1</v>
      </c>
      <c r="C18" s="25">
        <f>1/((1+Inputs!$B$35)^1)</f>
        <v>0.9575792397</v>
      </c>
      <c r="D18" s="25">
        <f>1/((1+Inputs!$B$35)^2)</f>
        <v>0.9169580003</v>
      </c>
      <c r="E18" s="25">
        <f>1/((1+Inputs!$B$35)^3)</f>
        <v>0.8780599447</v>
      </c>
      <c r="F18" s="25">
        <f>1/((1+Inputs!$B$35)^4)</f>
        <v>0.8408119743</v>
      </c>
      <c r="G18" s="25">
        <f>1/((1+Inputs!$B$35)^5)</f>
        <v>0.805144091</v>
      </c>
      <c r="H18" s="25">
        <f>1/((1+Inputs!$B$35)^6)</f>
        <v>0.7709892665</v>
      </c>
      <c r="I18" s="25">
        <f>1/((1+Inputs!$B$35)^7)</f>
        <v>0.7382833156</v>
      </c>
    </row>
    <row r="19" ht="14.25" customHeight="1">
      <c r="A19" s="12" t="s">
        <v>101</v>
      </c>
      <c r="B19" s="21">
        <f t="shared" ref="B19:I19" si="2">B17*B18</f>
        <v>0</v>
      </c>
      <c r="C19" s="21">
        <f t="shared" si="2"/>
        <v>1.590778512</v>
      </c>
      <c r="D19" s="21">
        <f t="shared" si="2"/>
        <v>1.523296478</v>
      </c>
      <c r="E19" s="21">
        <f t="shared" si="2"/>
        <v>1.458677083</v>
      </c>
      <c r="F19" s="21">
        <f t="shared" si="2"/>
        <v>1.396798892</v>
      </c>
      <c r="G19" s="21">
        <f t="shared" si="2"/>
        <v>1.337545621</v>
      </c>
      <c r="H19" s="21">
        <f t="shared" si="2"/>
        <v>1.280805919</v>
      </c>
      <c r="I19" s="21">
        <f t="shared" si="2"/>
        <v>1.226473158</v>
      </c>
    </row>
    <row r="20" ht="14.25" customHeight="1"/>
    <row r="21" ht="14.25" customHeight="1">
      <c r="A21" s="30" t="s">
        <v>102</v>
      </c>
      <c r="B21" s="27">
        <f>SUM(B19:I19)</f>
        <v>9.814375664</v>
      </c>
    </row>
    <row r="22" ht="14.25" customHeight="1"/>
    <row r="23" ht="14.25" customHeight="1">
      <c r="A23" s="30" t="s">
        <v>103</v>
      </c>
    </row>
    <row r="24" ht="14.25" customHeight="1">
      <c r="A24" s="32" t="s">
        <v>104</v>
      </c>
      <c r="B24" s="24">
        <f>B12+B21</f>
        <v>-1695.714084</v>
      </c>
    </row>
    <row r="25" ht="14.25" customHeight="1"/>
    <row r="26" ht="15.0" customHeight="1">
      <c r="A26" s="33" t="s">
        <v>105</v>
      </c>
      <c r="B26" s="29">
        <f>B24</f>
        <v>-1695.714084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9" width="12.0"/>
    <col customWidth="1" min="10" max="26" width="8.71"/>
  </cols>
  <sheetData>
    <row r="1" ht="15.0" customHeight="1">
      <c r="A1" s="16" t="s">
        <v>106</v>
      </c>
    </row>
    <row r="2" ht="14.25" customHeight="1">
      <c r="A2" s="17" t="s">
        <v>49</v>
      </c>
      <c r="B2" s="17">
        <v>0.0</v>
      </c>
      <c r="C2" s="17">
        <v>1.0</v>
      </c>
      <c r="D2" s="17">
        <v>2.0</v>
      </c>
      <c r="E2" s="17">
        <v>3.0</v>
      </c>
      <c r="F2" s="17">
        <v>4.0</v>
      </c>
      <c r="G2" s="17">
        <v>5.0</v>
      </c>
      <c r="H2" s="17">
        <v>6.0</v>
      </c>
      <c r="I2" s="17">
        <v>7.0</v>
      </c>
    </row>
    <row r="3" ht="14.25" customHeight="1">
      <c r="A3" s="30" t="s">
        <v>107</v>
      </c>
    </row>
    <row r="4" ht="14.25" customHeight="1">
      <c r="A4" s="15" t="s">
        <v>79</v>
      </c>
      <c r="B4" s="19">
        <f>FCFF!B9</f>
        <v>-2500</v>
      </c>
      <c r="C4" s="19">
        <f>FCFF!C9</f>
        <v>-278.9166667</v>
      </c>
      <c r="D4" s="19">
        <f>FCFF!D9</f>
        <v>-207.6666667</v>
      </c>
      <c r="E4" s="19">
        <f>FCFF!E9</f>
        <v>-97.13166667</v>
      </c>
      <c r="F4" s="19">
        <f>FCFF!F9</f>
        <v>-57.54794167</v>
      </c>
      <c r="G4" s="19">
        <f>FCFF!G9</f>
        <v>84.99698333</v>
      </c>
      <c r="H4" s="19">
        <f>FCFF!H9</f>
        <v>148.9998083</v>
      </c>
      <c r="I4" s="19">
        <f>FCFF!I9</f>
        <v>201.5451083</v>
      </c>
    </row>
    <row r="5" ht="14.25" customHeight="1">
      <c r="A5" s="15" t="s">
        <v>98</v>
      </c>
      <c r="B5" s="19">
        <v>0.0</v>
      </c>
      <c r="C5" s="19">
        <f>(Inputs!$B$40/1000000)*Inputs!$B$35</f>
        <v>6.645</v>
      </c>
      <c r="D5" s="19">
        <f>(Inputs!$B$40/1000000)*Inputs!$B$35</f>
        <v>6.645</v>
      </c>
      <c r="E5" s="19">
        <f>(Inputs!$B$40/1000000)*Inputs!$B$35</f>
        <v>6.645</v>
      </c>
      <c r="F5" s="19">
        <f>(Inputs!$B$40/1000000)*Inputs!$B$35</f>
        <v>6.645</v>
      </c>
      <c r="G5" s="19">
        <f>(Inputs!$B$40/1000000)*Inputs!$B$35</f>
        <v>6.645</v>
      </c>
      <c r="H5" s="19">
        <f>(Inputs!$B$40/1000000)*Inputs!$B$35</f>
        <v>6.645</v>
      </c>
      <c r="I5" s="19">
        <f>(Inputs!$B$40/1000000)*Inputs!$B$35</f>
        <v>6.645</v>
      </c>
    </row>
    <row r="6" ht="14.25" customHeight="1">
      <c r="A6" s="15" t="s">
        <v>108</v>
      </c>
      <c r="B6" s="19">
        <f>B5*(1-Inputs!$B$7)</f>
        <v>0</v>
      </c>
      <c r="C6" s="19">
        <f>C5*(1-Inputs!$B$7)</f>
        <v>4.98375</v>
      </c>
      <c r="D6" s="19">
        <f>D5*(1-Inputs!$B$7)</f>
        <v>4.98375</v>
      </c>
      <c r="E6" s="19">
        <f>E5*(1-Inputs!$B$7)</f>
        <v>4.98375</v>
      </c>
      <c r="F6" s="19">
        <f>F5*(1-Inputs!$B$7)</f>
        <v>4.98375</v>
      </c>
      <c r="G6" s="19">
        <f>G5*(1-Inputs!$B$7)</f>
        <v>4.98375</v>
      </c>
      <c r="H6" s="19">
        <f>H5*(1-Inputs!$B$7)</f>
        <v>4.98375</v>
      </c>
      <c r="I6" s="19">
        <f>I5*(1-Inputs!$B$7)</f>
        <v>4.98375</v>
      </c>
    </row>
    <row r="7" ht="14.25" customHeight="1">
      <c r="A7" s="15" t="s">
        <v>109</v>
      </c>
      <c r="B7" s="19">
        <f>Inputs!$B$40/1000000</f>
        <v>150</v>
      </c>
      <c r="C7" s="19">
        <v>0.0</v>
      </c>
      <c r="D7" s="19">
        <v>0.0</v>
      </c>
      <c r="E7" s="19">
        <v>0.0</v>
      </c>
      <c r="F7" s="19">
        <v>0.0</v>
      </c>
      <c r="G7" s="19">
        <v>0.0</v>
      </c>
      <c r="H7" s="19">
        <v>0.0</v>
      </c>
      <c r="I7" s="19">
        <v>0.0</v>
      </c>
    </row>
    <row r="8" ht="14.25" customHeight="1">
      <c r="A8" s="12" t="s">
        <v>110</v>
      </c>
      <c r="B8" s="21">
        <f t="shared" ref="B8:I8" si="1">B4-B6+B7</f>
        <v>-2350</v>
      </c>
      <c r="C8" s="21">
        <f t="shared" si="1"/>
        <v>-283.9004167</v>
      </c>
      <c r="D8" s="21">
        <f t="shared" si="1"/>
        <v>-212.6504167</v>
      </c>
      <c r="E8" s="21">
        <f t="shared" si="1"/>
        <v>-102.1154167</v>
      </c>
      <c r="F8" s="21">
        <f t="shared" si="1"/>
        <v>-62.53169167</v>
      </c>
      <c r="G8" s="21">
        <f t="shared" si="1"/>
        <v>80.01323333</v>
      </c>
      <c r="H8" s="21">
        <f t="shared" si="1"/>
        <v>144.0160583</v>
      </c>
      <c r="I8" s="21">
        <f t="shared" si="1"/>
        <v>196.5613583</v>
      </c>
    </row>
    <row r="9" ht="14.25" customHeight="1"/>
    <row r="10" ht="14.25" customHeight="1">
      <c r="A10" s="30" t="s">
        <v>111</v>
      </c>
    </row>
    <row r="11" ht="14.25" customHeight="1">
      <c r="A11" s="15" t="s">
        <v>112</v>
      </c>
      <c r="B11" s="31">
        <f>Inputs!$B$34</f>
        <v>0.1166</v>
      </c>
    </row>
    <row r="12" ht="14.25" customHeight="1">
      <c r="A12" s="15" t="s">
        <v>113</v>
      </c>
      <c r="B12" s="25">
        <f>1/((1+$B$11)^0)</f>
        <v>1</v>
      </c>
      <c r="C12" s="25">
        <f>1/((1+$B$11)^1)</f>
        <v>0.8955758553</v>
      </c>
      <c r="D12" s="25">
        <f>1/((1+$B$11)^2)</f>
        <v>0.8020561126</v>
      </c>
      <c r="E12" s="25">
        <f>1/((1+$B$11)^3)</f>
        <v>0.718302089</v>
      </c>
      <c r="F12" s="25">
        <f>1/((1+$B$11)^4)</f>
        <v>0.6432940077</v>
      </c>
      <c r="G12" s="25">
        <f>1/((1+$B$11)^5)</f>
        <v>0.5761185811</v>
      </c>
      <c r="H12" s="25">
        <f>1/((1+$B$11)^6)</f>
        <v>0.515957891</v>
      </c>
      <c r="I12" s="25">
        <f>1/((1+$B$11)^7)</f>
        <v>0.4620794295</v>
      </c>
    </row>
    <row r="13" ht="14.25" customHeight="1">
      <c r="A13" s="12" t="s">
        <v>114</v>
      </c>
      <c r="B13" s="21">
        <f t="shared" ref="B13:I13" si="2">B8*B12</f>
        <v>-2350</v>
      </c>
      <c r="C13" s="21">
        <f t="shared" si="2"/>
        <v>-254.2543585</v>
      </c>
      <c r="D13" s="21">
        <f t="shared" si="2"/>
        <v>-170.5575665</v>
      </c>
      <c r="E13" s="21">
        <f t="shared" si="2"/>
        <v>-73.34971711</v>
      </c>
      <c r="F13" s="21">
        <f t="shared" si="2"/>
        <v>-40.22626254</v>
      </c>
      <c r="G13" s="21">
        <f t="shared" si="2"/>
        <v>46.09711046</v>
      </c>
      <c r="H13" s="21">
        <f t="shared" si="2"/>
        <v>74.30622173</v>
      </c>
      <c r="I13" s="21">
        <f t="shared" si="2"/>
        <v>90.82696033</v>
      </c>
    </row>
    <row r="14" ht="14.25" customHeight="1"/>
    <row r="15" ht="14.25" customHeight="1">
      <c r="A15" s="15" t="s">
        <v>115</v>
      </c>
      <c r="I15" s="21">
        <f>I8*(1+Inputs!$B$6)/($B$11-Inputs!$B$6)</f>
        <v>2199.513016</v>
      </c>
    </row>
    <row r="16" ht="14.25" customHeight="1">
      <c r="A16" s="15" t="s">
        <v>116</v>
      </c>
      <c r="I16" s="21">
        <f>I15*I12</f>
        <v>1016.34972</v>
      </c>
    </row>
    <row r="17" ht="14.25" customHeight="1"/>
    <row r="18" ht="14.25" customHeight="1">
      <c r="A18" s="30" t="s">
        <v>117</v>
      </c>
      <c r="B18" s="27">
        <f>SUM(C13:I13)+I16</f>
        <v>689.1921077</v>
      </c>
    </row>
    <row r="19" ht="14.25" customHeight="1">
      <c r="A19" s="30" t="s">
        <v>118</v>
      </c>
      <c r="B19" s="27">
        <f>-B8</f>
        <v>2350</v>
      </c>
    </row>
    <row r="20" ht="14.25" customHeight="1"/>
    <row r="21" ht="15.0" customHeight="1">
      <c r="A21" s="33" t="s">
        <v>119</v>
      </c>
      <c r="B21" s="29">
        <f>B18-B19</f>
        <v>-1660.807892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12.71"/>
    <col customWidth="1" min="4" max="4" width="12.14"/>
    <col customWidth="1" min="5" max="26" width="8.71"/>
  </cols>
  <sheetData>
    <row r="1" ht="14.25" customHeight="1">
      <c r="A1" s="34" t="s">
        <v>120</v>
      </c>
      <c r="B1" s="35"/>
      <c r="C1" s="35"/>
      <c r="D1" s="35"/>
      <c r="E1" s="35"/>
      <c r="F1" s="35"/>
      <c r="G1" s="36"/>
    </row>
    <row r="2" ht="14.25" customHeight="1">
      <c r="B2" s="7" t="s">
        <v>121</v>
      </c>
      <c r="E2" s="7" t="s">
        <v>122</v>
      </c>
    </row>
    <row r="3" ht="14.25" customHeight="1">
      <c r="B3" s="37" t="s">
        <v>123</v>
      </c>
      <c r="C3" s="7" t="s">
        <v>124</v>
      </c>
      <c r="E3" s="37" t="s">
        <v>125</v>
      </c>
      <c r="F3" s="7" t="s">
        <v>124</v>
      </c>
    </row>
    <row r="4" ht="14.25" customHeight="1">
      <c r="B4" s="22">
        <v>0.083</v>
      </c>
      <c r="C4" s="7">
        <v>-749.8582732124448</v>
      </c>
      <c r="E4" s="22">
        <v>0.0</v>
      </c>
      <c r="F4" s="7">
        <v>-1959.782817321001</v>
      </c>
    </row>
    <row r="5" ht="14.25" customHeight="1">
      <c r="B5" s="22">
        <v>0.093</v>
      </c>
      <c r="C5" s="7">
        <v>-1163.475957530822</v>
      </c>
      <c r="E5" s="22">
        <v>0.01</v>
      </c>
      <c r="F5" s="7">
        <v>-1868.68969091766</v>
      </c>
    </row>
    <row r="6" ht="14.25" customHeight="1">
      <c r="B6" s="22">
        <v>0.103</v>
      </c>
      <c r="C6" s="7">
        <v>-1465.11111734515</v>
      </c>
      <c r="E6" s="22">
        <v>0.025</v>
      </c>
      <c r="F6" s="7">
        <v>-1693.231907674862</v>
      </c>
    </row>
    <row r="7" ht="14.25" customHeight="1">
      <c r="B7" s="22">
        <v>0.113</v>
      </c>
      <c r="C7" s="7">
        <v>-1693.231907674862</v>
      </c>
      <c r="E7" s="22">
        <v>0.03</v>
      </c>
      <c r="F7" s="7">
        <v>-1620.652985289286</v>
      </c>
    </row>
    <row r="8" ht="14.25" customHeight="1">
      <c r="B8" s="22">
        <v>0.123</v>
      </c>
      <c r="C8" s="7">
        <v>-1870.587818887263</v>
      </c>
      <c r="E8" s="22">
        <v>0.04</v>
      </c>
      <c r="F8" s="7">
        <v>-1445.668186113105</v>
      </c>
    </row>
    <row r="9" ht="14.25" customHeight="1">
      <c r="B9" s="22">
        <v>0.133</v>
      </c>
      <c r="C9" s="7">
        <v>-2011.488032964828</v>
      </c>
    </row>
    <row r="10" ht="14.25" customHeight="1">
      <c r="B10" s="22">
        <v>0.143</v>
      </c>
      <c r="C10" s="7">
        <v>-2125.378827536712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.0"/>
    <col customWidth="1" min="3" max="3" width="9.71"/>
    <col customWidth="1" min="4" max="4" width="10.71"/>
    <col customWidth="1" min="5" max="5" width="6.29"/>
    <col customWidth="1" min="6" max="26" width="8.71"/>
  </cols>
  <sheetData>
    <row r="1" ht="14.25" customHeight="1">
      <c r="A1" s="38" t="s">
        <v>126</v>
      </c>
      <c r="B1" s="35"/>
      <c r="C1" s="35"/>
      <c r="D1" s="35"/>
      <c r="E1" s="35"/>
      <c r="F1" s="35"/>
      <c r="G1" s="35"/>
      <c r="H1" s="35"/>
      <c r="I1" s="36"/>
    </row>
    <row r="2" ht="14.25" customHeight="1"/>
    <row r="3" ht="14.25" customHeight="1">
      <c r="B3" s="7" t="s">
        <v>127</v>
      </c>
      <c r="C3" s="7" t="s">
        <v>128</v>
      </c>
      <c r="D3" s="7" t="s">
        <v>129</v>
      </c>
      <c r="E3" s="7" t="s">
        <v>130</v>
      </c>
    </row>
    <row r="4" ht="14.25" customHeight="1">
      <c r="B4" s="7" t="s">
        <v>131</v>
      </c>
      <c r="C4" s="7">
        <v>1.2</v>
      </c>
      <c r="D4" s="7">
        <v>-0.01</v>
      </c>
      <c r="E4" s="7">
        <v>0.005</v>
      </c>
    </row>
    <row r="5" ht="14.25" customHeight="1">
      <c r="B5" s="7" t="s">
        <v>132</v>
      </c>
      <c r="C5" s="7">
        <v>1.0</v>
      </c>
      <c r="D5" s="7">
        <v>0.0</v>
      </c>
      <c r="E5" s="7">
        <v>0.0</v>
      </c>
    </row>
    <row r="6" ht="14.25" customHeight="1">
      <c r="B6" s="7" t="s">
        <v>133</v>
      </c>
      <c r="C6" s="7">
        <v>0.8</v>
      </c>
      <c r="D6" s="7">
        <v>0.01</v>
      </c>
      <c r="E6" s="7">
        <v>-0.005</v>
      </c>
    </row>
    <row r="7" ht="14.25" customHeight="1"/>
    <row r="8" ht="14.25" customHeight="1">
      <c r="A8" s="7" t="s">
        <v>127</v>
      </c>
      <c r="B8" s="7" t="s">
        <v>134</v>
      </c>
      <c r="C8" s="7" t="s">
        <v>135</v>
      </c>
      <c r="D8" s="7" t="s">
        <v>124</v>
      </c>
      <c r="E8" s="7" t="s">
        <v>136</v>
      </c>
      <c r="F8" s="7" t="s">
        <v>137</v>
      </c>
    </row>
    <row r="9" ht="14.25" customHeight="1">
      <c r="A9" s="7" t="str">
        <f t="shared" ref="A9:A11" si="1">B4</f>
        <v>Best</v>
      </c>
      <c r="B9" s="14">
        <f>Inputs!$B$33 + $D4</f>
        <v>0.103</v>
      </c>
      <c r="C9" s="14">
        <f>Inputs!$B$6 + $E4</f>
        <v>0.03</v>
      </c>
      <c r="D9" s="39">
        <f t="shared" ref="D9:D11" si="2">NPV($B9,C16:I16)+B16+INDEX(B16:I16,1,8)*(1+$C9)/($B9-$C9)/(1+$B9)^7</f>
        <v>-1640.195554</v>
      </c>
      <c r="E9" s="7">
        <f t="shared" ref="E9:E11" si="3">INDEX(B16:I16,1,8)*(1+$C9)/($B9-$C9)/(1+$B9)^7</f>
        <v>1718.063793</v>
      </c>
      <c r="F9" s="7">
        <f t="shared" ref="F9:F11" si="4">INDEX(B16:I16,1,8)</f>
        <v>241.85413</v>
      </c>
    </row>
    <row r="10" ht="14.25" customHeight="1">
      <c r="A10" s="7" t="str">
        <f t="shared" si="1"/>
        <v>Base</v>
      </c>
      <c r="B10" s="14">
        <f>Inputs!$B$33 + $D5</f>
        <v>0.113</v>
      </c>
      <c r="C10" s="14">
        <f>Inputs!$B$6 + $E5</f>
        <v>0.025</v>
      </c>
      <c r="D10" s="39">
        <f t="shared" si="2"/>
        <v>-1693.231908</v>
      </c>
      <c r="E10" s="7">
        <f t="shared" si="3"/>
        <v>1109.551091</v>
      </c>
      <c r="F10" s="7">
        <f t="shared" si="4"/>
        <v>201.5451083</v>
      </c>
    </row>
    <row r="11" ht="14.25" customHeight="1">
      <c r="A11" s="7" t="str">
        <f t="shared" si="1"/>
        <v>Worst</v>
      </c>
      <c r="B11" s="14">
        <f>Inputs!$B$33 + $D6</f>
        <v>0.123</v>
      </c>
      <c r="C11" s="14">
        <f>Inputs!$B$6 + $E6</f>
        <v>0.02</v>
      </c>
      <c r="D11" s="39">
        <f t="shared" si="2"/>
        <v>-1536.289261</v>
      </c>
      <c r="E11" s="7">
        <f t="shared" si="3"/>
        <v>708.870498</v>
      </c>
      <c r="F11" s="7">
        <f t="shared" si="4"/>
        <v>161.2360867</v>
      </c>
    </row>
    <row r="12" ht="14.25" customHeight="1"/>
    <row r="13" ht="14.25" customHeight="1"/>
    <row r="14" ht="14.25" customHeight="1"/>
    <row r="15" ht="14.25" customHeight="1">
      <c r="A15" s="7" t="s">
        <v>138</v>
      </c>
      <c r="B15" s="40">
        <f>FCFF!B9</f>
        <v>-2500</v>
      </c>
      <c r="C15" s="40">
        <f>FCFF!C9</f>
        <v>-278.9166667</v>
      </c>
      <c r="D15" s="40">
        <f>FCFF!D9</f>
        <v>-207.6666667</v>
      </c>
      <c r="E15" s="40">
        <f>FCFF!E9</f>
        <v>-97.13166667</v>
      </c>
      <c r="F15" s="40">
        <f>FCFF!F9</f>
        <v>-57.54794167</v>
      </c>
      <c r="G15" s="40">
        <f>FCFF!G9</f>
        <v>84.99698333</v>
      </c>
      <c r="H15" s="40">
        <f>FCFF!H9</f>
        <v>148.9998083</v>
      </c>
      <c r="I15" s="40">
        <f>FCFF!I9</f>
        <v>201.5451083</v>
      </c>
    </row>
    <row r="16" ht="14.25" customHeight="1">
      <c r="A16" s="7" t="s">
        <v>139</v>
      </c>
      <c r="B16" s="7">
        <f t="shared" ref="B16:I16" si="5">B15*$C$4</f>
        <v>-3000</v>
      </c>
      <c r="C16" s="7">
        <f t="shared" si="5"/>
        <v>-334.7</v>
      </c>
      <c r="D16" s="7">
        <f t="shared" si="5"/>
        <v>-249.2</v>
      </c>
      <c r="E16" s="7">
        <f t="shared" si="5"/>
        <v>-116.558</v>
      </c>
      <c r="F16" s="7">
        <f t="shared" si="5"/>
        <v>-69.05753</v>
      </c>
      <c r="G16" s="7">
        <f t="shared" si="5"/>
        <v>101.99638</v>
      </c>
      <c r="H16" s="7">
        <f t="shared" si="5"/>
        <v>178.79977</v>
      </c>
      <c r="I16" s="7">
        <f t="shared" si="5"/>
        <v>241.85413</v>
      </c>
    </row>
    <row r="17" ht="14.25" customHeight="1">
      <c r="A17" s="7" t="s">
        <v>140</v>
      </c>
      <c r="B17" s="7">
        <f t="shared" ref="B17:I17" si="6">B15*$C$5</f>
        <v>-2500</v>
      </c>
      <c r="C17" s="7">
        <f t="shared" si="6"/>
        <v>-278.9166667</v>
      </c>
      <c r="D17" s="7">
        <f t="shared" si="6"/>
        <v>-207.6666667</v>
      </c>
      <c r="E17" s="7">
        <f t="shared" si="6"/>
        <v>-97.13166667</v>
      </c>
      <c r="F17" s="7">
        <f t="shared" si="6"/>
        <v>-57.54794167</v>
      </c>
      <c r="G17" s="7">
        <f t="shared" si="6"/>
        <v>84.99698333</v>
      </c>
      <c r="H17" s="7">
        <f t="shared" si="6"/>
        <v>148.9998083</v>
      </c>
      <c r="I17" s="7">
        <f t="shared" si="6"/>
        <v>201.5451083</v>
      </c>
    </row>
    <row r="18" ht="14.25" customHeight="1">
      <c r="A18" s="7" t="s">
        <v>141</v>
      </c>
      <c r="B18" s="7">
        <f t="shared" ref="B18:I18" si="7">B15*$C$6</f>
        <v>-2000</v>
      </c>
      <c r="C18" s="7">
        <f t="shared" si="7"/>
        <v>-223.1333333</v>
      </c>
      <c r="D18" s="7">
        <f t="shared" si="7"/>
        <v>-166.1333333</v>
      </c>
      <c r="E18" s="7">
        <f t="shared" si="7"/>
        <v>-77.70533333</v>
      </c>
      <c r="F18" s="7">
        <f t="shared" si="7"/>
        <v>-46.03835333</v>
      </c>
      <c r="G18" s="7">
        <f t="shared" si="7"/>
        <v>67.99758667</v>
      </c>
      <c r="H18" s="7">
        <f t="shared" si="7"/>
        <v>119.1998467</v>
      </c>
      <c r="I18" s="7">
        <f t="shared" si="7"/>
        <v>161.2360867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12.71"/>
    <col customWidth="1" min="3" max="26" width="8.71"/>
  </cols>
  <sheetData>
    <row r="1" ht="14.25" customHeight="1">
      <c r="A1" s="41" t="s">
        <v>142</v>
      </c>
      <c r="B1" s="36"/>
    </row>
    <row r="2" ht="14.25" customHeight="1"/>
    <row r="3" ht="14.25" customHeight="1">
      <c r="A3" s="7" t="s">
        <v>143</v>
      </c>
      <c r="B3" s="7">
        <f>Revenue_Forecast!$E$9</f>
        <v>325500000</v>
      </c>
    </row>
    <row r="4" ht="14.25" customHeight="1">
      <c r="A4" s="7" t="s">
        <v>144</v>
      </c>
      <c r="B4" s="7">
        <v>1.4901161193847656E-8</v>
      </c>
    </row>
    <row r="5" ht="14.25" customHeight="1">
      <c r="A5" s="7" t="s">
        <v>145</v>
      </c>
      <c r="B5" s="7">
        <f>B4/B3</f>
        <v>0</v>
      </c>
    </row>
    <row r="6" ht="14.25" customHeight="1"/>
    <row r="7" ht="14.25" customHeight="1"/>
    <row r="8" ht="14.25" customHeight="1"/>
    <row r="9" ht="14.25" customHeight="1">
      <c r="A9" s="42" t="s">
        <v>146</v>
      </c>
      <c r="B9" s="43">
        <f>FCFF!B9*$B$5</f>
        <v>0</v>
      </c>
      <c r="C9" s="43">
        <f>FCFF!C9*$B$5</f>
        <v>0</v>
      </c>
      <c r="D9" s="43">
        <f>FCFF!D9*$B$5</f>
        <v>0</v>
      </c>
      <c r="E9" s="43">
        <f>FCFF!E9*$B$5</f>
        <v>0</v>
      </c>
      <c r="F9" s="43">
        <f>FCFF!F9*$B$5</f>
        <v>0</v>
      </c>
      <c r="G9" s="43">
        <f>FCFF!G9*$B$5</f>
        <v>0</v>
      </c>
      <c r="H9" s="43">
        <f>FCFF!H9*$B$5</f>
        <v>0</v>
      </c>
      <c r="I9" s="44">
        <f>FCFF!I9*$B$5</f>
        <v>0</v>
      </c>
    </row>
    <row r="10" ht="14.25" customHeight="1"/>
    <row r="11" ht="14.25" customHeight="1">
      <c r="A11" s="37" t="s">
        <v>147</v>
      </c>
      <c r="B11" s="45">
        <f t="array" ref="B11">NPV(Inputs!$B$33,C9:I9)+B9+INDEX(B9:I9,1,8)*(1+Inputs!$B$6)/(Inputs!$B$33-Inputs!$B$6)/(1+Inputs!$B$33)^7</f>
        <v>0</v>
      </c>
    </row>
    <row r="12" ht="14.25" customHeight="1"/>
    <row r="13" ht="14.25" customHeight="1"/>
    <row r="14" ht="14.25" customHeight="1">
      <c r="A14" s="7" t="s">
        <v>148</v>
      </c>
    </row>
    <row r="15" ht="14.25" customHeight="1">
      <c r="A15" s="7" t="s">
        <v>149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71"/>
    <col customWidth="1" min="3" max="6" width="8.71"/>
  </cols>
  <sheetData>
    <row r="1" ht="14.25" customHeight="1">
      <c r="A1" s="41" t="s">
        <v>150</v>
      </c>
      <c r="B1" s="35"/>
      <c r="C1" s="36"/>
    </row>
    <row r="2" ht="14.25" customHeight="1"/>
    <row r="3" ht="14.25" customHeight="1">
      <c r="A3" s="7" t="s">
        <v>151</v>
      </c>
      <c r="B3" s="14">
        <f>Inputs!$B$33</f>
        <v>0.113</v>
      </c>
    </row>
    <row r="4" ht="14.25" customHeight="1">
      <c r="A4" s="7" t="s">
        <v>152</v>
      </c>
      <c r="B4" s="14">
        <f>B3-0.02</f>
        <v>0.093</v>
      </c>
    </row>
    <row r="5" ht="14.25" customHeight="1">
      <c r="A5" s="7" t="s">
        <v>153</v>
      </c>
      <c r="B5" s="14">
        <f>B3+0.02</f>
        <v>0.133</v>
      </c>
    </row>
    <row r="6" ht="14.25" customHeight="1">
      <c r="A6" s="7" t="s">
        <v>154</v>
      </c>
      <c r="B6" s="7">
        <v>10000.0</v>
      </c>
    </row>
    <row r="7" ht="14.25" customHeight="1"/>
    <row r="8" ht="14.25" customHeight="1">
      <c r="A8" s="7" t="s">
        <v>155</v>
      </c>
    </row>
    <row r="9" ht="14.25" customHeight="1">
      <c r="A9" s="7" t="s">
        <v>156</v>
      </c>
      <c r="B9" s="39">
        <f>AVERAGE(C14:C10013)</f>
        <v>-1657.644916</v>
      </c>
    </row>
    <row r="10" ht="14.25" customHeight="1">
      <c r="A10" s="7" t="s">
        <v>157</v>
      </c>
      <c r="B10" s="7">
        <f>_xlfn.STDEV.S(C14:C10013)</f>
        <v>241.1040936</v>
      </c>
    </row>
    <row r="11" ht="14.25" customHeight="1">
      <c r="A11" s="7" t="s">
        <v>158</v>
      </c>
      <c r="B11" s="7">
        <f>COUNTIF(C14:C10013,"&lt;0")/ROWS(C14:C10013)</f>
        <v>1</v>
      </c>
    </row>
    <row r="12" ht="14.25" customHeight="1"/>
    <row r="13" ht="14.25" customHeight="1">
      <c r="A13" s="7" t="s">
        <v>159</v>
      </c>
      <c r="B13" s="7" t="s">
        <v>160</v>
      </c>
      <c r="C13" s="7" t="s">
        <v>124</v>
      </c>
    </row>
    <row r="14" ht="14.25" customHeight="1">
      <c r="A14" s="7">
        <v>1.0</v>
      </c>
      <c r="B14" s="14">
        <f t="shared" ref="B14:B10013" si="1">$B$4 + RAND()*($B$5-$B$4)</f>
        <v>0.1056992542</v>
      </c>
      <c r="C14" s="39">
        <f t="array" ref="C14">NPV(B14,FCFF!$C$9:$I$9)+FCFF!$B$9+FCFF!$I$9*(1+Inputs!$B$6)/(B14-Inputs!$B$6)/(1+B14)^7</f>
        <v>-1532.777629</v>
      </c>
    </row>
    <row r="15" ht="14.25" customHeight="1">
      <c r="A15" s="7">
        <v>2.0</v>
      </c>
      <c r="B15" s="14">
        <f t="shared" si="1"/>
        <v>0.1128188357</v>
      </c>
      <c r="C15" s="39">
        <f t="array" ref="C15">NPV(B15,FCFF!$C$9:$I$9)+FCFF!$B$9+FCFF!$I$9*(1+Inputs!$B$6)/(B15-Inputs!$B$6)/(1+B15)^7</f>
        <v>-1689.603825</v>
      </c>
    </row>
    <row r="16" ht="14.25" customHeight="1">
      <c r="A16" s="7">
        <v>3.0</v>
      </c>
      <c r="B16" s="14">
        <f t="shared" si="1"/>
        <v>0.1075099495</v>
      </c>
      <c r="C16" s="39">
        <f t="array" ref="C16">NPV(B16,FCFF!$C$9:$I$9)+FCFF!$B$9+FCFF!$I$9*(1+Inputs!$B$6)/(B16-Inputs!$B$6)/(1+B16)^7</f>
        <v>-1575.475097</v>
      </c>
    </row>
    <row r="17" ht="14.25" customHeight="1">
      <c r="A17" s="7">
        <v>4.0</v>
      </c>
      <c r="B17" s="14">
        <f t="shared" si="1"/>
        <v>0.1233708468</v>
      </c>
      <c r="C17" s="39">
        <f t="array" ref="C17">NPV(B17,FCFF!$C$9:$I$9)+FCFF!$B$9+FCFF!$I$9*(1+Inputs!$B$6)/(B17-Inputs!$B$6)/(1+B17)^7</f>
        <v>-1876.393982</v>
      </c>
    </row>
    <row r="18" ht="14.25" customHeight="1">
      <c r="A18" s="7">
        <v>5.0</v>
      </c>
      <c r="B18" s="14">
        <f t="shared" si="1"/>
        <v>0.1185560827</v>
      </c>
      <c r="C18" s="39">
        <f t="array" ref="C18">NPV(B18,FCFF!$C$9:$I$9)+FCFF!$B$9+FCFF!$I$9*(1+Inputs!$B$6)/(B18-Inputs!$B$6)/(1+B18)^7</f>
        <v>-1796.98164</v>
      </c>
    </row>
    <row r="19" ht="14.25" customHeight="1">
      <c r="A19" s="7">
        <v>6.0</v>
      </c>
      <c r="B19" s="14">
        <f t="shared" si="1"/>
        <v>0.1148013105</v>
      </c>
      <c r="C19" s="39">
        <f t="array" ref="C19">NPV(B19,FCFF!$C$9:$I$9)+FCFF!$B$9+FCFF!$I$9*(1+Inputs!$B$6)/(B19-Inputs!$B$6)/(1+B19)^7</f>
        <v>-1728.427685</v>
      </c>
    </row>
    <row r="20" ht="14.25" customHeight="1">
      <c r="A20" s="7">
        <v>7.0</v>
      </c>
      <c r="B20" s="14">
        <f t="shared" si="1"/>
        <v>0.1288388941</v>
      </c>
      <c r="C20" s="39">
        <f t="array" ref="C20">NPV(B20,FCFF!$C$9:$I$9)+FCFF!$B$9+FCFF!$I$9*(1+Inputs!$B$6)/(B20-Inputs!$B$6)/(1+B20)^7</f>
        <v>-1956.597855</v>
      </c>
    </row>
    <row r="21" ht="14.25" customHeight="1">
      <c r="A21" s="7">
        <v>8.0</v>
      </c>
      <c r="B21" s="14">
        <f t="shared" si="1"/>
        <v>0.129393737</v>
      </c>
      <c r="C21" s="39">
        <f t="array" ref="C21">NPV(B21,FCFF!$C$9:$I$9)+FCFF!$B$9+FCFF!$I$9*(1+Inputs!$B$6)/(B21-Inputs!$B$6)/(1+B21)^7</f>
        <v>-1964.205631</v>
      </c>
    </row>
    <row r="22" ht="14.25" customHeight="1">
      <c r="A22" s="7">
        <v>9.0</v>
      </c>
      <c r="B22" s="14">
        <f t="shared" si="1"/>
        <v>0.1199518283</v>
      </c>
      <c r="C22" s="39">
        <f t="array" ref="C22">NPV(B22,FCFF!$C$9:$I$9)+FCFF!$B$9+FCFF!$I$9*(1+Inputs!$B$6)/(B22-Inputs!$B$6)/(1+B22)^7</f>
        <v>-1820.93061</v>
      </c>
    </row>
    <row r="23" ht="14.25" customHeight="1">
      <c r="A23" s="7">
        <v>10.0</v>
      </c>
      <c r="B23" s="14">
        <f t="shared" si="1"/>
        <v>0.09957044494</v>
      </c>
      <c r="C23" s="39">
        <f t="array" ref="C23">NPV(B23,FCFF!$C$9:$I$9)+FCFF!$B$9+FCFF!$I$9*(1+Inputs!$B$6)/(B23-Inputs!$B$6)/(1+B23)^7</f>
        <v>-1371.454995</v>
      </c>
    </row>
    <row r="24" ht="14.25" customHeight="1">
      <c r="A24" s="7">
        <v>11.0</v>
      </c>
      <c r="B24" s="14">
        <f t="shared" si="1"/>
        <v>0.1163801274</v>
      </c>
      <c r="C24" s="39">
        <f t="array" ref="C24">NPV(B24,FCFF!$C$9:$I$9)+FCFF!$B$9+FCFF!$I$9*(1+Inputs!$B$6)/(B24-Inputs!$B$6)/(1+B24)^7</f>
        <v>-1758.015824</v>
      </c>
    </row>
    <row r="25" ht="14.25" customHeight="1">
      <c r="A25" s="7">
        <v>12.0</v>
      </c>
      <c r="B25" s="14">
        <f t="shared" si="1"/>
        <v>0.1030993286</v>
      </c>
      <c r="C25" s="39">
        <f t="array" ref="C25">NPV(B25,FCFF!$C$9:$I$9)+FCFF!$B$9+FCFF!$I$9*(1+Inputs!$B$6)/(B25-Inputs!$B$6)/(1+B25)^7</f>
        <v>-1467.691217</v>
      </c>
    </row>
    <row r="26" ht="14.25" customHeight="1">
      <c r="A26" s="7">
        <v>13.0</v>
      </c>
      <c r="B26" s="14">
        <f t="shared" si="1"/>
        <v>0.1201985812</v>
      </c>
      <c r="C26" s="39">
        <f t="array" ref="C26">NPV(B26,FCFF!$C$9:$I$9)+FCFF!$B$9+FCFF!$I$9*(1+Inputs!$B$6)/(B26-Inputs!$B$6)/(1+B26)^7</f>
        <v>-1825.08302</v>
      </c>
    </row>
    <row r="27" ht="14.25" customHeight="1">
      <c r="A27" s="7">
        <v>14.0</v>
      </c>
      <c r="B27" s="14">
        <f t="shared" si="1"/>
        <v>0.123144743</v>
      </c>
      <c r="C27" s="39">
        <f t="array" ref="C27">NPV(B27,FCFF!$C$9:$I$9)+FCFF!$B$9+FCFF!$I$9*(1+Inputs!$B$6)/(B27-Inputs!$B$6)/(1+B27)^7</f>
        <v>-1872.859858</v>
      </c>
    </row>
    <row r="28" ht="14.25" customHeight="1">
      <c r="A28" s="7">
        <v>15.0</v>
      </c>
      <c r="B28" s="14">
        <f t="shared" si="1"/>
        <v>0.09411217155</v>
      </c>
      <c r="C28" s="39">
        <f t="array" ref="C28">NPV(B28,FCFF!$C$9:$I$9)+FCFF!$B$9+FCFF!$I$9*(1+Inputs!$B$6)/(B28-Inputs!$B$6)/(1+B28)^7</f>
        <v>-1201.660663</v>
      </c>
    </row>
    <row r="29" ht="14.25" customHeight="1">
      <c r="A29" s="7">
        <v>16.0</v>
      </c>
      <c r="B29" s="14">
        <f t="shared" si="1"/>
        <v>0.1108801586</v>
      </c>
      <c r="C29" s="39">
        <f t="array" ref="C29">NPV(B29,FCFF!$C$9:$I$9)+FCFF!$B$9+FCFF!$I$9*(1+Inputs!$B$6)/(B29-Inputs!$B$6)/(1+B29)^7</f>
        <v>-1649.721504</v>
      </c>
    </row>
    <row r="30" ht="14.25" customHeight="1">
      <c r="A30" s="7">
        <v>17.0</v>
      </c>
      <c r="B30" s="14">
        <f t="shared" si="1"/>
        <v>0.1303449184</v>
      </c>
      <c r="C30" s="39">
        <f t="array" ref="C30">NPV(B30,FCFF!$C$9:$I$9)+FCFF!$B$9+FCFF!$I$9*(1+Inputs!$B$6)/(B30-Inputs!$B$6)/(1+B30)^7</f>
        <v>-1977.035812</v>
      </c>
    </row>
    <row r="31" ht="14.25" customHeight="1">
      <c r="A31" s="7">
        <v>18.0</v>
      </c>
      <c r="B31" s="14">
        <f t="shared" si="1"/>
        <v>0.1023189638</v>
      </c>
      <c r="C31" s="39">
        <f t="array" ref="C31">NPV(B31,FCFF!$C$9:$I$9)+FCFF!$B$9+FCFF!$I$9*(1+Inputs!$B$6)/(B31-Inputs!$B$6)/(1+B31)^7</f>
        <v>-1447.22738</v>
      </c>
    </row>
    <row r="32" ht="14.25" customHeight="1">
      <c r="A32" s="7">
        <v>19.0</v>
      </c>
      <c r="B32" s="14">
        <f t="shared" si="1"/>
        <v>0.1096542553</v>
      </c>
      <c r="C32" s="39">
        <f t="array" ref="C32">NPV(B32,FCFF!$C$9:$I$9)+FCFF!$B$9+FCFF!$I$9*(1+Inputs!$B$6)/(B32-Inputs!$B$6)/(1+B32)^7</f>
        <v>-1623.464053</v>
      </c>
    </row>
    <row r="33" ht="14.25" customHeight="1">
      <c r="A33" s="7">
        <v>20.0</v>
      </c>
      <c r="B33" s="14">
        <f t="shared" si="1"/>
        <v>0.1084082671</v>
      </c>
      <c r="C33" s="39">
        <f t="array" ref="C33">NPV(B33,FCFF!$C$9:$I$9)+FCFF!$B$9+FCFF!$I$9*(1+Inputs!$B$6)/(B33-Inputs!$B$6)/(1+B33)^7</f>
        <v>-1595.907892</v>
      </c>
    </row>
    <row r="34" ht="14.25" customHeight="1">
      <c r="A34" s="7">
        <v>21.0</v>
      </c>
      <c r="B34" s="14">
        <f t="shared" si="1"/>
        <v>0.1249894723</v>
      </c>
      <c r="C34" s="39">
        <f t="array" ref="C34">NPV(B34,FCFF!$C$9:$I$9)+FCFF!$B$9+FCFF!$I$9*(1+Inputs!$B$6)/(B34-Inputs!$B$6)/(1+B34)^7</f>
        <v>-1901.16924</v>
      </c>
    </row>
    <row r="35" ht="14.25" customHeight="1">
      <c r="A35" s="7">
        <v>22.0</v>
      </c>
      <c r="B35" s="14">
        <f t="shared" si="1"/>
        <v>0.1103390307</v>
      </c>
      <c r="C35" s="39">
        <f t="array" ref="C35">NPV(B35,FCFF!$C$9:$I$9)+FCFF!$B$9+FCFF!$I$9*(1+Inputs!$B$6)/(B35-Inputs!$B$6)/(1+B35)^7</f>
        <v>-1638.233255</v>
      </c>
    </row>
    <row r="36" ht="14.25" customHeight="1">
      <c r="A36" s="7">
        <v>23.0</v>
      </c>
      <c r="B36" s="14">
        <f t="shared" si="1"/>
        <v>0.105406094</v>
      </c>
      <c r="C36" s="39">
        <f t="array" ref="C36">NPV(B36,FCFF!$C$9:$I$9)+FCFF!$B$9+FCFF!$I$9*(1+Inputs!$B$6)/(B36-Inputs!$B$6)/(1+B36)^7</f>
        <v>-1525.667389</v>
      </c>
    </row>
    <row r="37" ht="14.25" customHeight="1">
      <c r="A37" s="7">
        <v>24.0</v>
      </c>
      <c r="B37" s="14">
        <f t="shared" si="1"/>
        <v>0.1256496532</v>
      </c>
      <c r="C37" s="39">
        <f t="array" ref="C37">NPV(B37,FCFF!$C$9:$I$9)+FCFF!$B$9+FCFF!$I$9*(1+Inputs!$B$6)/(B37-Inputs!$B$6)/(1+B37)^7</f>
        <v>-1911.016542</v>
      </c>
    </row>
    <row r="38" ht="14.25" customHeight="1">
      <c r="A38" s="7">
        <v>25.0</v>
      </c>
      <c r="B38" s="14">
        <f t="shared" si="1"/>
        <v>0.1233011806</v>
      </c>
      <c r="C38" s="39">
        <f t="array" ref="C38">NPV(B38,FCFF!$C$9:$I$9)+FCFF!$B$9+FCFF!$I$9*(1+Inputs!$B$6)/(B38-Inputs!$B$6)/(1+B38)^7</f>
        <v>-1875.30701</v>
      </c>
    </row>
    <row r="39" ht="14.25" customHeight="1">
      <c r="A39" s="7">
        <v>26.0</v>
      </c>
      <c r="B39" s="14">
        <f t="shared" si="1"/>
        <v>0.09335961084</v>
      </c>
      <c r="C39" s="39">
        <f t="array" ref="C39">NPV(B39,FCFF!$C$9:$I$9)+FCFF!$B$9+FCFF!$I$9*(1+Inputs!$B$6)/(B39-Inputs!$B$6)/(1+B39)^7</f>
        <v>-1175.967689</v>
      </c>
    </row>
    <row r="40" ht="14.25" customHeight="1">
      <c r="A40" s="7">
        <v>27.0</v>
      </c>
      <c r="B40" s="14">
        <f t="shared" si="1"/>
        <v>0.09548040264</v>
      </c>
      <c r="C40" s="39">
        <f t="array" ref="C40">NPV(B40,FCFF!$C$9:$I$9)+FCFF!$B$9+FCFF!$I$9*(1+Inputs!$B$6)/(B40-Inputs!$B$6)/(1+B40)^7</f>
        <v>-1246.87306</v>
      </c>
    </row>
    <row r="41" ht="14.25" customHeight="1">
      <c r="A41" s="7">
        <v>28.0</v>
      </c>
      <c r="B41" s="14">
        <f t="shared" si="1"/>
        <v>0.1095101442</v>
      </c>
      <c r="C41" s="39">
        <f t="array" ref="C41">NPV(B41,FCFF!$C$9:$I$9)+FCFF!$B$9+FCFF!$I$9*(1+Inputs!$B$6)/(B41-Inputs!$B$6)/(1+B41)^7</f>
        <v>-1620.322419</v>
      </c>
    </row>
    <row r="42" ht="14.25" customHeight="1">
      <c r="A42" s="7">
        <v>29.0</v>
      </c>
      <c r="B42" s="14">
        <f t="shared" si="1"/>
        <v>0.09776402873</v>
      </c>
      <c r="C42" s="39">
        <f t="array" ref="C42">NPV(B42,FCFF!$C$9:$I$9)+FCFF!$B$9+FCFF!$I$9*(1+Inputs!$B$6)/(B42-Inputs!$B$6)/(1+B42)^7</f>
        <v>-1318.286315</v>
      </c>
    </row>
    <row r="43" ht="14.25" customHeight="1">
      <c r="A43" s="7">
        <v>30.0</v>
      </c>
      <c r="B43" s="14">
        <f t="shared" si="1"/>
        <v>0.1126806795</v>
      </c>
      <c r="C43" s="39">
        <f t="array" ref="C43">NPV(B43,FCFF!$C$9:$I$9)+FCFF!$B$9+FCFF!$I$9*(1+Inputs!$B$6)/(B43-Inputs!$B$6)/(1+B43)^7</f>
        <v>-1686.825928</v>
      </c>
    </row>
    <row r="44" ht="14.25" customHeight="1">
      <c r="A44" s="7">
        <v>31.0</v>
      </c>
      <c r="B44" s="14">
        <f t="shared" si="1"/>
        <v>0.1036686186</v>
      </c>
      <c r="C44" s="39">
        <f t="array" ref="C44">NPV(B44,FCFF!$C$9:$I$9)+FCFF!$B$9+FCFF!$I$9*(1+Inputs!$B$6)/(B44-Inputs!$B$6)/(1+B44)^7</f>
        <v>-1482.342518</v>
      </c>
    </row>
    <row r="45" ht="14.25" customHeight="1">
      <c r="A45" s="7">
        <v>32.0</v>
      </c>
      <c r="B45" s="14">
        <f t="shared" si="1"/>
        <v>0.1199879254</v>
      </c>
      <c r="C45" s="39">
        <f t="array" ref="C45">NPV(B45,FCFF!$C$9:$I$9)+FCFF!$B$9+FCFF!$I$9*(1+Inputs!$B$6)/(B45-Inputs!$B$6)/(1+B45)^7</f>
        <v>-1821.539565</v>
      </c>
    </row>
    <row r="46" ht="14.25" customHeight="1">
      <c r="A46" s="7">
        <v>33.0</v>
      </c>
      <c r="B46" s="14">
        <f t="shared" si="1"/>
        <v>0.09817191727</v>
      </c>
      <c r="C46" s="39">
        <f t="array" ref="C46">NPV(B46,FCFF!$C$9:$I$9)+FCFF!$B$9+FCFF!$I$9*(1+Inputs!$B$6)/(B46-Inputs!$B$6)/(1+B46)^7</f>
        <v>-1330.538709</v>
      </c>
    </row>
    <row r="47" ht="14.25" customHeight="1">
      <c r="A47" s="7">
        <v>34.0</v>
      </c>
      <c r="B47" s="14">
        <f t="shared" si="1"/>
        <v>0.1085797484</v>
      </c>
      <c r="C47" s="39">
        <f t="array" ref="C47">NPV(B47,FCFF!$C$9:$I$9)+FCFF!$B$9+FCFF!$I$9*(1+Inputs!$B$6)/(B47-Inputs!$B$6)/(1+B47)^7</f>
        <v>-1599.753766</v>
      </c>
    </row>
    <row r="48" ht="14.25" customHeight="1">
      <c r="A48" s="7">
        <v>35.0</v>
      </c>
      <c r="B48" s="14">
        <f t="shared" si="1"/>
        <v>0.1138131262</v>
      </c>
      <c r="C48" s="39">
        <f t="array" ref="C48">NPV(B48,FCFF!$C$9:$I$9)+FCFF!$B$9+FCFF!$I$9*(1+Inputs!$B$6)/(B48-Inputs!$B$6)/(1+B48)^7</f>
        <v>-1709.314907</v>
      </c>
    </row>
    <row r="49" ht="14.25" customHeight="1">
      <c r="A49" s="7">
        <v>36.0</v>
      </c>
      <c r="B49" s="14">
        <f t="shared" si="1"/>
        <v>0.1096532922</v>
      </c>
      <c r="C49" s="39">
        <f t="array" ref="C49">NPV(B49,FCFF!$C$9:$I$9)+FCFF!$B$9+FCFF!$I$9*(1+Inputs!$B$6)/(B49-Inputs!$B$6)/(1+B49)^7</f>
        <v>-1623.443096</v>
      </c>
    </row>
    <row r="50" ht="14.25" customHeight="1">
      <c r="A50" s="7">
        <v>37.0</v>
      </c>
      <c r="B50" s="14">
        <f t="shared" si="1"/>
        <v>0.102657115</v>
      </c>
      <c r="C50" s="39">
        <f t="array" ref="C50">NPV(B50,FCFF!$C$9:$I$9)+FCFF!$B$9+FCFF!$I$9*(1+Inputs!$B$6)/(B50-Inputs!$B$6)/(1+B50)^7</f>
        <v>-1456.149565</v>
      </c>
    </row>
    <row r="51" ht="14.25" customHeight="1">
      <c r="A51" s="7">
        <v>38.0</v>
      </c>
      <c r="B51" s="14">
        <f t="shared" si="1"/>
        <v>0.1286266985</v>
      </c>
      <c r="C51" s="39">
        <f t="array" ref="C51">NPV(B51,FCFF!$C$9:$I$9)+FCFF!$B$9+FCFF!$I$9*(1+Inputs!$B$6)/(B51-Inputs!$B$6)/(1+B51)^7</f>
        <v>-1953.663817</v>
      </c>
    </row>
    <row r="52" ht="14.25" customHeight="1">
      <c r="A52" s="7">
        <v>39.0</v>
      </c>
      <c r="B52" s="14">
        <f t="shared" si="1"/>
        <v>0.1063420886</v>
      </c>
      <c r="C52" s="39">
        <f t="array" ref="C52">NPV(B52,FCFF!$C$9:$I$9)+FCFF!$B$9+FCFF!$I$9*(1+Inputs!$B$6)/(B52-Inputs!$B$6)/(1+B52)^7</f>
        <v>-1548.173494</v>
      </c>
    </row>
    <row r="53" ht="14.25" customHeight="1">
      <c r="A53" s="7">
        <v>40.0</v>
      </c>
      <c r="B53" s="14">
        <f t="shared" si="1"/>
        <v>0.1264714806</v>
      </c>
      <c r="C53" s="39">
        <f t="array" ref="C53">NPV(B53,FCFF!$C$9:$I$9)+FCFF!$B$9+FCFF!$I$9*(1+Inputs!$B$6)/(B53-Inputs!$B$6)/(1+B53)^7</f>
        <v>-1923.072882</v>
      </c>
    </row>
    <row r="54" ht="14.25" customHeight="1">
      <c r="A54" s="7">
        <v>41.0</v>
      </c>
      <c r="B54" s="14">
        <f t="shared" si="1"/>
        <v>0.1180435406</v>
      </c>
      <c r="C54" s="39">
        <f t="array" ref="C54">NPV(B54,FCFF!$C$9:$I$9)+FCFF!$B$9+FCFF!$I$9*(1+Inputs!$B$6)/(B54-Inputs!$B$6)/(1+B54)^7</f>
        <v>-1787.985812</v>
      </c>
    </row>
    <row r="55" ht="14.25" customHeight="1">
      <c r="A55" s="7">
        <v>42.0</v>
      </c>
      <c r="B55" s="14">
        <f t="shared" si="1"/>
        <v>0.1266885014</v>
      </c>
      <c r="C55" s="39">
        <f t="array" ref="C55">NPV(B55,FCFF!$C$9:$I$9)+FCFF!$B$9+FCFF!$I$9*(1+Inputs!$B$6)/(B55-Inputs!$B$6)/(1+B55)^7</f>
        <v>-1926.219841</v>
      </c>
    </row>
    <row r="56" ht="14.25" customHeight="1">
      <c r="A56" s="7">
        <v>43.0</v>
      </c>
      <c r="B56" s="14">
        <f t="shared" si="1"/>
        <v>0.1033557982</v>
      </c>
      <c r="C56" s="39">
        <f t="array" ref="C56">NPV(B56,FCFF!$C$9:$I$9)+FCFF!$B$9+FCFF!$I$9*(1+Inputs!$B$6)/(B56-Inputs!$B$6)/(1+B56)^7</f>
        <v>-1474.320325</v>
      </c>
    </row>
    <row r="57" ht="14.25" customHeight="1">
      <c r="A57" s="7">
        <v>44.0</v>
      </c>
      <c r="B57" s="14">
        <f t="shared" si="1"/>
        <v>0.1064297702</v>
      </c>
      <c r="C57" s="39">
        <f t="array" ref="C57">NPV(B57,FCFF!$C$9:$I$9)+FCFF!$B$9+FCFF!$I$9*(1+Inputs!$B$6)/(B57-Inputs!$B$6)/(1+B57)^7</f>
        <v>-1550.252939</v>
      </c>
    </row>
    <row r="58" ht="14.25" customHeight="1">
      <c r="A58" s="7">
        <v>45.0</v>
      </c>
      <c r="B58" s="14">
        <f t="shared" si="1"/>
        <v>0.1085739591</v>
      </c>
      <c r="C58" s="39">
        <f t="array" ref="C58">NPV(B58,FCFF!$C$9:$I$9)+FCFF!$B$9+FCFF!$I$9*(1+Inputs!$B$6)/(B58-Inputs!$B$6)/(1+B58)^7</f>
        <v>-1599.624209</v>
      </c>
    </row>
    <row r="59" ht="14.25" customHeight="1">
      <c r="A59" s="7">
        <v>46.0</v>
      </c>
      <c r="B59" s="14">
        <f t="shared" si="1"/>
        <v>0.09840142029</v>
      </c>
      <c r="C59" s="39">
        <f t="array" ref="C59">NPV(B59,FCFF!$C$9:$I$9)+FCFF!$B$9+FCFF!$I$9*(1+Inputs!$B$6)/(B59-Inputs!$B$6)/(1+B59)^7</f>
        <v>-1337.368319</v>
      </c>
    </row>
    <row r="60" ht="14.25" customHeight="1">
      <c r="A60" s="7">
        <v>47.0</v>
      </c>
      <c r="B60" s="14">
        <f t="shared" si="1"/>
        <v>0.09953627806</v>
      </c>
      <c r="C60" s="39">
        <f t="array" ref="C60">NPV(B60,FCFF!$C$9:$I$9)+FCFF!$B$9+FCFF!$I$9*(1+Inputs!$B$6)/(B60-Inputs!$B$6)/(1+B60)^7</f>
        <v>-1370.475078</v>
      </c>
    </row>
    <row r="61" ht="14.25" customHeight="1">
      <c r="A61" s="7">
        <v>48.0</v>
      </c>
      <c r="B61" s="14">
        <f t="shared" si="1"/>
        <v>0.1051253482</v>
      </c>
      <c r="C61" s="39">
        <f t="array" ref="C61">NPV(B61,FCFF!$C$9:$I$9)+FCFF!$B$9+FCFF!$I$9*(1+Inputs!$B$6)/(B61-Inputs!$B$6)/(1+B61)^7</f>
        <v>-1518.805147</v>
      </c>
    </row>
    <row r="62" ht="14.25" customHeight="1">
      <c r="A62" s="7">
        <v>49.0</v>
      </c>
      <c r="B62" s="14">
        <f t="shared" si="1"/>
        <v>0.1150679669</v>
      </c>
      <c r="C62" s="39">
        <f t="array" ref="C62">NPV(B62,FCFF!$C$9:$I$9)+FCFF!$B$9+FCFF!$I$9*(1+Inputs!$B$6)/(B62-Inputs!$B$6)/(1+B62)^7</f>
        <v>-1733.50572</v>
      </c>
    </row>
    <row r="63" ht="14.25" customHeight="1">
      <c r="A63" s="7">
        <v>50.0</v>
      </c>
      <c r="B63" s="14">
        <f t="shared" si="1"/>
        <v>0.1147085855</v>
      </c>
      <c r="C63" s="39">
        <f t="array" ref="C63">NPV(B63,FCFF!$C$9:$I$9)+FCFF!$B$9+FCFF!$I$9*(1+Inputs!$B$6)/(B63-Inputs!$B$6)/(1+B63)^7</f>
        <v>-1726.654057</v>
      </c>
    </row>
    <row r="64" ht="14.25" customHeight="1">
      <c r="A64" s="7">
        <v>51.0</v>
      </c>
      <c r="B64" s="14">
        <f t="shared" si="1"/>
        <v>0.09728467386</v>
      </c>
      <c r="C64" s="39">
        <f t="array" ref="C64">NPV(B64,FCFF!$C$9:$I$9)+FCFF!$B$9+FCFF!$I$9*(1+Inputs!$B$6)/(B64-Inputs!$B$6)/(1+B64)^7</f>
        <v>-1303.697204</v>
      </c>
    </row>
    <row r="65" ht="14.25" customHeight="1">
      <c r="A65" s="7">
        <v>52.0</v>
      </c>
      <c r="B65" s="14">
        <f t="shared" si="1"/>
        <v>0.09641574406</v>
      </c>
      <c r="C65" s="39">
        <f t="array" ref="C65">NPV(B65,FCFF!$C$9:$I$9)+FCFF!$B$9+FCFF!$I$9*(1+Inputs!$B$6)/(B65-Inputs!$B$6)/(1+B65)^7</f>
        <v>-1276.715132</v>
      </c>
    </row>
    <row r="66" ht="14.25" customHeight="1">
      <c r="A66" s="7">
        <v>53.0</v>
      </c>
      <c r="B66" s="14">
        <f t="shared" si="1"/>
        <v>0.1158254735</v>
      </c>
      <c r="C66" s="39">
        <f t="array" ref="C66">NPV(B66,FCFF!$C$9:$I$9)+FCFF!$B$9+FCFF!$I$9*(1+Inputs!$B$6)/(B66-Inputs!$B$6)/(1+B66)^7</f>
        <v>-1747.751135</v>
      </c>
    </row>
    <row r="67" ht="14.25" customHeight="1">
      <c r="A67" s="7">
        <v>54.0</v>
      </c>
      <c r="B67" s="14">
        <f t="shared" si="1"/>
        <v>0.1071311542</v>
      </c>
      <c r="C67" s="39">
        <f t="array" ref="C67">NPV(B67,FCFF!$C$9:$I$9)+FCFF!$B$9+FCFF!$I$9*(1+Inputs!$B$6)/(B67-Inputs!$B$6)/(1+B67)^7</f>
        <v>-1566.71267</v>
      </c>
    </row>
    <row r="68" ht="14.25" customHeight="1">
      <c r="A68" s="7">
        <v>55.0</v>
      </c>
      <c r="B68" s="14">
        <f t="shared" si="1"/>
        <v>0.1118737924</v>
      </c>
      <c r="C68" s="39">
        <f t="array" ref="C68">NPV(B68,FCFF!$C$9:$I$9)+FCFF!$B$9+FCFF!$I$9*(1+Inputs!$B$6)/(B68-Inputs!$B$6)/(1+B68)^7</f>
        <v>-1670.407261</v>
      </c>
    </row>
    <row r="69" ht="14.25" customHeight="1">
      <c r="A69" s="7">
        <v>56.0</v>
      </c>
      <c r="B69" s="14">
        <f t="shared" si="1"/>
        <v>0.1014289468</v>
      </c>
      <c r="C69" s="39">
        <f t="array" ref="C69">NPV(B69,FCFF!$C$9:$I$9)+FCFF!$B$9+FCFF!$I$9*(1+Inputs!$B$6)/(B69-Inputs!$B$6)/(1+B69)^7</f>
        <v>-1423.335381</v>
      </c>
    </row>
    <row r="70" ht="14.25" customHeight="1">
      <c r="A70" s="7">
        <v>57.0</v>
      </c>
      <c r="B70" s="14">
        <f t="shared" si="1"/>
        <v>0.09609817939</v>
      </c>
      <c r="C70" s="39">
        <f t="array" ref="C70">NPV(B70,FCFF!$C$9:$I$9)+FCFF!$B$9+FCFF!$I$9*(1+Inputs!$B$6)/(B70-Inputs!$B$6)/(1+B70)^7</f>
        <v>-1266.677534</v>
      </c>
    </row>
    <row r="71" ht="14.25" customHeight="1">
      <c r="A71" s="7">
        <v>58.0</v>
      </c>
      <c r="B71" s="14">
        <f t="shared" si="1"/>
        <v>0.1267615955</v>
      </c>
      <c r="C71" s="39">
        <f t="array" ref="C71">NPV(B71,FCFF!$C$9:$I$9)+FCFF!$B$9+FCFF!$I$9*(1+Inputs!$B$6)/(B71-Inputs!$B$6)/(1+B71)^7</f>
        <v>-1927.276338</v>
      </c>
    </row>
    <row r="72" ht="14.25" customHeight="1">
      <c r="A72" s="7">
        <v>59.0</v>
      </c>
      <c r="B72" s="14">
        <f t="shared" si="1"/>
        <v>0.1260359475</v>
      </c>
      <c r="C72" s="39">
        <f t="array" ref="C72">NPV(B72,FCFF!$C$9:$I$9)+FCFF!$B$9+FCFF!$I$9*(1+Inputs!$B$6)/(B72-Inputs!$B$6)/(1+B72)^7</f>
        <v>-1916.711161</v>
      </c>
    </row>
    <row r="73" ht="14.25" customHeight="1">
      <c r="A73" s="7">
        <v>60.0</v>
      </c>
      <c r="B73" s="14">
        <f t="shared" si="1"/>
        <v>0.1226756504</v>
      </c>
      <c r="C73" s="39">
        <f t="array" ref="C73">NPV(B73,FCFF!$C$9:$I$9)+FCFF!$B$9+FCFF!$I$9*(1+Inputs!$B$6)/(B73-Inputs!$B$6)/(1+B73)^7</f>
        <v>-1865.468995</v>
      </c>
    </row>
    <row r="74" ht="14.25" customHeight="1">
      <c r="A74" s="7">
        <v>61.0</v>
      </c>
      <c r="B74" s="14">
        <f t="shared" si="1"/>
        <v>0.1147093803</v>
      </c>
      <c r="C74" s="39">
        <f t="array" ref="C74">NPV(B74,FCFF!$C$9:$I$9)+FCFF!$B$9+FCFF!$I$9*(1+Inputs!$B$6)/(B74-Inputs!$B$6)/(1+B74)^7</f>
        <v>-1726.669277</v>
      </c>
    </row>
    <row r="75" ht="14.25" customHeight="1">
      <c r="A75" s="7">
        <v>62.0</v>
      </c>
      <c r="B75" s="14">
        <f t="shared" si="1"/>
        <v>0.1235379154</v>
      </c>
      <c r="C75" s="39">
        <f t="array" ref="C75">NPV(B75,FCFF!$C$9:$I$9)+FCFF!$B$9+FCFF!$I$9*(1+Inputs!$B$6)/(B75-Inputs!$B$6)/(1+B75)^7</f>
        <v>-1878.993636</v>
      </c>
    </row>
    <row r="76" ht="14.25" customHeight="1">
      <c r="A76" s="7">
        <v>63.0</v>
      </c>
      <c r="B76" s="14">
        <f t="shared" si="1"/>
        <v>0.1132890949</v>
      </c>
      <c r="C76" s="39">
        <f t="array" ref="C76">NPV(B76,FCFF!$C$9:$I$9)+FCFF!$B$9+FCFF!$I$9*(1+Inputs!$B$6)/(B76-Inputs!$B$6)/(1+B76)^7</f>
        <v>-1698.987447</v>
      </c>
    </row>
    <row r="77" ht="14.25" customHeight="1">
      <c r="A77" s="7">
        <v>64.0</v>
      </c>
      <c r="B77" s="14">
        <f t="shared" si="1"/>
        <v>0.1057013502</v>
      </c>
      <c r="C77" s="39">
        <f t="array" ref="C77">NPV(B77,FCFF!$C$9:$I$9)+FCFF!$B$9+FCFF!$I$9*(1+Inputs!$B$6)/(B77-Inputs!$B$6)/(1+B77)^7</f>
        <v>-1532.828263</v>
      </c>
    </row>
    <row r="78" ht="14.25" customHeight="1">
      <c r="A78" s="7">
        <v>65.0</v>
      </c>
      <c r="B78" s="14">
        <f t="shared" si="1"/>
        <v>0.1244102254</v>
      </c>
      <c r="C78" s="39">
        <f t="array" ref="C78">NPV(B78,FCFF!$C$9:$I$9)+FCFF!$B$9+FCFF!$I$9*(1+Inputs!$B$6)/(B78-Inputs!$B$6)/(1+B78)^7</f>
        <v>-1892.407507</v>
      </c>
    </row>
    <row r="79" ht="14.25" customHeight="1">
      <c r="A79" s="7">
        <v>66.0</v>
      </c>
      <c r="B79" s="14">
        <f t="shared" si="1"/>
        <v>0.1131779963</v>
      </c>
      <c r="C79" s="39">
        <f t="array" ref="C79">NPV(B79,FCFF!$C$9:$I$9)+FCFF!$B$9+FCFF!$I$9*(1+Inputs!$B$6)/(B79-Inputs!$B$6)/(1+B79)^7</f>
        <v>-1696.780532</v>
      </c>
    </row>
    <row r="80" ht="14.25" customHeight="1">
      <c r="A80" s="7">
        <v>67.0</v>
      </c>
      <c r="B80" s="14">
        <f t="shared" si="1"/>
        <v>0.09543704831</v>
      </c>
      <c r="C80" s="39">
        <f t="array" ref="C80">NPV(B80,FCFF!$C$9:$I$9)+FCFF!$B$9+FCFF!$I$9*(1+Inputs!$B$6)/(B80-Inputs!$B$6)/(1+B80)^7</f>
        <v>-1245.469251</v>
      </c>
    </row>
    <row r="81" ht="14.25" customHeight="1">
      <c r="A81" s="7">
        <v>68.0</v>
      </c>
      <c r="B81" s="14">
        <f t="shared" si="1"/>
        <v>0.09466137334</v>
      </c>
      <c r="C81" s="39">
        <f t="array" ref="C81">NPV(B81,FCFF!$C$9:$I$9)+FCFF!$B$9+FCFF!$I$9*(1+Inputs!$B$6)/(B81-Inputs!$B$6)/(1+B81)^7</f>
        <v>-1220.036858</v>
      </c>
    </row>
    <row r="82" ht="14.25" customHeight="1">
      <c r="A82" s="7">
        <v>69.0</v>
      </c>
      <c r="B82" s="14">
        <f t="shared" si="1"/>
        <v>0.1168183846</v>
      </c>
      <c r="C82" s="39">
        <f t="array" ref="C82">NPV(B82,FCFF!$C$9:$I$9)+FCFF!$B$9+FCFF!$I$9*(1+Inputs!$B$6)/(B82-Inputs!$B$6)/(1+B82)^7</f>
        <v>-1766.029121</v>
      </c>
    </row>
    <row r="83" ht="14.25" customHeight="1">
      <c r="A83" s="7">
        <v>70.0</v>
      </c>
      <c r="B83" s="14">
        <f t="shared" si="1"/>
        <v>0.1162234936</v>
      </c>
      <c r="C83" s="39">
        <f t="array" ref="C83">NPV(B83,FCFF!$C$9:$I$9)+FCFF!$B$9+FCFF!$I$9*(1+Inputs!$B$6)/(B83-Inputs!$B$6)/(1+B83)^7</f>
        <v>-1755.131116</v>
      </c>
    </row>
    <row r="84" ht="14.25" customHeight="1">
      <c r="A84" s="7">
        <v>71.0</v>
      </c>
      <c r="B84" s="14">
        <f t="shared" si="1"/>
        <v>0.1120623803</v>
      </c>
      <c r="C84" s="39">
        <f t="array" ref="C84">NPV(B84,FCFF!$C$9:$I$9)+FCFF!$B$9+FCFF!$I$9*(1+Inputs!$B$6)/(B84-Inputs!$B$6)/(1+B84)^7</f>
        <v>-1674.274704</v>
      </c>
    </row>
    <row r="85" ht="14.25" customHeight="1">
      <c r="A85" s="7">
        <v>72.0</v>
      </c>
      <c r="B85" s="14">
        <f t="shared" si="1"/>
        <v>0.1283971869</v>
      </c>
      <c r="C85" s="39">
        <f t="array" ref="C85">NPV(B85,FCFF!$C$9:$I$9)+FCFF!$B$9+FCFF!$I$9*(1+Inputs!$B$6)/(B85-Inputs!$B$6)/(1+B85)^7</f>
        <v>-1950.474939</v>
      </c>
    </row>
    <row r="86" ht="14.25" customHeight="1">
      <c r="A86" s="7">
        <v>73.0</v>
      </c>
      <c r="B86" s="14">
        <f t="shared" si="1"/>
        <v>0.1032928799</v>
      </c>
      <c r="C86" s="39">
        <f t="array" ref="C86">NPV(B86,FCFF!$C$9:$I$9)+FCFF!$B$9+FCFF!$I$9*(1+Inputs!$B$6)/(B86-Inputs!$B$6)/(1+B86)^7</f>
        <v>-1472.698399</v>
      </c>
    </row>
    <row r="87" ht="14.25" customHeight="1">
      <c r="A87" s="7">
        <v>74.0</v>
      </c>
      <c r="B87" s="14">
        <f t="shared" si="1"/>
        <v>0.1069630753</v>
      </c>
      <c r="C87" s="39">
        <f t="array" ref="C87">NPV(B87,FCFF!$C$9:$I$9)+FCFF!$B$9+FCFF!$I$9*(1+Inputs!$B$6)/(B87-Inputs!$B$6)/(1+B87)^7</f>
        <v>-1562.796278</v>
      </c>
    </row>
    <row r="88" ht="14.25" customHeight="1">
      <c r="A88" s="7">
        <v>75.0</v>
      </c>
      <c r="B88" s="14">
        <f t="shared" si="1"/>
        <v>0.11846342</v>
      </c>
      <c r="C88" s="39">
        <f t="array" ref="C88">NPV(B88,FCFF!$C$9:$I$9)+FCFF!$B$9+FCFF!$I$9*(1+Inputs!$B$6)/(B88-Inputs!$B$6)/(1+B88)^7</f>
        <v>-1795.363418</v>
      </c>
    </row>
    <row r="89" ht="14.25" customHeight="1">
      <c r="A89" s="7">
        <v>76.0</v>
      </c>
      <c r="B89" s="14">
        <f t="shared" si="1"/>
        <v>0.1200376879</v>
      </c>
      <c r="C89" s="39">
        <f t="array" ref="C89">NPV(B89,FCFF!$C$9:$I$9)+FCFF!$B$9+FCFF!$I$9*(1+Inputs!$B$6)/(B89-Inputs!$B$6)/(1+B89)^7</f>
        <v>-1822.378209</v>
      </c>
    </row>
    <row r="90" ht="14.25" customHeight="1">
      <c r="A90" s="7">
        <v>77.0</v>
      </c>
      <c r="B90" s="14">
        <f t="shared" si="1"/>
        <v>0.1098566498</v>
      </c>
      <c r="C90" s="39">
        <f t="array" ref="C90">NPV(B90,FCFF!$C$9:$I$9)+FCFF!$B$9+FCFF!$I$9*(1+Inputs!$B$6)/(B90-Inputs!$B$6)/(1+B90)^7</f>
        <v>-1627.856517</v>
      </c>
    </row>
    <row r="91" ht="14.25" customHeight="1">
      <c r="A91" s="7">
        <v>78.0</v>
      </c>
      <c r="B91" s="14">
        <f t="shared" si="1"/>
        <v>0.119575098</v>
      </c>
      <c r="C91" s="39">
        <f t="array" ref="C91">NPV(B91,FCFF!$C$9:$I$9)+FCFF!$B$9+FCFF!$I$9*(1+Inputs!$B$6)/(B91-Inputs!$B$6)/(1+B91)^7</f>
        <v>-1814.54419</v>
      </c>
    </row>
    <row r="92" ht="14.25" customHeight="1">
      <c r="A92" s="7">
        <v>79.0</v>
      </c>
      <c r="B92" s="14">
        <f t="shared" si="1"/>
        <v>0.1133695779</v>
      </c>
      <c r="C92" s="39">
        <f t="array" ref="C92">NPV(B92,FCFF!$C$9:$I$9)+FCFF!$B$9+FCFF!$I$9*(1+Inputs!$B$6)/(B92-Inputs!$B$6)/(1+B92)^7</f>
        <v>-1700.582376</v>
      </c>
    </row>
    <row r="93" ht="14.25" customHeight="1">
      <c r="A93" s="7">
        <v>80.0</v>
      </c>
      <c r="B93" s="14">
        <f t="shared" si="1"/>
        <v>0.09584444701</v>
      </c>
      <c r="C93" s="39">
        <f t="array" ref="C93">NPV(B93,FCFF!$C$9:$I$9)+FCFF!$B$9+FCFF!$I$9*(1+Inputs!$B$6)/(B93-Inputs!$B$6)/(1+B93)^7</f>
        <v>-1258.588231</v>
      </c>
    </row>
    <row r="94" ht="14.25" customHeight="1">
      <c r="A94" s="7">
        <v>81.0</v>
      </c>
      <c r="B94" s="14">
        <f t="shared" si="1"/>
        <v>0.1172862429</v>
      </c>
      <c r="C94" s="39">
        <f t="array" ref="C94">NPV(B94,FCFF!$C$9:$I$9)+FCFF!$B$9+FCFF!$I$9*(1+Inputs!$B$6)/(B94-Inputs!$B$6)/(1+B94)^7</f>
        <v>-1774.490395</v>
      </c>
    </row>
    <row r="95" ht="14.25" customHeight="1">
      <c r="A95" s="7">
        <v>82.0</v>
      </c>
      <c r="B95" s="14">
        <f t="shared" si="1"/>
        <v>0.1046500976</v>
      </c>
      <c r="C95" s="39">
        <f t="array" ref="C95">NPV(B95,FCFF!$C$9:$I$9)+FCFF!$B$9+FCFF!$I$9*(1+Inputs!$B$6)/(B95-Inputs!$B$6)/(1+B95)^7</f>
        <v>-1507.068657</v>
      </c>
    </row>
    <row r="96" ht="14.25" customHeight="1">
      <c r="A96" s="7">
        <v>83.0</v>
      </c>
      <c r="B96" s="14">
        <f t="shared" si="1"/>
        <v>0.1089020441</v>
      </c>
      <c r="C96" s="39">
        <f t="array" ref="C96">NPV(B96,FCFF!$C$9:$I$9)+FCFF!$B$9+FCFF!$I$9*(1+Inputs!$B$6)/(B96-Inputs!$B$6)/(1+B96)^7</f>
        <v>-1606.935462</v>
      </c>
    </row>
    <row r="97" ht="14.25" customHeight="1">
      <c r="A97" s="7">
        <v>84.0</v>
      </c>
      <c r="B97" s="14">
        <f t="shared" si="1"/>
        <v>0.09796523305</v>
      </c>
      <c r="C97" s="39">
        <f t="array" ref="C97">NPV(B97,FCFF!$C$9:$I$9)+FCFF!$B$9+FCFF!$I$9*(1+Inputs!$B$6)/(B97-Inputs!$B$6)/(1+B97)^7</f>
        <v>-1324.348608</v>
      </c>
    </row>
    <row r="98" ht="14.25" customHeight="1">
      <c r="A98" s="7">
        <v>85.0</v>
      </c>
      <c r="B98" s="14">
        <f t="shared" si="1"/>
        <v>0.1167458218</v>
      </c>
      <c r="C98" s="39">
        <f t="array" ref="C98">NPV(B98,FCFF!$C$9:$I$9)+FCFF!$B$9+FCFF!$I$9*(1+Inputs!$B$6)/(B98-Inputs!$B$6)/(1+B98)^7</f>
        <v>-1764.708222</v>
      </c>
    </row>
    <row r="99" ht="14.25" customHeight="1">
      <c r="A99" s="7">
        <v>86.0</v>
      </c>
      <c r="B99" s="14">
        <f t="shared" si="1"/>
        <v>0.1113238388</v>
      </c>
      <c r="C99" s="39">
        <f t="array" ref="C99">NPV(B99,FCFF!$C$9:$I$9)+FCFF!$B$9+FCFF!$I$9*(1+Inputs!$B$6)/(B99-Inputs!$B$6)/(1+B99)^7</f>
        <v>-1659.022895</v>
      </c>
    </row>
    <row r="100" ht="14.25" customHeight="1">
      <c r="A100" s="7">
        <v>87.0</v>
      </c>
      <c r="B100" s="14">
        <f t="shared" si="1"/>
        <v>0.1326297047</v>
      </c>
      <c r="C100" s="39">
        <f t="array" ref="C100">NPV(B100,FCFF!$C$9:$I$9)+FCFF!$B$9+FCFF!$I$9*(1+Inputs!$B$6)/(B100-Inputs!$B$6)/(1+B100)^7</f>
        <v>-2006.799682</v>
      </c>
    </row>
    <row r="101" ht="14.25" customHeight="1">
      <c r="A101" s="7">
        <v>88.0</v>
      </c>
      <c r="B101" s="14">
        <f t="shared" si="1"/>
        <v>0.1009554232</v>
      </c>
      <c r="C101" s="39">
        <f t="array" ref="C101">NPV(B101,FCFF!$C$9:$I$9)+FCFF!$B$9+FCFF!$I$9*(1+Inputs!$B$6)/(B101-Inputs!$B$6)/(1+B101)^7</f>
        <v>-1410.377012</v>
      </c>
    </row>
    <row r="102" ht="14.25" customHeight="1">
      <c r="A102" s="7">
        <v>89.0</v>
      </c>
      <c r="B102" s="14">
        <f t="shared" si="1"/>
        <v>0.09685050695</v>
      </c>
      <c r="C102" s="39">
        <f t="array" ref="C102">NPV(B102,FCFF!$C$9:$I$9)+FCFF!$B$9+FCFF!$I$9*(1+Inputs!$B$6)/(B102-Inputs!$B$6)/(1+B102)^7</f>
        <v>-1290.302936</v>
      </c>
    </row>
    <row r="103" ht="14.25" customHeight="1">
      <c r="A103" s="7">
        <v>90.0</v>
      </c>
      <c r="B103" s="14">
        <f t="shared" si="1"/>
        <v>0.1285719194</v>
      </c>
      <c r="C103" s="39">
        <f t="array" ref="C103">NPV(B103,FCFF!$C$9:$I$9)+FCFF!$B$9+FCFF!$I$9*(1+Inputs!$B$6)/(B103-Inputs!$B$6)/(1+B103)^7</f>
        <v>-1952.904164</v>
      </c>
    </row>
    <row r="104" ht="14.25" customHeight="1">
      <c r="A104" s="7">
        <v>91.0</v>
      </c>
      <c r="B104" s="14">
        <f t="shared" si="1"/>
        <v>0.09520294819</v>
      </c>
      <c r="C104" s="39">
        <f t="array" ref="C104">NPV(B104,FCFF!$C$9:$I$9)+FCFF!$B$9+FCFF!$I$9*(1+Inputs!$B$6)/(B104-Inputs!$B$6)/(1+B104)^7</f>
        <v>-1237.857044</v>
      </c>
    </row>
    <row r="105" ht="14.25" customHeight="1">
      <c r="A105" s="7">
        <v>92.0</v>
      </c>
      <c r="B105" s="14">
        <f t="shared" si="1"/>
        <v>0.09337224076</v>
      </c>
      <c r="C105" s="39">
        <f t="array" ref="C105">NPV(B105,FCFF!$C$9:$I$9)+FCFF!$B$9+FCFF!$I$9*(1+Inputs!$B$6)/(B105-Inputs!$B$6)/(1+B105)^7</f>
        <v>-1176.403865</v>
      </c>
    </row>
    <row r="106" ht="14.25" customHeight="1">
      <c r="A106" s="7">
        <v>93.0</v>
      </c>
      <c r="B106" s="14">
        <f t="shared" si="1"/>
        <v>0.1098018583</v>
      </c>
      <c r="C106" s="39">
        <f t="array" ref="C106">NPV(B106,FCFF!$C$9:$I$9)+FCFF!$B$9+FCFF!$I$9*(1+Inputs!$B$6)/(B106-Inputs!$B$6)/(1+B106)^7</f>
        <v>-1626.669675</v>
      </c>
    </row>
    <row r="107" ht="14.25" customHeight="1">
      <c r="A107" s="7">
        <v>94.0</v>
      </c>
      <c r="B107" s="14">
        <f t="shared" si="1"/>
        <v>0.09378728715</v>
      </c>
      <c r="C107" s="39">
        <f t="array" ref="C107">NPV(B107,FCFF!$C$9:$I$9)+FCFF!$B$9+FCFF!$I$9*(1+Inputs!$B$6)/(B107-Inputs!$B$6)/(1+B107)^7</f>
        <v>-1190.64248</v>
      </c>
    </row>
    <row r="108" ht="14.25" customHeight="1">
      <c r="A108" s="7">
        <v>95.0</v>
      </c>
      <c r="B108" s="14">
        <f t="shared" si="1"/>
        <v>0.1069308394</v>
      </c>
      <c r="C108" s="39">
        <f t="array" ref="C108">NPV(B108,FCFF!$C$9:$I$9)+FCFF!$B$9+FCFF!$I$9*(1+Inputs!$B$6)/(B108-Inputs!$B$6)/(1+B108)^7</f>
        <v>-1562.043148</v>
      </c>
    </row>
    <row r="109" ht="14.25" customHeight="1">
      <c r="A109" s="7">
        <v>96.0</v>
      </c>
      <c r="B109" s="14">
        <f t="shared" si="1"/>
        <v>0.1134420525</v>
      </c>
      <c r="C109" s="39">
        <f t="array" ref="C109">NPV(B109,FCFF!$C$9:$I$9)+FCFF!$B$9+FCFF!$I$9*(1+Inputs!$B$6)/(B109-Inputs!$B$6)/(1+B109)^7</f>
        <v>-1702.01586</v>
      </c>
    </row>
    <row r="110" ht="14.25" customHeight="1">
      <c r="A110" s="7">
        <v>97.0</v>
      </c>
      <c r="B110" s="14">
        <f t="shared" si="1"/>
        <v>0.1022461551</v>
      </c>
      <c r="C110" s="39">
        <f t="array" ref="C110">NPV(B110,FCFF!$C$9:$I$9)+FCFF!$B$9+FCFF!$I$9*(1+Inputs!$B$6)/(B110-Inputs!$B$6)/(1+B110)^7</f>
        <v>-1445.29524</v>
      </c>
    </row>
    <row r="111" ht="14.25" customHeight="1">
      <c r="A111" s="7">
        <v>98.0</v>
      </c>
      <c r="B111" s="14">
        <f t="shared" si="1"/>
        <v>0.1275823099</v>
      </c>
      <c r="C111" s="39">
        <f t="array" ref="C111">NPV(B111,FCFF!$C$9:$I$9)+FCFF!$B$9+FCFF!$I$9*(1+Inputs!$B$6)/(B111-Inputs!$B$6)/(1+B111)^7</f>
        <v>-1939.0219</v>
      </c>
    </row>
    <row r="112" ht="14.25" customHeight="1">
      <c r="A112" s="7">
        <v>99.0</v>
      </c>
      <c r="B112" s="14">
        <f t="shared" si="1"/>
        <v>0.1227999525</v>
      </c>
      <c r="C112" s="39">
        <f t="array" ref="C112">NPV(B112,FCFF!$C$9:$I$9)+FCFF!$B$9+FCFF!$I$9*(1+Inputs!$B$6)/(B112-Inputs!$B$6)/(1+B112)^7</f>
        <v>-1867.435217</v>
      </c>
    </row>
    <row r="113" ht="14.25" customHeight="1">
      <c r="A113" s="7">
        <v>100.0</v>
      </c>
      <c r="B113" s="14">
        <f t="shared" si="1"/>
        <v>0.101746297</v>
      </c>
      <c r="C113" s="39">
        <f t="array" ref="C113">NPV(B113,FCFF!$C$9:$I$9)+FCFF!$B$9+FCFF!$I$9*(1+Inputs!$B$6)/(B113-Inputs!$B$6)/(1+B113)^7</f>
        <v>-1431.923236</v>
      </c>
    </row>
    <row r="114" ht="14.25" customHeight="1">
      <c r="A114" s="7">
        <v>101.0</v>
      </c>
      <c r="B114" s="14">
        <f t="shared" si="1"/>
        <v>0.1007639025</v>
      </c>
      <c r="C114" s="39">
        <f t="array" ref="C114">NPV(B114,FCFF!$C$9:$I$9)+FCFF!$B$9+FCFF!$I$9*(1+Inputs!$B$6)/(B114-Inputs!$B$6)/(1+B114)^7</f>
        <v>-1405.086175</v>
      </c>
    </row>
    <row r="115" ht="14.25" customHeight="1">
      <c r="A115" s="7">
        <v>102.0</v>
      </c>
      <c r="B115" s="14">
        <f t="shared" si="1"/>
        <v>0.1008273675</v>
      </c>
      <c r="C115" s="39">
        <f t="array" ref="C115">NPV(B115,FCFF!$C$9:$I$9)+FCFF!$B$9+FCFF!$I$9*(1+Inputs!$B$6)/(B115-Inputs!$B$6)/(1+B115)^7</f>
        <v>-1406.842618</v>
      </c>
    </row>
    <row r="116" ht="14.25" customHeight="1">
      <c r="A116" s="7">
        <v>103.0</v>
      </c>
      <c r="B116" s="14">
        <f t="shared" si="1"/>
        <v>0.1178159593</v>
      </c>
      <c r="C116" s="39">
        <f t="array" ref="C116">NPV(B116,FCFF!$C$9:$I$9)+FCFF!$B$9+FCFF!$I$9*(1+Inputs!$B$6)/(B116-Inputs!$B$6)/(1+B116)^7</f>
        <v>-1783.955955</v>
      </c>
    </row>
    <row r="117" ht="14.25" customHeight="1">
      <c r="A117" s="7">
        <v>104.0</v>
      </c>
      <c r="B117" s="14">
        <f t="shared" si="1"/>
        <v>0.1040668987</v>
      </c>
      <c r="C117" s="39">
        <f t="array" ref="C117">NPV(B117,FCFF!$C$9:$I$9)+FCFF!$B$9+FCFF!$I$9*(1+Inputs!$B$6)/(B117-Inputs!$B$6)/(1+B117)^7</f>
        <v>-1492.456662</v>
      </c>
    </row>
    <row r="118" ht="14.25" customHeight="1">
      <c r="A118" s="7">
        <v>105.0</v>
      </c>
      <c r="B118" s="14">
        <f t="shared" si="1"/>
        <v>0.1324068303</v>
      </c>
      <c r="C118" s="39">
        <f t="array" ref="C118">NPV(B118,FCFF!$C$9:$I$9)+FCFF!$B$9+FCFF!$I$9*(1+Inputs!$B$6)/(B118-Inputs!$B$6)/(1+B118)^7</f>
        <v>-2003.959984</v>
      </c>
    </row>
    <row r="119" ht="14.25" customHeight="1">
      <c r="A119" s="7">
        <v>106.0</v>
      </c>
      <c r="B119" s="14">
        <f t="shared" si="1"/>
        <v>0.1032582321</v>
      </c>
      <c r="C119" s="39">
        <f t="array" ref="C119">NPV(B119,FCFF!$C$9:$I$9)+FCFF!$B$9+FCFF!$I$9*(1+Inputs!$B$6)/(B119-Inputs!$B$6)/(1+B119)^7</f>
        <v>-1471.804033</v>
      </c>
    </row>
    <row r="120" ht="14.25" customHeight="1">
      <c r="A120" s="7">
        <v>107.0</v>
      </c>
      <c r="B120" s="14">
        <f t="shared" si="1"/>
        <v>0.1031819062</v>
      </c>
      <c r="C120" s="39">
        <f t="array" ref="C120">NPV(B120,FCFF!$C$9:$I$9)+FCFF!$B$9+FCFF!$I$9*(1+Inputs!$B$6)/(B120-Inputs!$B$6)/(1+B120)^7</f>
        <v>-1469.830791</v>
      </c>
    </row>
    <row r="121" ht="14.25" customHeight="1">
      <c r="A121" s="7">
        <v>108.0</v>
      </c>
      <c r="B121" s="14">
        <f t="shared" si="1"/>
        <v>0.103977364</v>
      </c>
      <c r="C121" s="39">
        <f t="array" ref="C121">NPV(B121,FCFF!$C$9:$I$9)+FCFF!$B$9+FCFF!$I$9*(1+Inputs!$B$6)/(B121-Inputs!$B$6)/(1+B121)^7</f>
        <v>-1490.192617</v>
      </c>
    </row>
    <row r="122" ht="14.25" customHeight="1">
      <c r="A122" s="7">
        <v>109.0</v>
      </c>
      <c r="B122" s="14">
        <f t="shared" si="1"/>
        <v>0.097456464</v>
      </c>
      <c r="C122" s="39">
        <f t="array" ref="C122">NPV(B122,FCFF!$C$9:$I$9)+FCFF!$B$9+FCFF!$I$9*(1+Inputs!$B$6)/(B122-Inputs!$B$6)/(1+B122)^7</f>
        <v>-1308.949453</v>
      </c>
    </row>
    <row r="123" ht="14.25" customHeight="1">
      <c r="A123" s="7">
        <v>110.0</v>
      </c>
      <c r="B123" s="14">
        <f t="shared" si="1"/>
        <v>0.1025548363</v>
      </c>
      <c r="C123" s="39">
        <f t="array" ref="C123">NPV(B123,FCFF!$C$9:$I$9)+FCFF!$B$9+FCFF!$I$9*(1+Inputs!$B$6)/(B123-Inputs!$B$6)/(1+B123)^7</f>
        <v>-1453.45981</v>
      </c>
    </row>
    <row r="124" ht="14.25" customHeight="1">
      <c r="A124" s="7">
        <v>111.0</v>
      </c>
      <c r="B124" s="14">
        <f t="shared" si="1"/>
        <v>0.1087098855</v>
      </c>
      <c r="C124" s="39">
        <f t="array" ref="C124">NPV(B124,FCFF!$C$9:$I$9)+FCFF!$B$9+FCFF!$I$9*(1+Inputs!$B$6)/(B124-Inputs!$B$6)/(1+B124)^7</f>
        <v>-1602.66089</v>
      </c>
    </row>
    <row r="125" ht="14.25" customHeight="1">
      <c r="A125" s="7">
        <v>112.0</v>
      </c>
      <c r="B125" s="14">
        <f t="shared" si="1"/>
        <v>0.107461034</v>
      </c>
      <c r="C125" s="39">
        <f t="array" ref="C125">NPV(B125,FCFF!$C$9:$I$9)+FCFF!$B$9+FCFF!$I$9*(1+Inputs!$B$6)/(B125-Inputs!$B$6)/(1+B125)^7</f>
        <v>-1574.348509</v>
      </c>
    </row>
    <row r="126" ht="14.25" customHeight="1">
      <c r="A126" s="7">
        <v>113.0</v>
      </c>
      <c r="B126" s="14">
        <f t="shared" si="1"/>
        <v>0.09458613415</v>
      </c>
      <c r="C126" s="39">
        <f t="array" ref="C126">NPV(B126,FCFF!$C$9:$I$9)+FCFF!$B$9+FCFF!$I$9*(1+Inputs!$B$6)/(B126-Inputs!$B$6)/(1+B126)^7</f>
        <v>-1217.537689</v>
      </c>
    </row>
    <row r="127" ht="14.25" customHeight="1">
      <c r="A127" s="7">
        <v>114.0</v>
      </c>
      <c r="B127" s="14">
        <f t="shared" si="1"/>
        <v>0.09861432289</v>
      </c>
      <c r="C127" s="39">
        <f t="array" ref="C127">NPV(B127,FCFF!$C$9:$I$9)+FCFF!$B$9+FCFF!$I$9*(1+Inputs!$B$6)/(B127-Inputs!$B$6)/(1+B127)^7</f>
        <v>-1343.662987</v>
      </c>
    </row>
    <row r="128" ht="14.25" customHeight="1">
      <c r="A128" s="7">
        <v>115.0</v>
      </c>
      <c r="B128" s="14">
        <f t="shared" si="1"/>
        <v>0.09799566372</v>
      </c>
      <c r="C128" s="39">
        <f t="array" ref="C128">NPV(B128,FCFF!$C$9:$I$9)+FCFF!$B$9+FCFF!$I$9*(1+Inputs!$B$6)/(B128-Inputs!$B$6)/(1+B128)^7</f>
        <v>-1325.262359</v>
      </c>
    </row>
    <row r="129" ht="14.25" customHeight="1">
      <c r="A129" s="7">
        <v>116.0</v>
      </c>
      <c r="B129" s="14">
        <f t="shared" si="1"/>
        <v>0.1207833261</v>
      </c>
      <c r="C129" s="39">
        <f t="array" ref="C129">NPV(B129,FCFF!$C$9:$I$9)+FCFF!$B$9+FCFF!$I$9*(1+Inputs!$B$6)/(B129-Inputs!$B$6)/(1+B129)^7</f>
        <v>-1834.827764</v>
      </c>
    </row>
    <row r="130" ht="14.25" customHeight="1">
      <c r="A130" s="7">
        <v>117.0</v>
      </c>
      <c r="B130" s="14">
        <f t="shared" si="1"/>
        <v>0.1078661461</v>
      </c>
      <c r="C130" s="39">
        <f t="array" ref="C130">NPV(B130,FCFF!$C$9:$I$9)+FCFF!$B$9+FCFF!$I$9*(1+Inputs!$B$6)/(B130-Inputs!$B$6)/(1+B130)^7</f>
        <v>-1583.634961</v>
      </c>
    </row>
    <row r="131" ht="14.25" customHeight="1">
      <c r="A131" s="7">
        <v>118.0</v>
      </c>
      <c r="B131" s="14">
        <f t="shared" si="1"/>
        <v>0.1098115856</v>
      </c>
      <c r="C131" s="39">
        <f t="array" ref="C131">NPV(B131,FCFF!$C$9:$I$9)+FCFF!$B$9+FCFF!$I$9*(1+Inputs!$B$6)/(B131-Inputs!$B$6)/(1+B131)^7</f>
        <v>-1626.880502</v>
      </c>
    </row>
    <row r="132" ht="14.25" customHeight="1">
      <c r="A132" s="7">
        <v>119.0</v>
      </c>
      <c r="B132" s="14">
        <f t="shared" si="1"/>
        <v>0.1302685988</v>
      </c>
      <c r="C132" s="39">
        <f t="array" ref="C132">NPV(B132,FCFF!$C$9:$I$9)+FCFF!$B$9+FCFF!$I$9*(1+Inputs!$B$6)/(B132-Inputs!$B$6)/(1+B132)^7</f>
        <v>-1976.016107</v>
      </c>
    </row>
    <row r="133" ht="14.25" customHeight="1">
      <c r="A133" s="7">
        <v>120.0</v>
      </c>
      <c r="B133" s="14">
        <f t="shared" si="1"/>
        <v>0.1180400582</v>
      </c>
      <c r="C133" s="39">
        <f t="array" ref="C133">NPV(B133,FCFF!$C$9:$I$9)+FCFF!$B$9+FCFF!$I$9*(1+Inputs!$B$6)/(B133-Inputs!$B$6)/(1+B133)^7</f>
        <v>-1787.924313</v>
      </c>
    </row>
    <row r="134" ht="14.25" customHeight="1">
      <c r="A134" s="7">
        <v>121.0</v>
      </c>
      <c r="B134" s="14">
        <f t="shared" si="1"/>
        <v>0.1005595972</v>
      </c>
      <c r="C134" s="39">
        <f t="array" ref="C134">NPV(B134,FCFF!$C$9:$I$9)+FCFF!$B$9+FCFF!$I$9*(1+Inputs!$B$6)/(B134-Inputs!$B$6)/(1+B134)^7</f>
        <v>-1399.410224</v>
      </c>
    </row>
    <row r="135" ht="14.25" customHeight="1">
      <c r="A135" s="7">
        <v>122.0</v>
      </c>
      <c r="B135" s="14">
        <f t="shared" si="1"/>
        <v>0.0963608383</v>
      </c>
      <c r="C135" s="39">
        <f t="array" ref="C135">NPV(B135,FCFF!$C$9:$I$9)+FCFF!$B$9+FCFF!$I$9*(1+Inputs!$B$6)/(B135-Inputs!$B$6)/(1+B135)^7</f>
        <v>-1274.986514</v>
      </c>
    </row>
    <row r="136" ht="14.25" customHeight="1">
      <c r="A136" s="7">
        <v>123.0</v>
      </c>
      <c r="B136" s="14">
        <f t="shared" si="1"/>
        <v>0.09646204099</v>
      </c>
      <c r="C136" s="39">
        <f t="array" ref="C136">NPV(B136,FCFF!$C$9:$I$9)+FCFF!$B$9+FCFF!$I$9*(1+Inputs!$B$6)/(B136-Inputs!$B$6)/(1+B136)^7</f>
        <v>-1278.170502</v>
      </c>
    </row>
    <row r="137" ht="14.25" customHeight="1">
      <c r="A137" s="7">
        <v>124.0</v>
      </c>
      <c r="B137" s="14">
        <f t="shared" si="1"/>
        <v>0.1062493054</v>
      </c>
      <c r="C137" s="39">
        <f t="array" ref="C137">NPV(B137,FCFF!$C$9:$I$9)+FCFF!$B$9+FCFF!$I$9*(1+Inputs!$B$6)/(B137-Inputs!$B$6)/(1+B137)^7</f>
        <v>-1545.967729</v>
      </c>
    </row>
    <row r="138" ht="14.25" customHeight="1">
      <c r="A138" s="7">
        <v>125.0</v>
      </c>
      <c r="B138" s="14">
        <f t="shared" si="1"/>
        <v>0.102414177</v>
      </c>
      <c r="C138" s="39">
        <f t="array" ref="C138">NPV(B138,FCFF!$C$9:$I$9)+FCFF!$B$9+FCFF!$I$9*(1+Inputs!$B$6)/(B138-Inputs!$B$6)/(1+B138)^7</f>
        <v>-1449.748136</v>
      </c>
    </row>
    <row r="139" ht="14.25" customHeight="1">
      <c r="A139" s="7">
        <v>126.0</v>
      </c>
      <c r="B139" s="14">
        <f t="shared" si="1"/>
        <v>0.1104620359</v>
      </c>
      <c r="C139" s="39">
        <f t="array" ref="C139">NPV(B139,FCFF!$C$9:$I$9)+FCFF!$B$9+FCFF!$I$9*(1+Inputs!$B$6)/(B139-Inputs!$B$6)/(1+B139)^7</f>
        <v>-1640.858714</v>
      </c>
    </row>
    <row r="140" ht="14.25" customHeight="1">
      <c r="A140" s="7">
        <v>127.0</v>
      </c>
      <c r="B140" s="14">
        <f t="shared" si="1"/>
        <v>0.1169321599</v>
      </c>
      <c r="C140" s="39">
        <f t="array" ref="C140">NPV(B140,FCFF!$C$9:$I$9)+FCFF!$B$9+FCFF!$I$9*(1+Inputs!$B$6)/(B140-Inputs!$B$6)/(1+B140)^7</f>
        <v>-1768.09557</v>
      </c>
    </row>
    <row r="141" ht="14.25" customHeight="1">
      <c r="A141" s="7">
        <v>128.0</v>
      </c>
      <c r="B141" s="14">
        <f t="shared" si="1"/>
        <v>0.1235495203</v>
      </c>
      <c r="C141" s="39">
        <f t="array" ref="C141">NPV(B141,FCFF!$C$9:$I$9)+FCFF!$B$9+FCFF!$I$9*(1+Inputs!$B$6)/(B141-Inputs!$B$6)/(1+B141)^7</f>
        <v>-1879.173844</v>
      </c>
    </row>
    <row r="142" ht="14.25" customHeight="1">
      <c r="A142" s="7">
        <v>129.0</v>
      </c>
      <c r="B142" s="14">
        <f t="shared" si="1"/>
        <v>0.1051630819</v>
      </c>
      <c r="C142" s="39">
        <f t="array" ref="C142">NPV(B142,FCFF!$C$9:$I$9)+FCFF!$B$9+FCFF!$I$9*(1+Inputs!$B$6)/(B142-Inputs!$B$6)/(1+B142)^7</f>
        <v>-1519.730512</v>
      </c>
    </row>
    <row r="143" ht="14.25" customHeight="1">
      <c r="A143" s="7">
        <v>130.0</v>
      </c>
      <c r="B143" s="14">
        <f t="shared" si="1"/>
        <v>0.1237363049</v>
      </c>
      <c r="C143" s="39">
        <f t="array" ref="C143">NPV(B143,FCFF!$C$9:$I$9)+FCFF!$B$9+FCFF!$I$9*(1+Inputs!$B$6)/(B143-Inputs!$B$6)/(1+B143)^7</f>
        <v>-1882.067803</v>
      </c>
    </row>
    <row r="144" ht="14.25" customHeight="1">
      <c r="A144" s="7">
        <v>131.0</v>
      </c>
      <c r="B144" s="14">
        <f t="shared" si="1"/>
        <v>0.1143860226</v>
      </c>
      <c r="C144" s="39">
        <f t="array" ref="C144">NPV(B144,FCFF!$C$9:$I$9)+FCFF!$B$9+FCFF!$I$9*(1+Inputs!$B$6)/(B144-Inputs!$B$6)/(1+B144)^7</f>
        <v>-1720.452402</v>
      </c>
    </row>
    <row r="145" ht="14.25" customHeight="1">
      <c r="A145" s="7">
        <v>132.0</v>
      </c>
      <c r="B145" s="14">
        <f t="shared" si="1"/>
        <v>0.1300119908</v>
      </c>
      <c r="C145" s="39">
        <f t="array" ref="C145">NPV(B145,FCFF!$C$9:$I$9)+FCFF!$B$9+FCFF!$I$9*(1+Inputs!$B$6)/(B145-Inputs!$B$6)/(1+B145)^7</f>
        <v>-1972.575176</v>
      </c>
    </row>
    <row r="146" ht="14.25" customHeight="1">
      <c r="A146" s="7">
        <v>133.0</v>
      </c>
      <c r="B146" s="14">
        <f t="shared" si="1"/>
        <v>0.09520598935</v>
      </c>
      <c r="C146" s="39">
        <f t="array" ref="C146">NPV(B146,FCFF!$C$9:$I$9)+FCFF!$B$9+FCFF!$I$9*(1+Inputs!$B$6)/(B146-Inputs!$B$6)/(1+B146)^7</f>
        <v>-1237.956281</v>
      </c>
    </row>
    <row r="147" ht="14.25" customHeight="1">
      <c r="A147" s="7">
        <v>134.0</v>
      </c>
      <c r="B147" s="14">
        <f t="shared" si="1"/>
        <v>0.119524854</v>
      </c>
      <c r="C147" s="39">
        <f t="array" ref="C147">NPV(B147,FCFF!$C$9:$I$9)+FCFF!$B$9+FCFF!$I$9*(1+Inputs!$B$6)/(B147-Inputs!$B$6)/(1+B147)^7</f>
        <v>-1813.688144</v>
      </c>
    </row>
    <row r="148" ht="14.25" customHeight="1">
      <c r="A148" s="7">
        <v>135.0</v>
      </c>
      <c r="B148" s="14">
        <f t="shared" si="1"/>
        <v>0.1279625025</v>
      </c>
      <c r="C148" s="39">
        <f t="array" ref="C148">NPV(B148,FCFF!$C$9:$I$9)+FCFF!$B$9+FCFF!$I$9*(1+Inputs!$B$6)/(B148-Inputs!$B$6)/(1+B148)^7</f>
        <v>-1944.391084</v>
      </c>
    </row>
    <row r="149" ht="14.25" customHeight="1">
      <c r="A149" s="7">
        <v>136.0</v>
      </c>
      <c r="B149" s="14">
        <f t="shared" si="1"/>
        <v>0.1107709786</v>
      </c>
      <c r="C149" s="39">
        <f t="array" ref="C149">NPV(B149,FCFF!$C$9:$I$9)+FCFF!$B$9+FCFF!$I$9*(1+Inputs!$B$6)/(B149-Inputs!$B$6)/(1+B149)^7</f>
        <v>-1647.416415</v>
      </c>
    </row>
    <row r="150" ht="14.25" customHeight="1">
      <c r="A150" s="7">
        <v>137.0</v>
      </c>
      <c r="B150" s="14">
        <f t="shared" si="1"/>
        <v>0.1129488529</v>
      </c>
      <c r="C150" s="39">
        <f t="array" ref="C150">NPV(B150,FCFF!$C$9:$I$9)+FCFF!$B$9+FCFF!$I$9*(1+Inputs!$B$6)/(B150-Inputs!$B$6)/(1+B150)^7</f>
        <v>-1692.209281</v>
      </c>
    </row>
    <row r="151" ht="14.25" customHeight="1">
      <c r="A151" s="7">
        <v>138.0</v>
      </c>
      <c r="B151" s="14">
        <f t="shared" si="1"/>
        <v>0.1109461201</v>
      </c>
      <c r="C151" s="39">
        <f t="array" ref="C151">NPV(B151,FCFF!$C$9:$I$9)+FCFF!$B$9+FCFF!$I$9*(1+Inputs!$B$6)/(B151-Inputs!$B$6)/(1+B151)^7</f>
        <v>-1651.111015</v>
      </c>
    </row>
    <row r="152" ht="14.25" customHeight="1">
      <c r="A152" s="7">
        <v>139.0</v>
      </c>
      <c r="B152" s="14">
        <f t="shared" si="1"/>
        <v>0.09304244718</v>
      </c>
      <c r="C152" s="39">
        <f t="array" ref="C152">NPV(B152,FCFF!$C$9:$I$9)+FCFF!$B$9+FCFF!$I$9*(1+Inputs!$B$6)/(B152-Inputs!$B$6)/(1+B152)^7</f>
        <v>-1164.957767</v>
      </c>
    </row>
    <row r="153" ht="14.25" customHeight="1">
      <c r="A153" s="7">
        <v>140.0</v>
      </c>
      <c r="B153" s="14">
        <f t="shared" si="1"/>
        <v>0.1076202479</v>
      </c>
      <c r="C153" s="39">
        <f t="array" ref="C153">NPV(B153,FCFF!$C$9:$I$9)+FCFF!$B$9+FCFF!$I$9*(1+Inputs!$B$6)/(B153-Inputs!$B$6)/(1+B153)^7</f>
        <v>-1578.010064</v>
      </c>
    </row>
    <row r="154" ht="14.25" customHeight="1">
      <c r="A154" s="7">
        <v>141.0</v>
      </c>
      <c r="B154" s="14">
        <f t="shared" si="1"/>
        <v>0.115039098</v>
      </c>
      <c r="C154" s="39">
        <f t="array" ref="C154">NPV(B154,FCFF!$C$9:$I$9)+FCFF!$B$9+FCFF!$I$9*(1+Inputs!$B$6)/(B154-Inputs!$B$6)/(1+B154)^7</f>
        <v>-1732.957567</v>
      </c>
    </row>
    <row r="155" ht="14.25" customHeight="1">
      <c r="A155" s="7">
        <v>142.0</v>
      </c>
      <c r="B155" s="14">
        <f t="shared" si="1"/>
        <v>0.1151762605</v>
      </c>
      <c r="C155" s="39">
        <f t="array" ref="C155">NPV(B155,FCFF!$C$9:$I$9)+FCFF!$B$9+FCFF!$I$9*(1+Inputs!$B$6)/(B155-Inputs!$B$6)/(1+B155)^7</f>
        <v>-1735.558502</v>
      </c>
    </row>
    <row r="156" ht="14.25" customHeight="1">
      <c r="A156" s="7">
        <v>143.0</v>
      </c>
      <c r="B156" s="14">
        <f t="shared" si="1"/>
        <v>0.1162473309</v>
      </c>
      <c r="C156" s="39">
        <f t="array" ref="C156">NPV(B156,FCFF!$C$9:$I$9)+FCFF!$B$9+FCFF!$I$9*(1+Inputs!$B$6)/(B156-Inputs!$B$6)/(1+B156)^7</f>
        <v>-1755.570833</v>
      </c>
    </row>
    <row r="157" ht="14.25" customHeight="1">
      <c r="A157" s="7">
        <v>144.0</v>
      </c>
      <c r="B157" s="14">
        <f t="shared" si="1"/>
        <v>0.1279199582</v>
      </c>
      <c r="C157" s="39">
        <f t="array" ref="C157">NPV(B157,FCFF!$C$9:$I$9)+FCFF!$B$9+FCFF!$I$9*(1+Inputs!$B$6)/(B157-Inputs!$B$6)/(1+B157)^7</f>
        <v>-1943.792498</v>
      </c>
    </row>
    <row r="158" ht="14.25" customHeight="1">
      <c r="A158" s="7">
        <v>145.0</v>
      </c>
      <c r="B158" s="14">
        <f t="shared" si="1"/>
        <v>0.1087405808</v>
      </c>
      <c r="C158" s="39">
        <f t="array" ref="C158">NPV(B158,FCFF!$C$9:$I$9)+FCFF!$B$9+FCFF!$I$9*(1+Inputs!$B$6)/(B158-Inputs!$B$6)/(1+B158)^7</f>
        <v>-1603.345151</v>
      </c>
    </row>
    <row r="159" ht="14.25" customHeight="1">
      <c r="A159" s="7">
        <v>146.0</v>
      </c>
      <c r="B159" s="14">
        <f t="shared" si="1"/>
        <v>0.100238371</v>
      </c>
      <c r="C159" s="39">
        <f t="array" ref="C159">NPV(B159,FCFF!$C$9:$I$9)+FCFF!$B$9+FCFF!$I$9*(1+Inputs!$B$6)/(B159-Inputs!$B$6)/(1+B159)^7</f>
        <v>-1390.418711</v>
      </c>
    </row>
    <row r="160" ht="14.25" customHeight="1">
      <c r="A160" s="7">
        <v>147.0</v>
      </c>
      <c r="B160" s="14">
        <f t="shared" si="1"/>
        <v>0.1262184329</v>
      </c>
      <c r="C160" s="39">
        <f t="array" ref="C160">NPV(B160,FCFF!$C$9:$I$9)+FCFF!$B$9+FCFF!$I$9*(1+Inputs!$B$6)/(B160-Inputs!$B$6)/(1+B160)^7</f>
        <v>-1919.384217</v>
      </c>
    </row>
    <row r="161" ht="14.25" customHeight="1">
      <c r="A161" s="7">
        <v>148.0</v>
      </c>
      <c r="B161" s="14">
        <f t="shared" si="1"/>
        <v>0.1086032372</v>
      </c>
      <c r="C161" s="39">
        <f t="array" ref="C161">NPV(B161,FCFF!$C$9:$I$9)+FCFF!$B$9+FCFF!$I$9*(1+Inputs!$B$6)/(B161-Inputs!$B$6)/(1+B161)^7</f>
        <v>-1600.279215</v>
      </c>
    </row>
    <row r="162" ht="14.25" customHeight="1">
      <c r="A162" s="7">
        <v>149.0</v>
      </c>
      <c r="B162" s="14">
        <f t="shared" si="1"/>
        <v>0.1269505394</v>
      </c>
      <c r="C162" s="39">
        <f t="array" ref="C162">NPV(B162,FCFF!$C$9:$I$9)+FCFF!$B$9+FCFF!$I$9*(1+Inputs!$B$6)/(B162-Inputs!$B$6)/(1+B162)^7</f>
        <v>-1929.999376</v>
      </c>
    </row>
    <row r="163" ht="14.25" customHeight="1">
      <c r="A163" s="7">
        <v>150.0</v>
      </c>
      <c r="B163" s="14">
        <f t="shared" si="1"/>
        <v>0.1226561628</v>
      </c>
      <c r="C163" s="39">
        <f t="array" ref="C163">NPV(B163,FCFF!$C$9:$I$9)+FCFF!$B$9+FCFF!$I$9*(1+Inputs!$B$6)/(B163-Inputs!$B$6)/(1+B163)^7</f>
        <v>-1865.160229</v>
      </c>
    </row>
    <row r="164" ht="14.25" customHeight="1">
      <c r="A164" s="7">
        <v>151.0</v>
      </c>
      <c r="B164" s="14">
        <f t="shared" si="1"/>
        <v>0.09815138946</v>
      </c>
      <c r="C164" s="39">
        <f t="array" ref="C164">NPV(B164,FCFF!$C$9:$I$9)+FCFF!$B$9+FCFF!$I$9*(1+Inputs!$B$6)/(B164-Inputs!$B$6)/(1+B164)^7</f>
        <v>-1329.925592</v>
      </c>
    </row>
    <row r="165" ht="14.25" customHeight="1">
      <c r="A165" s="7">
        <v>152.0</v>
      </c>
      <c r="B165" s="14">
        <f t="shared" si="1"/>
        <v>0.09826705209</v>
      </c>
      <c r="C165" s="39">
        <f t="array" ref="C165">NPV(B165,FCFF!$C$9:$I$9)+FCFF!$B$9+FCFF!$I$9*(1+Inputs!$B$6)/(B165-Inputs!$B$6)/(1+B165)^7</f>
        <v>-1333.375339</v>
      </c>
    </row>
    <row r="166" ht="14.25" customHeight="1">
      <c r="A166" s="7">
        <v>153.0</v>
      </c>
      <c r="B166" s="14">
        <f t="shared" si="1"/>
        <v>0.117868516</v>
      </c>
      <c r="C166" s="39">
        <f t="array" ref="C166">NPV(B166,FCFF!$C$9:$I$9)+FCFF!$B$9+FCFF!$I$9*(1+Inputs!$B$6)/(B166-Inputs!$B$6)/(1+B166)^7</f>
        <v>-1784.888546</v>
      </c>
    </row>
    <row r="167" ht="14.25" customHeight="1">
      <c r="A167" s="7">
        <v>154.0</v>
      </c>
      <c r="B167" s="14">
        <f t="shared" si="1"/>
        <v>0.1326481022</v>
      </c>
      <c r="C167" s="39">
        <f t="array" ref="C167">NPV(B167,FCFF!$C$9:$I$9)+FCFF!$B$9+FCFF!$I$9*(1+Inputs!$B$6)/(B167-Inputs!$B$6)/(1+B167)^7</f>
        <v>-2007.033487</v>
      </c>
    </row>
    <row r="168" ht="14.25" customHeight="1">
      <c r="A168" s="7">
        <v>155.0</v>
      </c>
      <c r="B168" s="14">
        <f t="shared" si="1"/>
        <v>0.1136937973</v>
      </c>
      <c r="C168" s="39">
        <f t="array" ref="C168">NPV(B168,FCFF!$C$9:$I$9)+FCFF!$B$9+FCFF!$I$9*(1+Inputs!$B$6)/(B168-Inputs!$B$6)/(1+B168)^7</f>
        <v>-1706.975057</v>
      </c>
    </row>
    <row r="169" ht="14.25" customHeight="1">
      <c r="A169" s="7">
        <v>156.0</v>
      </c>
      <c r="B169" s="14">
        <f t="shared" si="1"/>
        <v>0.1217773076</v>
      </c>
      <c r="C169" s="39">
        <f t="array" ref="C169">NPV(B169,FCFF!$C$9:$I$9)+FCFF!$B$9+FCFF!$I$9*(1+Inputs!$B$6)/(B169-Inputs!$B$6)/(1+B169)^7</f>
        <v>-1851.090208</v>
      </c>
    </row>
    <row r="170" ht="14.25" customHeight="1">
      <c r="A170" s="7">
        <v>157.0</v>
      </c>
      <c r="B170" s="14">
        <f t="shared" si="1"/>
        <v>0.09508509698</v>
      </c>
      <c r="C170" s="39">
        <f t="array" ref="C170">NPV(B170,FCFF!$C$9:$I$9)+FCFF!$B$9+FCFF!$I$9*(1+Inputs!$B$6)/(B170-Inputs!$B$6)/(1+B170)^7</f>
        <v>-1234.004295</v>
      </c>
    </row>
    <row r="171" ht="14.25" customHeight="1">
      <c r="A171" s="7">
        <v>158.0</v>
      </c>
      <c r="B171" s="14">
        <f t="shared" si="1"/>
        <v>0.1181083732</v>
      </c>
      <c r="C171" s="39">
        <f t="array" ref="C171">NPV(B171,FCFF!$C$9:$I$9)+FCFF!$B$9+FCFF!$I$9*(1+Inputs!$B$6)/(B171-Inputs!$B$6)/(1+B171)^7</f>
        <v>-1789.129809</v>
      </c>
    </row>
    <row r="172" ht="14.25" customHeight="1">
      <c r="A172" s="7">
        <v>159.0</v>
      </c>
      <c r="B172" s="14">
        <f t="shared" si="1"/>
        <v>0.1276963359</v>
      </c>
      <c r="C172" s="39">
        <f t="array" ref="C172">NPV(B172,FCFF!$C$9:$I$9)+FCFF!$B$9+FCFF!$I$9*(1+Inputs!$B$6)/(B172-Inputs!$B$6)/(1+B172)^7</f>
        <v>-1940.63694</v>
      </c>
    </row>
    <row r="173" ht="14.25" customHeight="1">
      <c r="A173" s="7">
        <v>160.0</v>
      </c>
      <c r="B173" s="14">
        <f t="shared" si="1"/>
        <v>0.1295134181</v>
      </c>
      <c r="C173" s="39">
        <f t="array" ref="C173">NPV(B173,FCFF!$C$9:$I$9)+FCFF!$B$9+FCFF!$I$9*(1+Inputs!$B$6)/(B173-Inputs!$B$6)/(1+B173)^7</f>
        <v>-1965.834603</v>
      </c>
    </row>
    <row r="174" ht="14.25" customHeight="1">
      <c r="A174" s="7">
        <v>161.0</v>
      </c>
      <c r="B174" s="14">
        <f t="shared" si="1"/>
        <v>0.1318660901</v>
      </c>
      <c r="C174" s="39">
        <f t="array" ref="C174">NPV(B174,FCFF!$C$9:$I$9)+FCFF!$B$9+FCFF!$I$9*(1+Inputs!$B$6)/(B174-Inputs!$B$6)/(1+B174)^7</f>
        <v>-1997.013894</v>
      </c>
    </row>
    <row r="175" ht="14.25" customHeight="1">
      <c r="A175" s="7">
        <v>162.0</v>
      </c>
      <c r="B175" s="14">
        <f t="shared" si="1"/>
        <v>0.1094412924</v>
      </c>
      <c r="C175" s="39">
        <f t="array" ref="C175">NPV(B175,FCFF!$C$9:$I$9)+FCFF!$B$9+FCFF!$I$9*(1+Inputs!$B$6)/(B175-Inputs!$B$6)/(1+B175)^7</f>
        <v>-1618.817293</v>
      </c>
    </row>
    <row r="176" ht="14.25" customHeight="1">
      <c r="A176" s="7">
        <v>163.0</v>
      </c>
      <c r="B176" s="14">
        <f t="shared" si="1"/>
        <v>0.1094407069</v>
      </c>
      <c r="C176" s="39">
        <f t="array" ref="C176">NPV(B176,FCFF!$C$9:$I$9)+FCFF!$B$9+FCFF!$I$9*(1+Inputs!$B$6)/(B176-Inputs!$B$6)/(1+B176)^7</f>
        <v>-1618.804483</v>
      </c>
    </row>
    <row r="177" ht="14.25" customHeight="1">
      <c r="A177" s="7">
        <v>164.0</v>
      </c>
      <c r="B177" s="14">
        <f t="shared" si="1"/>
        <v>0.1273229089</v>
      </c>
      <c r="C177" s="39">
        <f t="array" ref="C177">NPV(B177,FCFF!$C$9:$I$9)+FCFF!$B$9+FCFF!$I$9*(1+Inputs!$B$6)/(B177-Inputs!$B$6)/(1+B177)^7</f>
        <v>-1935.332587</v>
      </c>
    </row>
    <row r="178" ht="14.25" customHeight="1">
      <c r="A178" s="7">
        <v>165.0</v>
      </c>
      <c r="B178" s="14">
        <f t="shared" si="1"/>
        <v>0.1076655895</v>
      </c>
      <c r="C178" s="39">
        <f t="array" ref="C178">NPV(B178,FCFF!$C$9:$I$9)+FCFF!$B$9+FCFF!$I$9*(1+Inputs!$B$6)/(B178-Inputs!$B$6)/(1+B178)^7</f>
        <v>-1579.049998</v>
      </c>
    </row>
    <row r="179" ht="14.25" customHeight="1">
      <c r="A179" s="7">
        <v>166.0</v>
      </c>
      <c r="B179" s="14">
        <f t="shared" si="1"/>
        <v>0.1143861581</v>
      </c>
      <c r="C179" s="39">
        <f t="array" ref="C179">NPV(B179,FCFF!$C$9:$I$9)+FCFF!$B$9+FCFF!$I$9*(1+Inputs!$B$6)/(B179-Inputs!$B$6)/(1+B179)^7</f>
        <v>-1720.455017</v>
      </c>
    </row>
    <row r="180" ht="14.25" customHeight="1">
      <c r="A180" s="7">
        <v>167.0</v>
      </c>
      <c r="B180" s="14">
        <f t="shared" si="1"/>
        <v>0.1283504876</v>
      </c>
      <c r="C180" s="39">
        <f t="array" ref="C180">NPV(B180,FCFF!$C$9:$I$9)+FCFF!$B$9+FCFF!$I$9*(1+Inputs!$B$6)/(B180-Inputs!$B$6)/(1+B180)^7</f>
        <v>-1949.82412</v>
      </c>
    </row>
    <row r="181" ht="14.25" customHeight="1">
      <c r="A181" s="7">
        <v>168.0</v>
      </c>
      <c r="B181" s="14">
        <f t="shared" si="1"/>
        <v>0.1134519171</v>
      </c>
      <c r="C181" s="39">
        <f t="array" ref="C181">NPV(B181,FCFF!$C$9:$I$9)+FCFF!$B$9+FCFF!$I$9*(1+Inputs!$B$6)/(B181-Inputs!$B$6)/(1+B181)^7</f>
        <v>-1702.210773</v>
      </c>
    </row>
    <row r="182" ht="14.25" customHeight="1">
      <c r="A182" s="7">
        <v>169.0</v>
      </c>
      <c r="B182" s="14">
        <f t="shared" si="1"/>
        <v>0.1254091966</v>
      </c>
      <c r="C182" s="39">
        <f t="array" ref="C182">NPV(B182,FCFF!$C$9:$I$9)+FCFF!$B$9+FCFF!$I$9*(1+Inputs!$B$6)/(B182-Inputs!$B$6)/(1+B182)^7</f>
        <v>-1907.446803</v>
      </c>
    </row>
    <row r="183" ht="14.25" customHeight="1">
      <c r="A183" s="7">
        <v>170.0</v>
      </c>
      <c r="B183" s="14">
        <f t="shared" si="1"/>
        <v>0.09528979107</v>
      </c>
      <c r="C183" s="39">
        <f t="array" ref="C183">NPV(B183,FCFF!$C$9:$I$9)+FCFF!$B$9+FCFF!$I$9*(1+Inputs!$B$6)/(B183-Inputs!$B$6)/(1+B183)^7</f>
        <v>-1240.687235</v>
      </c>
    </row>
    <row r="184" ht="14.25" customHeight="1">
      <c r="A184" s="7">
        <v>171.0</v>
      </c>
      <c r="B184" s="14">
        <f t="shared" si="1"/>
        <v>0.1228238214</v>
      </c>
      <c r="C184" s="39">
        <f t="array" ref="C184">NPV(B184,FCFF!$C$9:$I$9)+FCFF!$B$9+FCFF!$I$9*(1+Inputs!$B$6)/(B184-Inputs!$B$6)/(1+B184)^7</f>
        <v>-1867.812135</v>
      </c>
    </row>
    <row r="185" ht="14.25" customHeight="1">
      <c r="A185" s="7">
        <v>172.0</v>
      </c>
      <c r="B185" s="14">
        <f t="shared" si="1"/>
        <v>0.09516277281</v>
      </c>
      <c r="C185" s="39">
        <f t="array" ref="C185">NPV(B185,FCFF!$C$9:$I$9)+FCFF!$B$9+FCFF!$I$9*(1+Inputs!$B$6)/(B185-Inputs!$B$6)/(1+B185)^7</f>
        <v>-1236.5452</v>
      </c>
    </row>
    <row r="186" ht="14.25" customHeight="1">
      <c r="A186" s="7">
        <v>173.0</v>
      </c>
      <c r="B186" s="14">
        <f t="shared" si="1"/>
        <v>0.09484645347</v>
      </c>
      <c r="C186" s="39">
        <f t="array" ref="C186">NPV(B186,FCFF!$C$9:$I$9)+FCFF!$B$9+FCFF!$I$9*(1+Inputs!$B$6)/(B186-Inputs!$B$6)/(1+B186)^7</f>
        <v>-1226.160047</v>
      </c>
    </row>
    <row r="187" ht="14.25" customHeight="1">
      <c r="A187" s="7">
        <v>174.0</v>
      </c>
      <c r="B187" s="14">
        <f t="shared" si="1"/>
        <v>0.1208543713</v>
      </c>
      <c r="C187" s="39">
        <f t="array" ref="C187">NPV(B187,FCFF!$C$9:$I$9)+FCFF!$B$9+FCFF!$I$9*(1+Inputs!$B$6)/(B187-Inputs!$B$6)/(1+B187)^7</f>
        <v>-1836.002667</v>
      </c>
    </row>
    <row r="188" ht="14.25" customHeight="1">
      <c r="A188" s="7">
        <v>175.0</v>
      </c>
      <c r="B188" s="14">
        <f t="shared" si="1"/>
        <v>0.125709671</v>
      </c>
      <c r="C188" s="39">
        <f t="array" ref="C188">NPV(B188,FCFF!$C$9:$I$9)+FCFF!$B$9+FCFF!$I$9*(1+Inputs!$B$6)/(B188-Inputs!$B$6)/(1+B188)^7</f>
        <v>-1911.904543</v>
      </c>
    </row>
    <row r="189" ht="14.25" customHeight="1">
      <c r="A189" s="7">
        <v>176.0</v>
      </c>
      <c r="B189" s="14">
        <f t="shared" si="1"/>
        <v>0.1004451514</v>
      </c>
      <c r="C189" s="39">
        <f t="array" ref="C189">NPV(B189,FCFF!$C$9:$I$9)+FCFF!$B$9+FCFF!$I$9*(1+Inputs!$B$6)/(B189-Inputs!$B$6)/(1+B189)^7</f>
        <v>-1396.216222</v>
      </c>
    </row>
    <row r="190" ht="14.25" customHeight="1">
      <c r="A190" s="7">
        <v>177.0</v>
      </c>
      <c r="B190" s="14">
        <f t="shared" si="1"/>
        <v>0.120279391</v>
      </c>
      <c r="C190" s="39">
        <f t="array" ref="C190">NPV(B190,FCFF!$C$9:$I$9)+FCFF!$B$9+FCFF!$I$9*(1+Inputs!$B$6)/(B190-Inputs!$B$6)/(1+B190)^7</f>
        <v>-1826.43768</v>
      </c>
    </row>
    <row r="191" ht="14.25" customHeight="1">
      <c r="A191" s="7">
        <v>178.0</v>
      </c>
      <c r="B191" s="14">
        <f t="shared" si="1"/>
        <v>0.1002084582</v>
      </c>
      <c r="C191" s="39">
        <f t="array" ref="C191">NPV(B191,FCFF!$C$9:$I$9)+FCFF!$B$9+FCFF!$I$9*(1+Inputs!$B$6)/(B191-Inputs!$B$6)/(1+B191)^7</f>
        <v>-1389.577196</v>
      </c>
    </row>
    <row r="192" ht="14.25" customHeight="1">
      <c r="A192" s="7">
        <v>179.0</v>
      </c>
      <c r="B192" s="14">
        <f t="shared" si="1"/>
        <v>0.1010821725</v>
      </c>
      <c r="C192" s="39">
        <f t="array" ref="C192">NPV(B192,FCFF!$C$9:$I$9)+FCFF!$B$9+FCFF!$I$9*(1+Inputs!$B$6)/(B192-Inputs!$B$6)/(1+B192)^7</f>
        <v>-1413.862696</v>
      </c>
    </row>
    <row r="193" ht="14.25" customHeight="1">
      <c r="A193" s="7">
        <v>180.0</v>
      </c>
      <c r="B193" s="14">
        <f t="shared" si="1"/>
        <v>0.09917261435</v>
      </c>
      <c r="C193" s="39">
        <f t="array" ref="C193">NPV(B193,FCFF!$C$9:$I$9)+FCFF!$B$9+FCFF!$I$9*(1+Inputs!$B$6)/(B193-Inputs!$B$6)/(1+B193)^7</f>
        <v>-1359.984804</v>
      </c>
    </row>
    <row r="194" ht="14.25" customHeight="1">
      <c r="A194" s="7">
        <v>181.0</v>
      </c>
      <c r="B194" s="14">
        <f t="shared" si="1"/>
        <v>0.1202318768</v>
      </c>
      <c r="C194" s="39">
        <f t="array" ref="C194">NPV(B194,FCFF!$C$9:$I$9)+FCFF!$B$9+FCFF!$I$9*(1+Inputs!$B$6)/(B194-Inputs!$B$6)/(1+B194)^7</f>
        <v>-1825.641484</v>
      </c>
    </row>
    <row r="195" ht="14.25" customHeight="1">
      <c r="A195" s="7">
        <v>182.0</v>
      </c>
      <c r="B195" s="14">
        <f t="shared" si="1"/>
        <v>0.1192194165</v>
      </c>
      <c r="C195" s="39">
        <f t="array" ref="C195">NPV(B195,FCFF!$C$9:$I$9)+FCFF!$B$9+FCFF!$I$9*(1+Inputs!$B$6)/(B195-Inputs!$B$6)/(1+B195)^7</f>
        <v>-1808.462229</v>
      </c>
    </row>
    <row r="196" ht="14.25" customHeight="1">
      <c r="A196" s="7">
        <v>183.0</v>
      </c>
      <c r="B196" s="14">
        <f t="shared" si="1"/>
        <v>0.1143504462</v>
      </c>
      <c r="C196" s="39">
        <f t="array" ref="C196">NPV(B196,FCFF!$C$9:$I$9)+FCFF!$B$9+FCFF!$I$9*(1+Inputs!$B$6)/(B196-Inputs!$B$6)/(1+B196)^7</f>
        <v>-1719.765369</v>
      </c>
    </row>
    <row r="197" ht="14.25" customHeight="1">
      <c r="A197" s="7">
        <v>184.0</v>
      </c>
      <c r="B197" s="14">
        <f t="shared" si="1"/>
        <v>0.1032516408</v>
      </c>
      <c r="C197" s="39">
        <f t="array" ref="C197">NPV(B197,FCFF!$C$9:$I$9)+FCFF!$B$9+FCFF!$I$9*(1+Inputs!$B$6)/(B197-Inputs!$B$6)/(1+B197)^7</f>
        <v>-1471.633794</v>
      </c>
    </row>
    <row r="198" ht="14.25" customHeight="1">
      <c r="A198" s="7">
        <v>185.0</v>
      </c>
      <c r="B198" s="14">
        <f t="shared" si="1"/>
        <v>0.1021322729</v>
      </c>
      <c r="C198" s="39">
        <f t="array" ref="C198">NPV(B198,FCFF!$C$9:$I$9)+FCFF!$B$9+FCFF!$I$9*(1+Inputs!$B$6)/(B198-Inputs!$B$6)/(1+B198)^7</f>
        <v>-1442.265205</v>
      </c>
    </row>
    <row r="199" ht="14.25" customHeight="1">
      <c r="A199" s="7">
        <v>186.0</v>
      </c>
      <c r="B199" s="14">
        <f t="shared" si="1"/>
        <v>0.1072857642</v>
      </c>
      <c r="C199" s="39">
        <f t="array" ref="C199">NPV(B199,FCFF!$C$9:$I$9)+FCFF!$B$9+FCFF!$I$9*(1+Inputs!$B$6)/(B199-Inputs!$B$6)/(1+B199)^7</f>
        <v>-1570.299803</v>
      </c>
    </row>
    <row r="200" ht="14.25" customHeight="1">
      <c r="A200" s="7">
        <v>187.0</v>
      </c>
      <c r="B200" s="14">
        <f t="shared" si="1"/>
        <v>0.1113740334</v>
      </c>
      <c r="C200" s="39">
        <f t="array" ref="C200">NPV(B200,FCFF!$C$9:$I$9)+FCFF!$B$9+FCFF!$I$9*(1+Inputs!$B$6)/(B200-Inputs!$B$6)/(1+B200)^7</f>
        <v>-1660.06857</v>
      </c>
    </row>
    <row r="201" ht="14.25" customHeight="1">
      <c r="A201" s="7">
        <v>188.0</v>
      </c>
      <c r="B201" s="14">
        <f t="shared" si="1"/>
        <v>0.1067556016</v>
      </c>
      <c r="C201" s="39">
        <f t="array" ref="C201">NPV(B201,FCFF!$C$9:$I$9)+FCFF!$B$9+FCFF!$I$9*(1+Inputs!$B$6)/(B201-Inputs!$B$6)/(1+B201)^7</f>
        <v>-1557.937711</v>
      </c>
    </row>
    <row r="202" ht="14.25" customHeight="1">
      <c r="A202" s="7">
        <v>189.0</v>
      </c>
      <c r="B202" s="14">
        <f t="shared" si="1"/>
        <v>0.1168397371</v>
      </c>
      <c r="C202" s="39">
        <f t="array" ref="C202">NPV(B202,FCFF!$C$9:$I$9)+FCFF!$B$9+FCFF!$I$9*(1+Inputs!$B$6)/(B202-Inputs!$B$6)/(1+B202)^7</f>
        <v>-1766.41737</v>
      </c>
    </row>
    <row r="203" ht="14.25" customHeight="1">
      <c r="A203" s="7">
        <v>190.0</v>
      </c>
      <c r="B203" s="14">
        <f t="shared" si="1"/>
        <v>0.1274182924</v>
      </c>
      <c r="C203" s="39">
        <f t="array" ref="C203">NPV(B203,FCFF!$C$9:$I$9)+FCFF!$B$9+FCFF!$I$9*(1+Inputs!$B$6)/(B203-Inputs!$B$6)/(1+B203)^7</f>
        <v>-1936.691636</v>
      </c>
    </row>
    <row r="204" ht="14.25" customHeight="1">
      <c r="A204" s="7">
        <v>191.0</v>
      </c>
      <c r="B204" s="14">
        <f t="shared" si="1"/>
        <v>0.1221369313</v>
      </c>
      <c r="C204" s="39">
        <f t="array" ref="C204">NPV(B204,FCFF!$C$9:$I$9)+FCFF!$B$9+FCFF!$I$9*(1+Inputs!$B$6)/(B204-Inputs!$B$6)/(1+B204)^7</f>
        <v>-1856.88214</v>
      </c>
    </row>
    <row r="205" ht="14.25" customHeight="1">
      <c r="A205" s="7">
        <v>192.0</v>
      </c>
      <c r="B205" s="14">
        <f t="shared" si="1"/>
        <v>0.1147313982</v>
      </c>
      <c r="C205" s="39">
        <f t="array" ref="C205">NPV(B205,FCFF!$C$9:$I$9)+FCFF!$B$9+FCFF!$I$9*(1+Inputs!$B$6)/(B205-Inputs!$B$6)/(1+B205)^7</f>
        <v>-1727.09079</v>
      </c>
    </row>
    <row r="206" ht="14.25" customHeight="1">
      <c r="A206" s="7">
        <v>193.0</v>
      </c>
      <c r="B206" s="14">
        <f t="shared" si="1"/>
        <v>0.1258522875</v>
      </c>
      <c r="C206" s="39">
        <f t="array" ref="C206">NPV(B206,FCFF!$C$9:$I$9)+FCFF!$B$9+FCFF!$I$9*(1+Inputs!$B$6)/(B206-Inputs!$B$6)/(1+B206)^7</f>
        <v>-1914.009857</v>
      </c>
    </row>
    <row r="207" ht="14.25" customHeight="1">
      <c r="A207" s="7">
        <v>194.0</v>
      </c>
      <c r="B207" s="14">
        <f t="shared" si="1"/>
        <v>0.1232390929</v>
      </c>
      <c r="C207" s="39">
        <f t="array" ref="C207">NPV(B207,FCFF!$C$9:$I$9)+FCFF!$B$9+FCFF!$I$9*(1+Inputs!$B$6)/(B207-Inputs!$B$6)/(1+B207)^7</f>
        <v>-1874.336821</v>
      </c>
    </row>
    <row r="208" ht="14.25" customHeight="1">
      <c r="A208" s="7">
        <v>195.0</v>
      </c>
      <c r="B208" s="14">
        <f t="shared" si="1"/>
        <v>0.1106660244</v>
      </c>
      <c r="C208" s="39">
        <f t="array" ref="C208">NPV(B208,FCFF!$C$9:$I$9)+FCFF!$B$9+FCFF!$I$9*(1+Inputs!$B$6)/(B208-Inputs!$B$6)/(1+B208)^7</f>
        <v>-1645.194455</v>
      </c>
    </row>
    <row r="209" ht="14.25" customHeight="1">
      <c r="A209" s="7">
        <v>196.0</v>
      </c>
      <c r="B209" s="14">
        <f t="shared" si="1"/>
        <v>0.09331184655</v>
      </c>
      <c r="C209" s="39">
        <f t="array" ref="C209">NPV(B209,FCFF!$C$9:$I$9)+FCFF!$B$9+FCFF!$I$9*(1+Inputs!$B$6)/(B209-Inputs!$B$6)/(1+B209)^7</f>
        <v>-1174.316588</v>
      </c>
    </row>
    <row r="210" ht="14.25" customHeight="1">
      <c r="A210" s="7">
        <v>197.0</v>
      </c>
      <c r="B210" s="14">
        <f t="shared" si="1"/>
        <v>0.108292588</v>
      </c>
      <c r="C210" s="39">
        <f t="array" ref="C210">NPV(B210,FCFF!$C$9:$I$9)+FCFF!$B$9+FCFF!$I$9*(1+Inputs!$B$6)/(B210-Inputs!$B$6)/(1+B210)^7</f>
        <v>-1593.303728</v>
      </c>
    </row>
    <row r="211" ht="14.25" customHeight="1">
      <c r="A211" s="7">
        <v>198.0</v>
      </c>
      <c r="B211" s="14">
        <f t="shared" si="1"/>
        <v>0.1135979712</v>
      </c>
      <c r="C211" s="39">
        <f t="array" ref="C211">NPV(B211,FCFF!$C$9:$I$9)+FCFF!$B$9+FCFF!$I$9*(1+Inputs!$B$6)/(B211-Inputs!$B$6)/(1+B211)^7</f>
        <v>-1705.091019</v>
      </c>
    </row>
    <row r="212" ht="14.25" customHeight="1">
      <c r="A212" s="7">
        <v>199.0</v>
      </c>
      <c r="B212" s="14">
        <f t="shared" si="1"/>
        <v>0.1252625046</v>
      </c>
      <c r="C212" s="39">
        <f t="array" ref="C212">NPV(B212,FCFF!$C$9:$I$9)+FCFF!$B$9+FCFF!$I$9*(1+Inputs!$B$6)/(B212-Inputs!$B$6)/(1+B212)^7</f>
        <v>-1905.259563</v>
      </c>
    </row>
    <row r="213" ht="14.25" customHeight="1">
      <c r="A213" s="7">
        <v>200.0</v>
      </c>
      <c r="B213" s="14">
        <f t="shared" si="1"/>
        <v>0.09396214935</v>
      </c>
      <c r="C213" s="39">
        <f t="array" ref="C213">NPV(B213,FCFF!$C$9:$I$9)+FCFF!$B$9+FCFF!$I$9*(1+Inputs!$B$6)/(B213-Inputs!$B$6)/(1+B213)^7</f>
        <v>-1196.586561</v>
      </c>
    </row>
    <row r="214" ht="14.25" customHeight="1">
      <c r="A214" s="7">
        <v>201.0</v>
      </c>
      <c r="B214" s="14">
        <f t="shared" si="1"/>
        <v>0.1152752105</v>
      </c>
      <c r="C214" s="39">
        <f t="array" ref="C214">NPV(B214,FCFF!$C$9:$I$9)+FCFF!$B$9+FCFF!$I$9*(1+Inputs!$B$6)/(B214-Inputs!$B$6)/(1+B214)^7</f>
        <v>-1737.4294</v>
      </c>
    </row>
    <row r="215" ht="14.25" customHeight="1">
      <c r="A215" s="7">
        <v>202.0</v>
      </c>
      <c r="B215" s="14">
        <f t="shared" si="1"/>
        <v>0.1188260066</v>
      </c>
      <c r="C215" s="39">
        <f t="array" ref="C215">NPV(B215,FCFF!$C$9:$I$9)+FCFF!$B$9+FCFF!$I$9*(1+Inputs!$B$6)/(B215-Inputs!$B$6)/(1+B215)^7</f>
        <v>-1801.675169</v>
      </c>
    </row>
    <row r="216" ht="14.25" customHeight="1">
      <c r="A216" s="7">
        <v>203.0</v>
      </c>
      <c r="B216" s="14">
        <f t="shared" si="1"/>
        <v>0.1017477101</v>
      </c>
      <c r="C216" s="39">
        <f t="array" ref="C216">NPV(B216,FCFF!$C$9:$I$9)+FCFF!$B$9+FCFF!$I$9*(1+Inputs!$B$6)/(B216-Inputs!$B$6)/(1+B216)^7</f>
        <v>-1431.961303</v>
      </c>
    </row>
    <row r="217" ht="14.25" customHeight="1">
      <c r="A217" s="7">
        <v>204.0</v>
      </c>
      <c r="B217" s="14">
        <f t="shared" si="1"/>
        <v>0.1011341647</v>
      </c>
      <c r="C217" s="39">
        <f t="array" ref="C217">NPV(B217,FCFF!$C$9:$I$9)+FCFF!$B$9+FCFF!$I$9*(1+Inputs!$B$6)/(B217-Inputs!$B$6)/(1+B217)^7</f>
        <v>-1415.288888</v>
      </c>
    </row>
    <row r="218" ht="14.25" customHeight="1">
      <c r="A218" s="7">
        <v>205.0</v>
      </c>
      <c r="B218" s="14">
        <f t="shared" si="1"/>
        <v>0.1260169456</v>
      </c>
      <c r="C218" s="39">
        <f t="array" ref="C218">NPV(B218,FCFF!$C$9:$I$9)+FCFF!$B$9+FCFF!$I$9*(1+Inputs!$B$6)/(B218-Inputs!$B$6)/(1+B218)^7</f>
        <v>-1916.432193</v>
      </c>
    </row>
    <row r="219" ht="14.25" customHeight="1">
      <c r="A219" s="7">
        <v>206.0</v>
      </c>
      <c r="B219" s="14">
        <f t="shared" si="1"/>
        <v>0.1322163587</v>
      </c>
      <c r="C219" s="39">
        <f t="array" ref="C219">NPV(B219,FCFF!$C$9:$I$9)+FCFF!$B$9+FCFF!$I$9*(1+Inputs!$B$6)/(B219-Inputs!$B$6)/(1+B219)^7</f>
        <v>-2001.522423</v>
      </c>
    </row>
    <row r="220" ht="14.25" customHeight="1">
      <c r="A220" s="7">
        <v>207.0</v>
      </c>
      <c r="B220" s="14">
        <f t="shared" si="1"/>
        <v>0.117307604</v>
      </c>
      <c r="C220" s="39">
        <f t="array" ref="C220">NPV(B220,FCFF!$C$9:$I$9)+FCFF!$B$9+FCFF!$I$9*(1+Inputs!$B$6)/(B220-Inputs!$B$6)/(1+B220)^7</f>
        <v>-1774.874436</v>
      </c>
    </row>
    <row r="221" ht="14.25" customHeight="1">
      <c r="A221" s="7">
        <v>208.0</v>
      </c>
      <c r="B221" s="14">
        <f t="shared" si="1"/>
        <v>0.1252974429</v>
      </c>
      <c r="C221" s="39">
        <f t="array" ref="C221">NPV(B221,FCFF!$C$9:$I$9)+FCFF!$B$9+FCFF!$I$9*(1+Inputs!$B$6)/(B221-Inputs!$B$6)/(1+B221)^7</f>
        <v>-1905.781164</v>
      </c>
    </row>
    <row r="222" ht="14.25" customHeight="1">
      <c r="A222" s="7">
        <v>209.0</v>
      </c>
      <c r="B222" s="14">
        <f t="shared" si="1"/>
        <v>0.1130595505</v>
      </c>
      <c r="C222" s="39">
        <f t="array" ref="C222">NPV(B222,FCFF!$C$9:$I$9)+FCFF!$B$9+FCFF!$I$9*(1+Inputs!$B$6)/(B222-Inputs!$B$6)/(1+B222)^7</f>
        <v>-1694.420899</v>
      </c>
    </row>
    <row r="223" ht="14.25" customHeight="1">
      <c r="A223" s="7">
        <v>210.0</v>
      </c>
      <c r="B223" s="14">
        <f t="shared" si="1"/>
        <v>0.09614271439</v>
      </c>
      <c r="C223" s="39">
        <f t="array" ref="C223">NPV(B223,FCFF!$C$9:$I$9)+FCFF!$B$9+FCFF!$I$9*(1+Inputs!$B$6)/(B223-Inputs!$B$6)/(1+B223)^7</f>
        <v>-1268.090988</v>
      </c>
    </row>
    <row r="224" ht="14.25" customHeight="1">
      <c r="A224" s="7">
        <v>211.0</v>
      </c>
      <c r="B224" s="14">
        <f t="shared" si="1"/>
        <v>0.12365293</v>
      </c>
      <c r="C224" s="39">
        <f t="array" ref="C224">NPV(B224,FCFF!$C$9:$I$9)+FCFF!$B$9+FCFF!$I$9*(1+Inputs!$B$6)/(B224-Inputs!$B$6)/(1+B224)^7</f>
        <v>-1880.777553</v>
      </c>
    </row>
    <row r="225" ht="14.25" customHeight="1">
      <c r="A225" s="7">
        <v>212.0</v>
      </c>
      <c r="B225" s="14">
        <f t="shared" si="1"/>
        <v>0.1122613525</v>
      </c>
      <c r="C225" s="39">
        <f t="array" ref="C225">NPV(B225,FCFF!$C$9:$I$9)+FCFF!$B$9+FCFF!$I$9*(1+Inputs!$B$6)/(B225-Inputs!$B$6)/(1+B225)^7</f>
        <v>-1678.335147</v>
      </c>
    </row>
    <row r="226" ht="14.25" customHeight="1">
      <c r="A226" s="7">
        <v>213.0</v>
      </c>
      <c r="B226" s="14">
        <f t="shared" si="1"/>
        <v>0.1232321256</v>
      </c>
      <c r="C226" s="39">
        <f t="array" ref="C226">NPV(B226,FCFF!$C$9:$I$9)+FCFF!$B$9+FCFF!$I$9*(1+Inputs!$B$6)/(B226-Inputs!$B$6)/(1+B226)^7</f>
        <v>-1874.227864</v>
      </c>
    </row>
    <row r="227" ht="14.25" customHeight="1">
      <c r="A227" s="7">
        <v>214.0</v>
      </c>
      <c r="B227" s="14">
        <f t="shared" si="1"/>
        <v>0.1042960861</v>
      </c>
      <c r="C227" s="39">
        <f t="array" ref="C227">NPV(B227,FCFF!$C$9:$I$9)+FCFF!$B$9+FCFF!$I$9*(1+Inputs!$B$6)/(B227-Inputs!$B$6)/(1+B227)^7</f>
        <v>-1498.226782</v>
      </c>
    </row>
    <row r="228" ht="14.25" customHeight="1">
      <c r="A228" s="7">
        <v>215.0</v>
      </c>
      <c r="B228" s="14">
        <f t="shared" si="1"/>
        <v>0.1255949071</v>
      </c>
      <c r="C228" s="39">
        <f t="array" ref="C228">NPV(B228,FCFF!$C$9:$I$9)+FCFF!$B$9+FCFF!$I$9*(1+Inputs!$B$6)/(B228-Inputs!$B$6)/(1+B228)^7</f>
        <v>-1910.205494</v>
      </c>
    </row>
    <row r="229" ht="14.25" customHeight="1">
      <c r="A229" s="7">
        <v>216.0</v>
      </c>
      <c r="B229" s="14">
        <f t="shared" si="1"/>
        <v>0.1248979099</v>
      </c>
      <c r="C229" s="39">
        <f t="array" ref="C229">NPV(B229,FCFF!$C$9:$I$9)+FCFF!$B$9+FCFF!$I$9*(1+Inputs!$B$6)/(B229-Inputs!$B$6)/(1+B229)^7</f>
        <v>-1899.791884</v>
      </c>
    </row>
    <row r="230" ht="14.25" customHeight="1">
      <c r="A230" s="7">
        <v>217.0</v>
      </c>
      <c r="B230" s="14">
        <f t="shared" si="1"/>
        <v>0.1064881357</v>
      </c>
      <c r="C230" s="39">
        <f t="array" ref="C230">NPV(B230,FCFF!$C$9:$I$9)+FCFF!$B$9+FCFF!$I$9*(1+Inputs!$B$6)/(B230-Inputs!$B$6)/(1+B230)^7</f>
        <v>-1551.634425</v>
      </c>
    </row>
    <row r="231" ht="14.25" customHeight="1">
      <c r="A231" s="7">
        <v>218.0</v>
      </c>
      <c r="B231" s="14">
        <f t="shared" si="1"/>
        <v>0.1298409985</v>
      </c>
      <c r="C231" s="39">
        <f t="array" ref="C231">NPV(B231,FCFF!$C$9:$I$9)+FCFF!$B$9+FCFF!$I$9*(1+Inputs!$B$6)/(B231-Inputs!$B$6)/(1+B231)^7</f>
        <v>-1970.271632</v>
      </c>
    </row>
    <row r="232" ht="14.25" customHeight="1">
      <c r="A232" s="7">
        <v>219.0</v>
      </c>
      <c r="B232" s="14">
        <f t="shared" si="1"/>
        <v>0.09476912239</v>
      </c>
      <c r="C232" s="39">
        <f t="array" ref="C232">NPV(B232,FCFF!$C$9:$I$9)+FCFF!$B$9+FCFF!$I$9*(1+Inputs!$B$6)/(B232-Inputs!$B$6)/(1+B232)^7</f>
        <v>-1223.605851</v>
      </c>
    </row>
    <row r="233" ht="14.25" customHeight="1">
      <c r="A233" s="7">
        <v>220.0</v>
      </c>
      <c r="B233" s="14">
        <f t="shared" si="1"/>
        <v>0.09482023991</v>
      </c>
      <c r="C233" s="39">
        <f t="array" ref="C233">NPV(B233,FCFF!$C$9:$I$9)+FCFF!$B$9+FCFF!$I$9*(1+Inputs!$B$6)/(B233-Inputs!$B$6)/(1+B233)^7</f>
        <v>-1225.294908</v>
      </c>
    </row>
    <row r="234" ht="14.25" customHeight="1">
      <c r="A234" s="7">
        <v>221.0</v>
      </c>
      <c r="B234" s="14">
        <f t="shared" si="1"/>
        <v>0.1165098872</v>
      </c>
      <c r="C234" s="39">
        <f t="array" ref="C234">NPV(B234,FCFF!$C$9:$I$9)+FCFF!$B$9+FCFF!$I$9*(1+Inputs!$B$6)/(B234-Inputs!$B$6)/(1+B234)^7</f>
        <v>-1760.397293</v>
      </c>
    </row>
    <row r="235" ht="14.25" customHeight="1">
      <c r="A235" s="7">
        <v>222.0</v>
      </c>
      <c r="B235" s="14">
        <f t="shared" si="1"/>
        <v>0.1138623827</v>
      </c>
      <c r="C235" s="39">
        <f t="array" ref="C235">NPV(B235,FCFF!$C$9:$I$9)+FCFF!$B$9+FCFF!$I$9*(1+Inputs!$B$6)/(B235-Inputs!$B$6)/(1+B235)^7</f>
        <v>-1710.278724</v>
      </c>
    </row>
    <row r="236" ht="14.25" customHeight="1">
      <c r="A236" s="7">
        <v>223.0</v>
      </c>
      <c r="B236" s="14">
        <f t="shared" si="1"/>
        <v>0.09812310742</v>
      </c>
      <c r="C236" s="39">
        <f t="array" ref="C236">NPV(B236,FCFF!$C$9:$I$9)+FCFF!$B$9+FCFF!$I$9*(1+Inputs!$B$6)/(B236-Inputs!$B$6)/(1+B236)^7</f>
        <v>-1329.080268</v>
      </c>
    </row>
    <row r="237" ht="14.25" customHeight="1">
      <c r="A237" s="7">
        <v>224.0</v>
      </c>
      <c r="B237" s="14">
        <f t="shared" si="1"/>
        <v>0.1192669186</v>
      </c>
      <c r="C237" s="39">
        <f t="array" ref="C237">NPV(B237,FCFF!$C$9:$I$9)+FCFF!$B$9+FCFF!$I$9*(1+Inputs!$B$6)/(B237-Inputs!$B$6)/(1+B237)^7</f>
        <v>-1809.277454</v>
      </c>
    </row>
    <row r="238" ht="14.25" customHeight="1">
      <c r="A238" s="7">
        <v>225.0</v>
      </c>
      <c r="B238" s="14">
        <f t="shared" si="1"/>
        <v>0.1249811168</v>
      </c>
      <c r="C238" s="39">
        <f t="array" ref="C238">NPV(B238,FCFF!$C$9:$I$9)+FCFF!$B$9+FCFF!$I$9*(1+Inputs!$B$6)/(B238-Inputs!$B$6)/(1+B238)^7</f>
        <v>-1901.043667</v>
      </c>
    </row>
    <row r="239" ht="14.25" customHeight="1">
      <c r="A239" s="7">
        <v>226.0</v>
      </c>
      <c r="B239" s="14">
        <f t="shared" si="1"/>
        <v>0.119294849</v>
      </c>
      <c r="C239" s="39">
        <f t="array" ref="C239">NPV(B239,FCFF!$C$9:$I$9)+FCFF!$B$9+FCFF!$I$9*(1+Inputs!$B$6)/(B239-Inputs!$B$6)/(1+B239)^7</f>
        <v>-1809.756364</v>
      </c>
    </row>
    <row r="240" ht="14.25" customHeight="1">
      <c r="A240" s="7">
        <v>227.0</v>
      </c>
      <c r="B240" s="14">
        <f t="shared" si="1"/>
        <v>0.09691588103</v>
      </c>
      <c r="C240" s="39">
        <f t="array" ref="C240">NPV(B240,FCFF!$C$9:$I$9)+FCFF!$B$9+FCFF!$I$9*(1+Inputs!$B$6)/(B240-Inputs!$B$6)/(1+B240)^7</f>
        <v>-1292.330859</v>
      </c>
    </row>
    <row r="241" ht="14.25" customHeight="1">
      <c r="A241" s="7">
        <v>228.0</v>
      </c>
      <c r="B241" s="14">
        <f t="shared" si="1"/>
        <v>0.1123877524</v>
      </c>
      <c r="C241" s="39">
        <f t="array" ref="C241">NPV(B241,FCFF!$C$9:$I$9)+FCFF!$B$9+FCFF!$I$9*(1+Inputs!$B$6)/(B241-Inputs!$B$6)/(1+B241)^7</f>
        <v>-1680.904024</v>
      </c>
    </row>
    <row r="242" ht="14.25" customHeight="1">
      <c r="A242" s="7">
        <v>229.0</v>
      </c>
      <c r="B242" s="14">
        <f t="shared" si="1"/>
        <v>0.115686115</v>
      </c>
      <c r="C242" s="39">
        <f t="array" ref="C242">NPV(B242,FCFF!$C$9:$I$9)+FCFF!$B$9+FCFF!$I$9*(1+Inputs!$B$6)/(B242-Inputs!$B$6)/(1+B242)^7</f>
        <v>-1745.150202</v>
      </c>
    </row>
    <row r="243" ht="14.25" customHeight="1">
      <c r="A243" s="7">
        <v>230.0</v>
      </c>
      <c r="B243" s="14">
        <f t="shared" si="1"/>
        <v>0.1025962829</v>
      </c>
      <c r="C243" s="39">
        <f t="array" ref="C243">NPV(B243,FCFF!$C$9:$I$9)+FCFF!$B$9+FCFF!$I$9*(1+Inputs!$B$6)/(B243-Inputs!$B$6)/(1+B243)^7</f>
        <v>-1454.550713</v>
      </c>
    </row>
    <row r="244" ht="14.25" customHeight="1">
      <c r="A244" s="7">
        <v>231.0</v>
      </c>
      <c r="B244" s="14">
        <f t="shared" si="1"/>
        <v>0.1143605683</v>
      </c>
      <c r="C244" s="39">
        <f t="array" ref="C244">NPV(B244,FCFF!$C$9:$I$9)+FCFF!$B$9+FCFF!$I$9*(1+Inputs!$B$6)/(B244-Inputs!$B$6)/(1+B244)^7</f>
        <v>-1719.960903</v>
      </c>
    </row>
    <row r="245" ht="14.25" customHeight="1">
      <c r="A245" s="7">
        <v>232.0</v>
      </c>
      <c r="B245" s="14">
        <f t="shared" si="1"/>
        <v>0.1303218638</v>
      </c>
      <c r="C245" s="39">
        <f t="array" ref="C245">NPV(B245,FCFF!$C$9:$I$9)+FCFF!$B$9+FCFF!$I$9*(1+Inputs!$B$6)/(B245-Inputs!$B$6)/(1+B245)^7</f>
        <v>-1976.727958</v>
      </c>
    </row>
    <row r="246" ht="14.25" customHeight="1">
      <c r="A246" s="7">
        <v>233.0</v>
      </c>
      <c r="B246" s="14">
        <f t="shared" si="1"/>
        <v>0.1151016568</v>
      </c>
      <c r="C246" s="39">
        <f t="array" ref="C246">NPV(B246,FCFF!$C$9:$I$9)+FCFF!$B$9+FCFF!$I$9*(1+Inputs!$B$6)/(B246-Inputs!$B$6)/(1+B246)^7</f>
        <v>-1734.144921</v>
      </c>
    </row>
    <row r="247" ht="14.25" customHeight="1">
      <c r="A247" s="7">
        <v>234.0</v>
      </c>
      <c r="B247" s="14">
        <f t="shared" si="1"/>
        <v>0.118748054</v>
      </c>
      <c r="C247" s="39">
        <f t="array" ref="C247">NPV(B247,FCFF!$C$9:$I$9)+FCFF!$B$9+FCFF!$I$9*(1+Inputs!$B$6)/(B247-Inputs!$B$6)/(1+B247)^7</f>
        <v>-1800.322796</v>
      </c>
    </row>
    <row r="248" ht="14.25" customHeight="1">
      <c r="A248" s="7">
        <v>235.0</v>
      </c>
      <c r="B248" s="14">
        <f t="shared" si="1"/>
        <v>0.09867400868</v>
      </c>
      <c r="C248" s="39">
        <f t="array" ref="C248">NPV(B248,FCFF!$C$9:$I$9)+FCFF!$B$9+FCFF!$I$9*(1+Inputs!$B$6)/(B248-Inputs!$B$6)/(1+B248)^7</f>
        <v>-1345.420631</v>
      </c>
    </row>
    <row r="249" ht="14.25" customHeight="1">
      <c r="A249" s="7">
        <v>236.0</v>
      </c>
      <c r="B249" s="14">
        <f t="shared" si="1"/>
        <v>0.1159042563</v>
      </c>
      <c r="C249" s="39">
        <f t="array" ref="C249">NPV(B249,FCFF!$C$9:$I$9)+FCFF!$B$9+FCFF!$I$9*(1+Inputs!$B$6)/(B249-Inputs!$B$6)/(1+B249)^7</f>
        <v>-1749.217595</v>
      </c>
    </row>
    <row r="250" ht="14.25" customHeight="1">
      <c r="A250" s="7">
        <v>237.0</v>
      </c>
      <c r="B250" s="14">
        <f t="shared" si="1"/>
        <v>0.1329058172</v>
      </c>
      <c r="C250" s="39">
        <f t="array" ref="C250">NPV(B250,FCFF!$C$9:$I$9)+FCFF!$B$9+FCFF!$I$9*(1+Inputs!$B$6)/(B250-Inputs!$B$6)/(1+B250)^7</f>
        <v>-2010.299071</v>
      </c>
    </row>
    <row r="251" ht="14.25" customHeight="1">
      <c r="A251" s="7">
        <v>238.0</v>
      </c>
      <c r="B251" s="14">
        <f t="shared" si="1"/>
        <v>0.09473441397</v>
      </c>
      <c r="C251" s="39">
        <f t="array" ref="C251">NPV(B251,FCFF!$C$9:$I$9)+FCFF!$B$9+FCFF!$I$9*(1+Inputs!$B$6)/(B251-Inputs!$B$6)/(1+B251)^7</f>
        <v>-1222.457484</v>
      </c>
    </row>
    <row r="252" ht="14.25" customHeight="1">
      <c r="A252" s="7">
        <v>239.0</v>
      </c>
      <c r="B252" s="14">
        <f t="shared" si="1"/>
        <v>0.1031800813</v>
      </c>
      <c r="C252" s="39">
        <f t="array" ref="C252">NPV(B252,FCFF!$C$9:$I$9)+FCFF!$B$9+FCFF!$I$9*(1+Inputs!$B$6)/(B252-Inputs!$B$6)/(1+B252)^7</f>
        <v>-1469.783562</v>
      </c>
    </row>
    <row r="253" ht="14.25" customHeight="1">
      <c r="A253" s="7">
        <v>240.0</v>
      </c>
      <c r="B253" s="14">
        <f t="shared" si="1"/>
        <v>0.1115323679</v>
      </c>
      <c r="C253" s="39">
        <f t="array" ref="C253">NPV(B253,FCFF!$C$9:$I$9)+FCFF!$B$9+FCFF!$I$9*(1+Inputs!$B$6)/(B253-Inputs!$B$6)/(1+B253)^7</f>
        <v>-1663.358314</v>
      </c>
    </row>
    <row r="254" ht="14.25" customHeight="1">
      <c r="A254" s="7">
        <v>241.0</v>
      </c>
      <c r="B254" s="14">
        <f t="shared" si="1"/>
        <v>0.1088355363</v>
      </c>
      <c r="C254" s="39">
        <f t="array" ref="C254">NPV(B254,FCFF!$C$9:$I$9)+FCFF!$B$9+FCFF!$I$9*(1+Inputs!$B$6)/(B254-Inputs!$B$6)/(1+B254)^7</f>
        <v>-1605.458423</v>
      </c>
    </row>
    <row r="255" ht="14.25" customHeight="1">
      <c r="A255" s="7">
        <v>242.0</v>
      </c>
      <c r="B255" s="14">
        <f t="shared" si="1"/>
        <v>0.122473996</v>
      </c>
      <c r="C255" s="39">
        <f t="array" ref="C255">NPV(B255,FCFF!$C$9:$I$9)+FCFF!$B$9+FCFF!$I$9*(1+Inputs!$B$6)/(B255-Inputs!$B$6)/(1+B255)^7</f>
        <v>-1862.267225</v>
      </c>
    </row>
    <row r="256" ht="14.25" customHeight="1">
      <c r="A256" s="7">
        <v>243.0</v>
      </c>
      <c r="B256" s="14">
        <f t="shared" si="1"/>
        <v>0.1262462967</v>
      </c>
      <c r="C256" s="39">
        <f t="array" ref="C256">NPV(B256,FCFF!$C$9:$I$9)+FCFF!$B$9+FCFF!$I$9*(1+Inputs!$B$6)/(B256-Inputs!$B$6)/(1+B256)^7</f>
        <v>-1919.791408</v>
      </c>
    </row>
    <row r="257" ht="14.25" customHeight="1">
      <c r="A257" s="7">
        <v>244.0</v>
      </c>
      <c r="B257" s="14">
        <f t="shared" si="1"/>
        <v>0.1276694085</v>
      </c>
      <c r="C257" s="39">
        <f t="array" ref="C257">NPV(B257,FCFF!$C$9:$I$9)+FCFF!$B$9+FCFF!$I$9*(1+Inputs!$B$6)/(B257-Inputs!$B$6)/(1+B257)^7</f>
        <v>-1940.255913</v>
      </c>
    </row>
    <row r="258" ht="14.25" customHeight="1">
      <c r="A258" s="7">
        <v>245.0</v>
      </c>
      <c r="B258" s="14">
        <f t="shared" si="1"/>
        <v>0.1315826615</v>
      </c>
      <c r="C258" s="39">
        <f t="array" ref="C258">NPV(B258,FCFF!$C$9:$I$9)+FCFF!$B$9+FCFF!$I$9*(1+Inputs!$B$6)/(B258-Inputs!$B$6)/(1+B258)^7</f>
        <v>-1993.340885</v>
      </c>
    </row>
    <row r="259" ht="14.25" customHeight="1">
      <c r="A259" s="7">
        <v>246.0</v>
      </c>
      <c r="B259" s="14">
        <f t="shared" si="1"/>
        <v>0.09424661537</v>
      </c>
      <c r="C259" s="39">
        <f t="array" ref="C259">NPV(B259,FCFF!$C$9:$I$9)+FCFF!$B$9+FCFF!$I$9*(1+Inputs!$B$6)/(B259-Inputs!$B$6)/(1+B259)^7</f>
        <v>-1206.18792</v>
      </c>
    </row>
    <row r="260" ht="14.25" customHeight="1">
      <c r="A260" s="7">
        <v>247.0</v>
      </c>
      <c r="B260" s="14">
        <f t="shared" si="1"/>
        <v>0.1012159917</v>
      </c>
      <c r="C260" s="39">
        <f t="array" ref="C260">NPV(B260,FCFF!$C$9:$I$9)+FCFF!$B$9+FCFF!$I$9*(1+Inputs!$B$6)/(B260-Inputs!$B$6)/(1+B260)^7</f>
        <v>-1417.529215</v>
      </c>
    </row>
    <row r="261" ht="14.25" customHeight="1">
      <c r="A261" s="7">
        <v>248.0</v>
      </c>
      <c r="B261" s="14">
        <f t="shared" si="1"/>
        <v>0.1096566067</v>
      </c>
      <c r="C261" s="39">
        <f t="array" ref="C261">NPV(B261,FCFF!$C$9:$I$9)+FCFF!$B$9+FCFF!$I$9*(1+Inputs!$B$6)/(B261-Inputs!$B$6)/(1+B261)^7</f>
        <v>-1623.515217</v>
      </c>
    </row>
    <row r="262" ht="14.25" customHeight="1">
      <c r="A262" s="7">
        <v>249.0</v>
      </c>
      <c r="B262" s="14">
        <f t="shared" si="1"/>
        <v>0.1309259404</v>
      </c>
      <c r="C262" s="39">
        <f t="array" ref="C262">NPV(B262,FCFF!$C$9:$I$9)+FCFF!$B$9+FCFF!$I$9*(1+Inputs!$B$6)/(B262-Inputs!$B$6)/(1+B262)^7</f>
        <v>-1984.743922</v>
      </c>
    </row>
    <row r="263" ht="14.25" customHeight="1">
      <c r="A263" s="7">
        <v>250.0</v>
      </c>
      <c r="B263" s="14">
        <f t="shared" si="1"/>
        <v>0.1119789081</v>
      </c>
      <c r="C263" s="39">
        <f t="array" ref="C263">NPV(B263,FCFF!$C$9:$I$9)+FCFF!$B$9+FCFF!$I$9*(1+Inputs!$B$6)/(B263-Inputs!$B$6)/(1+B263)^7</f>
        <v>-1672.565187</v>
      </c>
    </row>
    <row r="264" ht="14.25" customHeight="1">
      <c r="A264" s="7">
        <v>251.0</v>
      </c>
      <c r="B264" s="14">
        <f t="shared" si="1"/>
        <v>0.1001313079</v>
      </c>
      <c r="C264" s="39">
        <f t="array" ref="C264">NPV(B264,FCFF!$C$9:$I$9)+FCFF!$B$9+FCFF!$I$9*(1+Inputs!$B$6)/(B264-Inputs!$B$6)/(1+B264)^7</f>
        <v>-1387.403447</v>
      </c>
    </row>
    <row r="265" ht="14.25" customHeight="1">
      <c r="A265" s="7">
        <v>252.0</v>
      </c>
      <c r="B265" s="14">
        <f t="shared" si="1"/>
        <v>0.09695178846</v>
      </c>
      <c r="C265" s="39">
        <f t="array" ref="C265">NPV(B265,FCFF!$C$9:$I$9)+FCFF!$B$9+FCFF!$I$9*(1+Inputs!$B$6)/(B265-Inputs!$B$6)/(1+B265)^7</f>
        <v>-1293.443036</v>
      </c>
    </row>
    <row r="266" ht="14.25" customHeight="1">
      <c r="A266" s="7">
        <v>253.0</v>
      </c>
      <c r="B266" s="14">
        <f t="shared" si="1"/>
        <v>0.1060543213</v>
      </c>
      <c r="C266" s="39">
        <f t="array" ref="C266">NPV(B266,FCFF!$C$9:$I$9)+FCFF!$B$9+FCFF!$I$9*(1+Inputs!$B$6)/(B266-Inputs!$B$6)/(1+B266)^7</f>
        <v>-1541.314369</v>
      </c>
    </row>
    <row r="267" ht="14.25" customHeight="1">
      <c r="A267" s="7">
        <v>254.0</v>
      </c>
      <c r="B267" s="14">
        <f t="shared" si="1"/>
        <v>0.1263226408</v>
      </c>
      <c r="C267" s="39">
        <f t="array" ref="C267">NPV(B267,FCFF!$C$9:$I$9)+FCFF!$B$9+FCFF!$I$9*(1+Inputs!$B$6)/(B267-Inputs!$B$6)/(1+B267)^7</f>
        <v>-1920.905774</v>
      </c>
    </row>
    <row r="268" ht="14.25" customHeight="1">
      <c r="A268" s="7">
        <v>255.0</v>
      </c>
      <c r="B268" s="14">
        <f t="shared" si="1"/>
        <v>0.09492493298</v>
      </c>
      <c r="C268" s="39">
        <f t="array" ref="C268">NPV(B268,FCFF!$C$9:$I$9)+FCFF!$B$9+FCFF!$I$9*(1+Inputs!$B$6)/(B268-Inputs!$B$6)/(1+B268)^7</f>
        <v>-1228.746</v>
      </c>
    </row>
    <row r="269" ht="14.25" customHeight="1">
      <c r="A269" s="7">
        <v>256.0</v>
      </c>
      <c r="B269" s="14">
        <f t="shared" si="1"/>
        <v>0.1166070467</v>
      </c>
      <c r="C269" s="39">
        <f t="array" ref="C269">NPV(B269,FCFF!$C$9:$I$9)+FCFF!$B$9+FCFF!$I$9*(1+Inputs!$B$6)/(B269-Inputs!$B$6)/(1+B269)^7</f>
        <v>-1762.175551</v>
      </c>
    </row>
    <row r="270" ht="14.25" customHeight="1">
      <c r="A270" s="7">
        <v>257.0</v>
      </c>
      <c r="B270" s="14">
        <f t="shared" si="1"/>
        <v>0.1010446694</v>
      </c>
      <c r="C270" s="39">
        <f t="array" ref="C270">NPV(B270,FCFF!$C$9:$I$9)+FCFF!$B$9+FCFF!$I$9*(1+Inputs!$B$6)/(B270-Inputs!$B$6)/(1+B270)^7</f>
        <v>-1412.832645</v>
      </c>
    </row>
    <row r="271" ht="14.25" customHeight="1">
      <c r="A271" s="7">
        <v>258.0</v>
      </c>
      <c r="B271" s="14">
        <f t="shared" si="1"/>
        <v>0.1022798364</v>
      </c>
      <c r="C271" s="39">
        <f t="array" ref="C271">NPV(B271,FCFF!$C$9:$I$9)+FCFF!$B$9+FCFF!$I$9*(1+Inputs!$B$6)/(B271-Inputs!$B$6)/(1+B271)^7</f>
        <v>-1446.189539</v>
      </c>
    </row>
    <row r="272" ht="14.25" customHeight="1">
      <c r="A272" s="7">
        <v>259.0</v>
      </c>
      <c r="B272" s="14">
        <f t="shared" si="1"/>
        <v>0.1258913813</v>
      </c>
      <c r="C272" s="39">
        <f t="array" ref="C272">NPV(B272,FCFF!$C$9:$I$9)+FCFF!$B$9+FCFF!$I$9*(1+Inputs!$B$6)/(B272-Inputs!$B$6)/(1+B272)^7</f>
        <v>-1914.585786</v>
      </c>
    </row>
    <row r="273" ht="14.25" customHeight="1">
      <c r="A273" s="7">
        <v>260.0</v>
      </c>
      <c r="B273" s="14">
        <f t="shared" si="1"/>
        <v>0.1167435425</v>
      </c>
      <c r="C273" s="39">
        <f t="array" ref="C273">NPV(B273,FCFF!$C$9:$I$9)+FCFF!$B$9+FCFF!$I$9*(1+Inputs!$B$6)/(B273-Inputs!$B$6)/(1+B273)^7</f>
        <v>-1764.666693</v>
      </c>
    </row>
    <row r="274" ht="14.25" customHeight="1">
      <c r="A274" s="7">
        <v>261.0</v>
      </c>
      <c r="B274" s="14">
        <f t="shared" si="1"/>
        <v>0.1327148639</v>
      </c>
      <c r="C274" s="39">
        <f t="array" ref="C274">NPV(B274,FCFF!$C$9:$I$9)+FCFF!$B$9+FCFF!$I$9*(1+Inputs!$B$6)/(B274-Inputs!$B$6)/(1+B274)^7</f>
        <v>-2007.881162</v>
      </c>
    </row>
    <row r="275" ht="14.25" customHeight="1">
      <c r="A275" s="7">
        <v>262.0</v>
      </c>
      <c r="B275" s="14">
        <f t="shared" si="1"/>
        <v>0.1051991943</v>
      </c>
      <c r="C275" s="39">
        <f t="array" ref="C275">NPV(B275,FCFF!$C$9:$I$9)+FCFF!$B$9+FCFF!$I$9*(1+Inputs!$B$6)/(B275-Inputs!$B$6)/(1+B275)^7</f>
        <v>-1520.615227</v>
      </c>
    </row>
    <row r="276" ht="14.25" customHeight="1">
      <c r="A276" s="7">
        <v>263.0</v>
      </c>
      <c r="B276" s="14">
        <f t="shared" si="1"/>
        <v>0.09963143193</v>
      </c>
      <c r="C276" s="39">
        <f t="array" ref="C276">NPV(B276,FCFF!$C$9:$I$9)+FCFF!$B$9+FCFF!$I$9*(1+Inputs!$B$6)/(B276-Inputs!$B$6)/(1+B276)^7</f>
        <v>-1373.201717</v>
      </c>
    </row>
    <row r="277" ht="14.25" customHeight="1">
      <c r="A277" s="7">
        <v>264.0</v>
      </c>
      <c r="B277" s="14">
        <f t="shared" si="1"/>
        <v>0.1259768183</v>
      </c>
      <c r="C277" s="39">
        <f t="array" ref="C277">NPV(B277,FCFF!$C$9:$I$9)+FCFF!$B$9+FCFF!$I$9*(1+Inputs!$B$6)/(B277-Inputs!$B$6)/(1+B277)^7</f>
        <v>-1915.842691</v>
      </c>
    </row>
    <row r="278" ht="14.25" customHeight="1">
      <c r="A278" s="7">
        <v>265.0</v>
      </c>
      <c r="B278" s="14">
        <f t="shared" si="1"/>
        <v>0.1165810266</v>
      </c>
      <c r="C278" s="39">
        <f t="array" ref="C278">NPV(B278,FCFF!$C$9:$I$9)+FCFF!$B$9+FCFF!$I$9*(1+Inputs!$B$6)/(B278-Inputs!$B$6)/(1+B278)^7</f>
        <v>-1761.69973</v>
      </c>
    </row>
    <row r="279" ht="14.25" customHeight="1">
      <c r="A279" s="7">
        <v>266.0</v>
      </c>
      <c r="B279" s="14">
        <f t="shared" si="1"/>
        <v>0.09428855764</v>
      </c>
      <c r="C279" s="39">
        <f t="array" ref="C279">NPV(B279,FCFF!$C$9:$I$9)+FCFF!$B$9+FCFF!$I$9*(1+Inputs!$B$6)/(B279-Inputs!$B$6)/(1+B279)^7</f>
        <v>-1207.596442</v>
      </c>
    </row>
    <row r="280" ht="14.25" customHeight="1">
      <c r="A280" s="7">
        <v>267.0</v>
      </c>
      <c r="B280" s="14">
        <f t="shared" si="1"/>
        <v>0.1172961372</v>
      </c>
      <c r="C280" s="39">
        <f t="array" ref="C280">NPV(B280,FCFF!$C$9:$I$9)+FCFF!$B$9+FCFF!$I$9*(1+Inputs!$B$6)/(B280-Inputs!$B$6)/(1+B280)^7</f>
        <v>-1774.668305</v>
      </c>
    </row>
    <row r="281" ht="14.25" customHeight="1">
      <c r="A281" s="7">
        <v>268.0</v>
      </c>
      <c r="B281" s="14">
        <f t="shared" si="1"/>
        <v>0.1011913003</v>
      </c>
      <c r="C281" s="39">
        <f t="array" ref="C281">NPV(B281,FCFF!$C$9:$I$9)+FCFF!$B$9+FCFF!$I$9*(1+Inputs!$B$6)/(B281-Inputs!$B$6)/(1+B281)^7</f>
        <v>-1416.853741</v>
      </c>
    </row>
    <row r="282" ht="14.25" customHeight="1">
      <c r="A282" s="7">
        <v>269.0</v>
      </c>
      <c r="B282" s="14">
        <f t="shared" si="1"/>
        <v>0.1234054507</v>
      </c>
      <c r="C282" s="39">
        <f t="array" ref="C282">NPV(B282,FCFF!$C$9:$I$9)+FCFF!$B$9+FCFF!$I$9*(1+Inputs!$B$6)/(B282-Inputs!$B$6)/(1+B282)^7</f>
        <v>-1876.933247</v>
      </c>
    </row>
    <row r="283" ht="14.25" customHeight="1">
      <c r="A283" s="7">
        <v>270.0</v>
      </c>
      <c r="B283" s="14">
        <f t="shared" si="1"/>
        <v>0.1003585412</v>
      </c>
      <c r="C283" s="39">
        <f t="array" ref="C283">NPV(B283,FCFF!$C$9:$I$9)+FCFF!$B$9+FCFF!$I$9*(1+Inputs!$B$6)/(B283-Inputs!$B$6)/(1+B283)^7</f>
        <v>-1393.792106</v>
      </c>
    </row>
    <row r="284" ht="14.25" customHeight="1">
      <c r="A284" s="7">
        <v>271.0</v>
      </c>
      <c r="B284" s="14">
        <f t="shared" si="1"/>
        <v>0.09883962037</v>
      </c>
      <c r="C284" s="39">
        <f t="array" ref="C284">NPV(B284,FCFF!$C$9:$I$9)+FCFF!$B$9+FCFF!$I$9*(1+Inputs!$B$6)/(B284-Inputs!$B$6)/(1+B284)^7</f>
        <v>-1350.281599</v>
      </c>
    </row>
    <row r="285" ht="14.25" customHeight="1">
      <c r="A285" s="7">
        <v>272.0</v>
      </c>
      <c r="B285" s="14">
        <f t="shared" si="1"/>
        <v>0.1187579837</v>
      </c>
      <c r="C285" s="39">
        <f t="array" ref="C285">NPV(B285,FCFF!$C$9:$I$9)+FCFF!$B$9+FCFF!$I$9*(1+Inputs!$B$6)/(B285-Inputs!$B$6)/(1+B285)^7</f>
        <v>-1800.495203</v>
      </c>
    </row>
    <row r="286" ht="14.25" customHeight="1">
      <c r="A286" s="7">
        <v>273.0</v>
      </c>
      <c r="B286" s="14">
        <f t="shared" si="1"/>
        <v>0.1118296317</v>
      </c>
      <c r="C286" s="39">
        <f t="array" ref="C286">NPV(B286,FCFF!$C$9:$I$9)+FCFF!$B$9+FCFF!$I$9*(1+Inputs!$B$6)/(B286-Inputs!$B$6)/(1+B286)^7</f>
        <v>-1669.498968</v>
      </c>
    </row>
    <row r="287" ht="14.25" customHeight="1">
      <c r="A287" s="7">
        <v>274.0</v>
      </c>
      <c r="B287" s="14">
        <f t="shared" si="1"/>
        <v>0.1303327012</v>
      </c>
      <c r="C287" s="39">
        <f t="array" ref="C287">NPV(B287,FCFF!$C$9:$I$9)+FCFF!$B$9+FCFF!$I$9*(1+Inputs!$B$6)/(B287-Inputs!$B$6)/(1+B287)^7</f>
        <v>-1976.872692</v>
      </c>
    </row>
    <row r="288" ht="14.25" customHeight="1">
      <c r="A288" s="7">
        <v>275.0</v>
      </c>
      <c r="B288" s="14">
        <f t="shared" si="1"/>
        <v>0.1201227193</v>
      </c>
      <c r="C288" s="39">
        <f t="array" ref="C288">NPV(B288,FCFF!$C$9:$I$9)+FCFF!$B$9+FCFF!$I$9*(1+Inputs!$B$6)/(B288-Inputs!$B$6)/(1+B288)^7</f>
        <v>-1823.808965</v>
      </c>
    </row>
    <row r="289" ht="14.25" customHeight="1">
      <c r="A289" s="7">
        <v>276.0</v>
      </c>
      <c r="B289" s="14">
        <f t="shared" si="1"/>
        <v>0.1132346092</v>
      </c>
      <c r="C289" s="39">
        <f t="array" ref="C289">NPV(B289,FCFF!$C$9:$I$9)+FCFF!$B$9+FCFF!$I$9*(1+Inputs!$B$6)/(B289-Inputs!$B$6)/(1+B289)^7</f>
        <v>-1697.905885</v>
      </c>
    </row>
    <row r="290" ht="14.25" customHeight="1">
      <c r="A290" s="7">
        <v>277.0</v>
      </c>
      <c r="B290" s="14">
        <f t="shared" si="1"/>
        <v>0.1018445738</v>
      </c>
      <c r="C290" s="39">
        <f t="array" ref="C290">NPV(B290,FCFF!$C$9:$I$9)+FCFF!$B$9+FCFF!$I$9*(1+Inputs!$B$6)/(B290-Inputs!$B$6)/(1+B290)^7</f>
        <v>-1434.567165</v>
      </c>
    </row>
    <row r="291" ht="14.25" customHeight="1">
      <c r="A291" s="7">
        <v>278.0</v>
      </c>
      <c r="B291" s="14">
        <f t="shared" si="1"/>
        <v>0.1031299637</v>
      </c>
      <c r="C291" s="39">
        <f t="array" ref="C291">NPV(B291,FCFF!$C$9:$I$9)+FCFF!$B$9+FCFF!$I$9*(1+Inputs!$B$6)/(B291-Inputs!$B$6)/(1+B291)^7</f>
        <v>-1468.48554</v>
      </c>
    </row>
    <row r="292" ht="14.25" customHeight="1">
      <c r="A292" s="7">
        <v>279.0</v>
      </c>
      <c r="B292" s="14">
        <f t="shared" si="1"/>
        <v>0.1170923138</v>
      </c>
      <c r="C292" s="39">
        <f t="array" ref="C292">NPV(B292,FCFF!$C$9:$I$9)+FCFF!$B$9+FCFF!$I$9*(1+Inputs!$B$6)/(B292-Inputs!$B$6)/(1+B292)^7</f>
        <v>-1770.994758</v>
      </c>
    </row>
    <row r="293" ht="14.25" customHeight="1">
      <c r="A293" s="7">
        <v>280.0</v>
      </c>
      <c r="B293" s="14">
        <f t="shared" si="1"/>
        <v>0.11278295</v>
      </c>
      <c r="C293" s="39">
        <f t="array" ref="C293">NPV(B293,FCFF!$C$9:$I$9)+FCFF!$B$9+FCFF!$I$9*(1+Inputs!$B$6)/(B293-Inputs!$B$6)/(1+B293)^7</f>
        <v>-1688.883201</v>
      </c>
    </row>
    <row r="294" ht="14.25" customHeight="1">
      <c r="A294" s="7">
        <v>281.0</v>
      </c>
      <c r="B294" s="14">
        <f t="shared" si="1"/>
        <v>0.09935840699</v>
      </c>
      <c r="C294" s="39">
        <f t="array" ref="C294">NPV(B294,FCFF!$C$9:$I$9)+FCFF!$B$9+FCFF!$I$9*(1+Inputs!$B$6)/(B294-Inputs!$B$6)/(1+B294)^7</f>
        <v>-1365.358005</v>
      </c>
    </row>
    <row r="295" ht="14.25" customHeight="1">
      <c r="A295" s="7">
        <v>282.0</v>
      </c>
      <c r="B295" s="14">
        <f t="shared" si="1"/>
        <v>0.09984534214</v>
      </c>
      <c r="C295" s="39">
        <f t="array" ref="C295">NPV(B295,FCFF!$C$9:$I$9)+FCFF!$B$9+FCFF!$I$9*(1+Inputs!$B$6)/(B295-Inputs!$B$6)/(1+B295)^7</f>
        <v>-1379.30405</v>
      </c>
    </row>
    <row r="296" ht="14.25" customHeight="1">
      <c r="A296" s="7">
        <v>283.0</v>
      </c>
      <c r="B296" s="14">
        <f t="shared" si="1"/>
        <v>0.1148940186</v>
      </c>
      <c r="C296" s="39">
        <f t="array" ref="C296">NPV(B296,FCFF!$C$9:$I$9)+FCFF!$B$9+FCFF!$I$9*(1+Inputs!$B$6)/(B296-Inputs!$B$6)/(1+B296)^7</f>
        <v>-1730.196942</v>
      </c>
    </row>
    <row r="297" ht="14.25" customHeight="1">
      <c r="A297" s="7">
        <v>284.0</v>
      </c>
      <c r="B297" s="14">
        <f t="shared" si="1"/>
        <v>0.1019831396</v>
      </c>
      <c r="C297" s="39">
        <f t="array" ref="C297">NPV(B297,FCFF!$C$9:$I$9)+FCFF!$B$9+FCFF!$I$9*(1+Inputs!$B$6)/(B297-Inputs!$B$6)/(1+B297)^7</f>
        <v>-1438.282575</v>
      </c>
    </row>
    <row r="298" ht="14.25" customHeight="1">
      <c r="A298" s="7">
        <v>285.0</v>
      </c>
      <c r="B298" s="14">
        <f t="shared" si="1"/>
        <v>0.1138791086</v>
      </c>
      <c r="C298" s="39">
        <f t="array" ref="C298">NPV(B298,FCFF!$C$9:$I$9)+FCFF!$B$9+FCFF!$I$9*(1+Inputs!$B$6)/(B298-Inputs!$B$6)/(1+B298)^7</f>
        <v>-1710.605736</v>
      </c>
    </row>
    <row r="299" ht="14.25" customHeight="1">
      <c r="A299" s="7">
        <v>286.0</v>
      </c>
      <c r="B299" s="14">
        <f t="shared" si="1"/>
        <v>0.1257252826</v>
      </c>
      <c r="C299" s="39">
        <f t="array" ref="C299">NPV(B299,FCFF!$C$9:$I$9)+FCFF!$B$9+FCFF!$I$9*(1+Inputs!$B$6)/(B299-Inputs!$B$6)/(1+B299)^7</f>
        <v>-1912.135332</v>
      </c>
    </row>
    <row r="300" ht="14.25" customHeight="1">
      <c r="A300" s="7">
        <v>287.0</v>
      </c>
      <c r="B300" s="14">
        <f t="shared" si="1"/>
        <v>0.109658701</v>
      </c>
      <c r="C300" s="39">
        <f t="array" ref="C300">NPV(B300,FCFF!$C$9:$I$9)+FCFF!$B$9+FCFF!$I$9*(1+Inputs!$B$6)/(B300-Inputs!$B$6)/(1+B300)^7</f>
        <v>-1623.560782</v>
      </c>
    </row>
    <row r="301" ht="14.25" customHeight="1">
      <c r="A301" s="7">
        <v>288.0</v>
      </c>
      <c r="B301" s="14">
        <f t="shared" si="1"/>
        <v>0.1004202821</v>
      </c>
      <c r="C301" s="39">
        <f t="array" ref="C301">NPV(B301,FCFF!$C$9:$I$9)+FCFF!$B$9+FCFF!$I$9*(1+Inputs!$B$6)/(B301-Inputs!$B$6)/(1+B301)^7</f>
        <v>-1395.520775</v>
      </c>
    </row>
    <row r="302" ht="14.25" customHeight="1">
      <c r="A302" s="7">
        <v>289.0</v>
      </c>
      <c r="B302" s="14">
        <f t="shared" si="1"/>
        <v>0.1293379944</v>
      </c>
      <c r="C302" s="39">
        <f t="array" ref="C302">NPV(B302,FCFF!$C$9:$I$9)+FCFF!$B$9+FCFF!$I$9*(1+Inputs!$B$6)/(B302-Inputs!$B$6)/(1+B302)^7</f>
        <v>-1963.44547</v>
      </c>
    </row>
    <row r="303" ht="14.25" customHeight="1">
      <c r="A303" s="7">
        <v>290.0</v>
      </c>
      <c r="B303" s="14">
        <f t="shared" si="1"/>
        <v>0.1122542793</v>
      </c>
      <c r="C303" s="39">
        <f t="array" ref="C303">NPV(B303,FCFF!$C$9:$I$9)+FCFF!$B$9+FCFF!$I$9*(1+Inputs!$B$6)/(B303-Inputs!$B$6)/(1+B303)^7</f>
        <v>-1678.191154</v>
      </c>
    </row>
    <row r="304" ht="14.25" customHeight="1">
      <c r="A304" s="7">
        <v>291.0</v>
      </c>
      <c r="B304" s="14">
        <f t="shared" si="1"/>
        <v>0.126836139</v>
      </c>
      <c r="C304" s="39">
        <f t="array" ref="C304">NPV(B304,FCFF!$C$9:$I$9)+FCFF!$B$9+FCFF!$I$9*(1+Inputs!$B$6)/(B304-Inputs!$B$6)/(1+B304)^7</f>
        <v>-1928.352018</v>
      </c>
    </row>
    <row r="305" ht="14.25" customHeight="1">
      <c r="A305" s="7">
        <v>292.0</v>
      </c>
      <c r="B305" s="14">
        <f t="shared" si="1"/>
        <v>0.09936391023</v>
      </c>
      <c r="C305" s="39">
        <f t="array" ref="C305">NPV(B305,FCFF!$C$9:$I$9)+FCFF!$B$9+FCFF!$I$9*(1+Inputs!$B$6)/(B305-Inputs!$B$6)/(1+B305)^7</f>
        <v>-1365.51672</v>
      </c>
    </row>
    <row r="306" ht="14.25" customHeight="1">
      <c r="A306" s="7">
        <v>293.0</v>
      </c>
      <c r="B306" s="14">
        <f t="shared" si="1"/>
        <v>0.1323374034</v>
      </c>
      <c r="C306" s="39">
        <f t="array" ref="C306">NPV(B306,FCFF!$C$9:$I$9)+FCFF!$B$9+FCFF!$I$9*(1+Inputs!$B$6)/(B306-Inputs!$B$6)/(1+B306)^7</f>
        <v>-2003.07264</v>
      </c>
    </row>
    <row r="307" ht="14.25" customHeight="1">
      <c r="A307" s="7">
        <v>294.0</v>
      </c>
      <c r="B307" s="14">
        <f t="shared" si="1"/>
        <v>0.1147397267</v>
      </c>
      <c r="C307" s="39">
        <f t="array" ref="C307">NPV(B307,FCFF!$C$9:$I$9)+FCFF!$B$9+FCFF!$I$9*(1+Inputs!$B$6)/(B307-Inputs!$B$6)/(1+B307)^7</f>
        <v>-1727.250173</v>
      </c>
    </row>
    <row r="308" ht="14.25" customHeight="1">
      <c r="A308" s="7">
        <v>295.0</v>
      </c>
      <c r="B308" s="14">
        <f t="shared" si="1"/>
        <v>0.1223318978</v>
      </c>
      <c r="C308" s="39">
        <f t="array" ref="C308">NPV(B308,FCFF!$C$9:$I$9)+FCFF!$B$9+FCFF!$I$9*(1+Inputs!$B$6)/(B308-Inputs!$B$6)/(1+B308)^7</f>
        <v>-1860.002111</v>
      </c>
    </row>
    <row r="309" ht="14.25" customHeight="1">
      <c r="A309" s="7">
        <v>296.0</v>
      </c>
      <c r="B309" s="14">
        <f t="shared" si="1"/>
        <v>0.1090561499</v>
      </c>
      <c r="C309" s="39">
        <f t="array" ref="C309">NPV(B309,FCFF!$C$9:$I$9)+FCFF!$B$9+FCFF!$I$9*(1+Inputs!$B$6)/(B309-Inputs!$B$6)/(1+B309)^7</f>
        <v>-1610.348086</v>
      </c>
    </row>
    <row r="310" ht="14.25" customHeight="1">
      <c r="A310" s="7">
        <v>297.0</v>
      </c>
      <c r="B310" s="14">
        <f t="shared" si="1"/>
        <v>0.1126138443</v>
      </c>
      <c r="C310" s="39">
        <f t="array" ref="C310">NPV(B310,FCFF!$C$9:$I$9)+FCFF!$B$9+FCFF!$I$9*(1+Inputs!$B$6)/(B310-Inputs!$B$6)/(1+B310)^7</f>
        <v>-1685.478611</v>
      </c>
    </row>
    <row r="311" ht="14.25" customHeight="1">
      <c r="A311" s="7">
        <v>298.0</v>
      </c>
      <c r="B311" s="14">
        <f t="shared" si="1"/>
        <v>0.1041022907</v>
      </c>
      <c r="C311" s="39">
        <f t="array" ref="C311">NPV(B311,FCFF!$C$9:$I$9)+FCFF!$B$9+FCFF!$I$9*(1+Inputs!$B$6)/(B311-Inputs!$B$6)/(1+B311)^7</f>
        <v>-1493.350077</v>
      </c>
    </row>
    <row r="312" ht="14.25" customHeight="1">
      <c r="A312" s="7">
        <v>299.0</v>
      </c>
      <c r="B312" s="14">
        <f t="shared" si="1"/>
        <v>0.1213363575</v>
      </c>
      <c r="C312" s="39">
        <f t="array" ref="C312">NPV(B312,FCFF!$C$9:$I$9)+FCFF!$B$9+FCFF!$I$9*(1+Inputs!$B$6)/(B312-Inputs!$B$6)/(1+B312)^7</f>
        <v>-1843.922259</v>
      </c>
    </row>
    <row r="313" ht="14.25" customHeight="1">
      <c r="A313" s="7">
        <v>300.0</v>
      </c>
      <c r="B313" s="14">
        <f t="shared" si="1"/>
        <v>0.09556978134</v>
      </c>
      <c r="C313" s="39">
        <f t="array" ref="C313">NPV(B313,FCFF!$C$9:$I$9)+FCFF!$B$9+FCFF!$I$9*(1+Inputs!$B$6)/(B313-Inputs!$B$6)/(1+B313)^7</f>
        <v>-1249.761308</v>
      </c>
    </row>
    <row r="314" ht="14.25" customHeight="1">
      <c r="A314" s="7">
        <v>301.0</v>
      </c>
      <c r="B314" s="14">
        <f t="shared" si="1"/>
        <v>0.1272656817</v>
      </c>
      <c r="C314" s="39">
        <f t="array" ref="C314">NPV(B314,FCFF!$C$9:$I$9)+FCFF!$B$9+FCFF!$I$9*(1+Inputs!$B$6)/(B314-Inputs!$B$6)/(1+B314)^7</f>
        <v>-1934.51582</v>
      </c>
    </row>
    <row r="315" ht="14.25" customHeight="1">
      <c r="A315" s="7">
        <v>302.0</v>
      </c>
      <c r="B315" s="14">
        <f t="shared" si="1"/>
        <v>0.1311493722</v>
      </c>
      <c r="C315" s="39">
        <f t="array" ref="C315">NPV(B315,FCFF!$C$9:$I$9)+FCFF!$B$9+FCFF!$I$9*(1+Inputs!$B$6)/(B315-Inputs!$B$6)/(1+B315)^7</f>
        <v>-1987.682447</v>
      </c>
    </row>
    <row r="316" ht="14.25" customHeight="1">
      <c r="A316" s="7">
        <v>303.0</v>
      </c>
      <c r="B316" s="14">
        <f t="shared" si="1"/>
        <v>0.1046176165</v>
      </c>
      <c r="C316" s="39">
        <f t="array" ref="C316">NPV(B316,FCFF!$C$9:$I$9)+FCFF!$B$9+FCFF!$I$9*(1+Inputs!$B$6)/(B316-Inputs!$B$6)/(1+B316)^7</f>
        <v>-1506.260961</v>
      </c>
    </row>
    <row r="317" ht="14.25" customHeight="1">
      <c r="A317" s="7">
        <v>304.0</v>
      </c>
      <c r="B317" s="14">
        <f t="shared" si="1"/>
        <v>0.1088926814</v>
      </c>
      <c r="C317" s="39">
        <f t="array" ref="C317">NPV(B317,FCFF!$C$9:$I$9)+FCFF!$B$9+FCFF!$I$9*(1+Inputs!$B$6)/(B317-Inputs!$B$6)/(1+B317)^7</f>
        <v>-1606.727684</v>
      </c>
    </row>
    <row r="318" ht="14.25" customHeight="1">
      <c r="A318" s="7">
        <v>305.0</v>
      </c>
      <c r="B318" s="14">
        <f t="shared" si="1"/>
        <v>0.1033022323</v>
      </c>
      <c r="C318" s="39">
        <f t="array" ref="C318">NPV(B318,FCFF!$C$9:$I$9)+FCFF!$B$9+FCFF!$I$9*(1+Inputs!$B$6)/(B318-Inputs!$B$6)/(1+B318)^7</f>
        <v>-1472.939668</v>
      </c>
    </row>
    <row r="319" ht="14.25" customHeight="1">
      <c r="A319" s="7">
        <v>306.0</v>
      </c>
      <c r="B319" s="14">
        <f t="shared" si="1"/>
        <v>0.117429582</v>
      </c>
      <c r="C319" s="39">
        <f t="array" ref="C319">NPV(B319,FCFF!$C$9:$I$9)+FCFF!$B$9+FCFF!$I$9*(1+Inputs!$B$6)/(B319-Inputs!$B$6)/(1+B319)^7</f>
        <v>-1777.063648</v>
      </c>
    </row>
    <row r="320" ht="14.25" customHeight="1">
      <c r="A320" s="7">
        <v>307.0</v>
      </c>
      <c r="B320" s="14">
        <f t="shared" si="1"/>
        <v>0.0931828097</v>
      </c>
      <c r="C320" s="39">
        <f t="array" ref="C320">NPV(B320,FCFF!$C$9:$I$9)+FCFF!$B$9+FCFF!$I$9*(1+Inputs!$B$6)/(B320-Inputs!$B$6)/(1+B320)^7</f>
        <v>-1169.843743</v>
      </c>
    </row>
    <row r="321" ht="14.25" customHeight="1">
      <c r="A321" s="7">
        <v>308.0</v>
      </c>
      <c r="B321" s="14">
        <f t="shared" si="1"/>
        <v>0.1028404671</v>
      </c>
      <c r="C321" s="39">
        <f t="array" ref="C321">NPV(B321,FCFF!$C$9:$I$9)+FCFF!$B$9+FCFF!$I$9*(1+Inputs!$B$6)/(B321-Inputs!$B$6)/(1+B321)^7</f>
        <v>-1460.952251</v>
      </c>
    </row>
    <row r="322" ht="14.25" customHeight="1">
      <c r="A322" s="7">
        <v>309.0</v>
      </c>
      <c r="B322" s="14">
        <f t="shared" si="1"/>
        <v>0.1223289862</v>
      </c>
      <c r="C322" s="39">
        <f t="array" ref="C322">NPV(B322,FCFF!$C$9:$I$9)+FCFF!$B$9+FCFF!$I$9*(1+Inputs!$B$6)/(B322-Inputs!$B$6)/(1+B322)^7</f>
        <v>-1859.955621</v>
      </c>
    </row>
    <row r="323" ht="14.25" customHeight="1">
      <c r="A323" s="7">
        <v>310.0</v>
      </c>
      <c r="B323" s="14">
        <f t="shared" si="1"/>
        <v>0.09883642038</v>
      </c>
      <c r="C323" s="39">
        <f t="array" ref="C323">NPV(B323,FCFF!$C$9:$I$9)+FCFF!$B$9+FCFF!$I$9*(1+Inputs!$B$6)/(B323-Inputs!$B$6)/(1+B323)^7</f>
        <v>-1350.187897</v>
      </c>
    </row>
    <row r="324" ht="14.25" customHeight="1">
      <c r="A324" s="7">
        <v>311.0</v>
      </c>
      <c r="B324" s="14">
        <f t="shared" si="1"/>
        <v>0.1295951938</v>
      </c>
      <c r="C324" s="39">
        <f t="array" ref="C324">NPV(B324,FCFF!$C$9:$I$9)+FCFF!$B$9+FCFF!$I$9*(1+Inputs!$B$6)/(B324-Inputs!$B$6)/(1+B324)^7</f>
        <v>-1966.945207</v>
      </c>
    </row>
    <row r="325" ht="14.25" customHeight="1">
      <c r="A325" s="7">
        <v>312.0</v>
      </c>
      <c r="B325" s="14">
        <f t="shared" si="1"/>
        <v>0.1025944483</v>
      </c>
      <c r="C325" s="39">
        <f t="array" ref="C325">NPV(B325,FCFF!$C$9:$I$9)+FCFF!$B$9+FCFF!$I$9*(1+Inputs!$B$6)/(B325-Inputs!$B$6)/(1+B325)^7</f>
        <v>-1454.502451</v>
      </c>
    </row>
    <row r="326" ht="14.25" customHeight="1">
      <c r="A326" s="7">
        <v>313.0</v>
      </c>
      <c r="B326" s="14">
        <f t="shared" si="1"/>
        <v>0.1266914475</v>
      </c>
      <c r="C326" s="39">
        <f t="array" ref="C326">NPV(B326,FCFF!$C$9:$I$9)+FCFF!$B$9+FCFF!$I$9*(1+Inputs!$B$6)/(B326-Inputs!$B$6)/(1+B326)^7</f>
        <v>-1926.262457</v>
      </c>
    </row>
    <row r="327" ht="14.25" customHeight="1">
      <c r="A327" s="7">
        <v>314.0</v>
      </c>
      <c r="B327" s="14">
        <f t="shared" si="1"/>
        <v>0.096449702</v>
      </c>
      <c r="C327" s="39">
        <f t="array" ref="C327">NPV(B327,FCFF!$C$9:$I$9)+FCFF!$B$9+FCFF!$I$9*(1+Inputs!$B$6)/(B327-Inputs!$B$6)/(1+B327)^7</f>
        <v>-1277.782817</v>
      </c>
    </row>
    <row r="328" ht="14.25" customHeight="1">
      <c r="A328" s="7">
        <v>315.0</v>
      </c>
      <c r="B328" s="14">
        <f t="shared" si="1"/>
        <v>0.1278671752</v>
      </c>
      <c r="C328" s="39">
        <f t="array" ref="C328">NPV(B328,FCFF!$C$9:$I$9)+FCFF!$B$9+FCFF!$I$9*(1+Inputs!$B$6)/(B328-Inputs!$B$6)/(1+B328)^7</f>
        <v>-1943.049075</v>
      </c>
    </row>
    <row r="329" ht="14.25" customHeight="1">
      <c r="A329" s="7">
        <v>316.0</v>
      </c>
      <c r="B329" s="14">
        <f t="shared" si="1"/>
        <v>0.1271073224</v>
      </c>
      <c r="C329" s="39">
        <f t="array" ref="C329">NPV(B329,FCFF!$C$9:$I$9)+FCFF!$B$9+FCFF!$I$9*(1+Inputs!$B$6)/(B329-Inputs!$B$6)/(1+B329)^7</f>
        <v>-1932.250252</v>
      </c>
    </row>
    <row r="330" ht="14.25" customHeight="1">
      <c r="A330" s="7">
        <v>317.0</v>
      </c>
      <c r="B330" s="14">
        <f t="shared" si="1"/>
        <v>0.1081579279</v>
      </c>
      <c r="C330" s="39">
        <f t="array" ref="C330">NPV(B330,FCFF!$C$9:$I$9)+FCFF!$B$9+FCFF!$I$9*(1+Inputs!$B$6)/(B330-Inputs!$B$6)/(1+B330)^7</f>
        <v>-1590.262277</v>
      </c>
    </row>
    <row r="331" ht="14.25" customHeight="1">
      <c r="A331" s="7">
        <v>318.0</v>
      </c>
      <c r="B331" s="14">
        <f t="shared" si="1"/>
        <v>0.1136735569</v>
      </c>
      <c r="C331" s="39">
        <f t="array" ref="C331">NPV(B331,FCFF!$C$9:$I$9)+FCFF!$B$9+FCFF!$I$9*(1+Inputs!$B$6)/(B331-Inputs!$B$6)/(1+B331)^7</f>
        <v>-1706.577484</v>
      </c>
    </row>
    <row r="332" ht="14.25" customHeight="1">
      <c r="A332" s="7">
        <v>319.0</v>
      </c>
      <c r="B332" s="14">
        <f t="shared" si="1"/>
        <v>0.1037322381</v>
      </c>
      <c r="C332" s="39">
        <f t="array" ref="C332">NPV(B332,FCFF!$C$9:$I$9)+FCFF!$B$9+FCFF!$I$9*(1+Inputs!$B$6)/(B332-Inputs!$B$6)/(1+B332)^7</f>
        <v>-1483.965561</v>
      </c>
    </row>
    <row r="333" ht="14.25" customHeight="1">
      <c r="A333" s="7">
        <v>320.0</v>
      </c>
      <c r="B333" s="14">
        <f t="shared" si="1"/>
        <v>0.1013143602</v>
      </c>
      <c r="C333" s="39">
        <f t="array" ref="C333">NPV(B333,FCFF!$C$9:$I$9)+FCFF!$B$9+FCFF!$I$9*(1+Inputs!$B$6)/(B333-Inputs!$B$6)/(1+B333)^7</f>
        <v>-1420.215558</v>
      </c>
    </row>
    <row r="334" ht="14.25" customHeight="1">
      <c r="A334" s="7">
        <v>321.0</v>
      </c>
      <c r="B334" s="14">
        <f t="shared" si="1"/>
        <v>0.128229417</v>
      </c>
      <c r="C334" s="39">
        <f t="array" ref="C334">NPV(B334,FCFF!$C$9:$I$9)+FCFF!$B$9+FCFF!$I$9*(1+Inputs!$B$6)/(B334-Inputs!$B$6)/(1+B334)^7</f>
        <v>-1948.133721</v>
      </c>
    </row>
    <row r="335" ht="14.25" customHeight="1">
      <c r="A335" s="7">
        <v>322.0</v>
      </c>
      <c r="B335" s="14">
        <f t="shared" si="1"/>
        <v>0.09955015728</v>
      </c>
      <c r="C335" s="39">
        <f t="array" ref="C335">NPV(B335,FCFF!$C$9:$I$9)+FCFF!$B$9+FCFF!$I$9*(1+Inputs!$B$6)/(B335-Inputs!$B$6)/(1+B335)^7</f>
        <v>-1370.873255</v>
      </c>
    </row>
    <row r="336" ht="14.25" customHeight="1">
      <c r="A336" s="7">
        <v>323.0</v>
      </c>
      <c r="B336" s="14">
        <f t="shared" si="1"/>
        <v>0.1032315949</v>
      </c>
      <c r="C336" s="39">
        <f t="array" ref="C336">NPV(B336,FCFF!$C$9:$I$9)+FCFF!$B$9+FCFF!$I$9*(1+Inputs!$B$6)/(B336-Inputs!$B$6)/(1+B336)^7</f>
        <v>-1471.11586</v>
      </c>
    </row>
    <row r="337" ht="14.25" customHeight="1">
      <c r="A337" s="7">
        <v>324.0</v>
      </c>
      <c r="B337" s="14">
        <f t="shared" si="1"/>
        <v>0.0970331397</v>
      </c>
      <c r="C337" s="39">
        <f t="array" ref="C337">NPV(B337,FCFF!$C$9:$I$9)+FCFF!$B$9+FCFF!$I$9*(1+Inputs!$B$6)/(B337-Inputs!$B$6)/(1+B337)^7</f>
        <v>-1295.958363</v>
      </c>
    </row>
    <row r="338" ht="14.25" customHeight="1">
      <c r="A338" s="7">
        <v>325.0</v>
      </c>
      <c r="B338" s="14">
        <f t="shared" si="1"/>
        <v>0.09342248713</v>
      </c>
      <c r="C338" s="39">
        <f t="array" ref="C338">NPV(B338,FCFF!$C$9:$I$9)+FCFF!$B$9+FCFF!$I$9*(1+Inputs!$B$6)/(B338-Inputs!$B$6)/(1+B338)^7</f>
        <v>-1178.137429</v>
      </c>
    </row>
    <row r="339" ht="14.25" customHeight="1">
      <c r="A339" s="7">
        <v>326.0</v>
      </c>
      <c r="B339" s="14">
        <f t="shared" si="1"/>
        <v>0.1151986405</v>
      </c>
      <c r="C339" s="39">
        <f t="array" ref="C339">NPV(B339,FCFF!$C$9:$I$9)+FCFF!$B$9+FCFF!$I$9*(1+Inputs!$B$6)/(B339-Inputs!$B$6)/(1+B339)^7</f>
        <v>-1735.982049</v>
      </c>
    </row>
    <row r="340" ht="14.25" customHeight="1">
      <c r="A340" s="7">
        <v>327.0</v>
      </c>
      <c r="B340" s="14">
        <f t="shared" si="1"/>
        <v>0.09993413181</v>
      </c>
      <c r="C340" s="39">
        <f t="array" ref="C340">NPV(B340,FCFF!$C$9:$I$9)+FCFF!$B$9+FCFF!$I$9*(1+Inputs!$B$6)/(B340-Inputs!$B$6)/(1+B340)^7</f>
        <v>-1381.825973</v>
      </c>
    </row>
    <row r="341" ht="14.25" customHeight="1">
      <c r="A341" s="7">
        <v>328.0</v>
      </c>
      <c r="B341" s="14">
        <f t="shared" si="1"/>
        <v>0.1016301884</v>
      </c>
      <c r="C341" s="39">
        <f t="array" ref="C341">NPV(B341,FCFF!$C$9:$I$9)+FCFF!$B$9+FCFF!$I$9*(1+Inputs!$B$6)/(B341-Inputs!$B$6)/(1+B341)^7</f>
        <v>-1428.790127</v>
      </c>
    </row>
    <row r="342" ht="14.25" customHeight="1">
      <c r="A342" s="7">
        <v>329.0</v>
      </c>
      <c r="B342" s="14">
        <f t="shared" si="1"/>
        <v>0.10937899</v>
      </c>
      <c r="C342" s="39">
        <f t="array" ref="C342">NPV(B342,FCFF!$C$9:$I$9)+FCFF!$B$9+FCFF!$I$9*(1+Inputs!$B$6)/(B342-Inputs!$B$6)/(1+B342)^7</f>
        <v>-1617.45302</v>
      </c>
    </row>
    <row r="343" ht="14.25" customHeight="1">
      <c r="A343" s="7">
        <v>330.0</v>
      </c>
      <c r="B343" s="14">
        <f t="shared" si="1"/>
        <v>0.113648989</v>
      </c>
      <c r="C343" s="39">
        <f t="array" ref="C343">NPV(B343,FCFF!$C$9:$I$9)+FCFF!$B$9+FCFF!$I$9*(1+Inputs!$B$6)/(B343-Inputs!$B$6)/(1+B343)^7</f>
        <v>-1706.09464</v>
      </c>
    </row>
    <row r="344" ht="14.25" customHeight="1">
      <c r="A344" s="7">
        <v>331.0</v>
      </c>
      <c r="B344" s="14">
        <f t="shared" si="1"/>
        <v>0.1097410811</v>
      </c>
      <c r="C344" s="39">
        <f t="array" ref="C344">NPV(B344,FCFF!$C$9:$I$9)+FCFF!$B$9+FCFF!$I$9*(1+Inputs!$B$6)/(B344-Inputs!$B$6)/(1+B344)^7</f>
        <v>-1625.351207</v>
      </c>
    </row>
    <row r="345" ht="14.25" customHeight="1">
      <c r="A345" s="7">
        <v>332.0</v>
      </c>
      <c r="B345" s="14">
        <f t="shared" si="1"/>
        <v>0.1299782263</v>
      </c>
      <c r="C345" s="39">
        <f t="array" ref="C345">NPV(B345,FCFF!$C$9:$I$9)+FCFF!$B$9+FCFF!$I$9*(1+Inputs!$B$6)/(B345-Inputs!$B$6)/(1+B345)^7</f>
        <v>-1972.12099</v>
      </c>
    </row>
    <row r="346" ht="14.25" customHeight="1">
      <c r="A346" s="7">
        <v>333.0</v>
      </c>
      <c r="B346" s="14">
        <f t="shared" si="1"/>
        <v>0.1044141099</v>
      </c>
      <c r="C346" s="39">
        <f t="array" ref="C346">NPV(B346,FCFF!$C$9:$I$9)+FCFF!$B$9+FCFF!$I$9*(1+Inputs!$B$6)/(B346-Inputs!$B$6)/(1+B346)^7</f>
        <v>-1501.184091</v>
      </c>
    </row>
    <row r="347" ht="14.25" customHeight="1">
      <c r="A347" s="7">
        <v>334.0</v>
      </c>
      <c r="B347" s="14">
        <f t="shared" si="1"/>
        <v>0.1329109752</v>
      </c>
      <c r="C347" s="39">
        <f t="array" ref="C347">NPV(B347,FCFF!$C$9:$I$9)+FCFF!$B$9+FCFF!$I$9*(1+Inputs!$B$6)/(B347-Inputs!$B$6)/(1+B347)^7</f>
        <v>-2010.364247</v>
      </c>
    </row>
    <row r="348" ht="14.25" customHeight="1">
      <c r="A348" s="7">
        <v>335.0</v>
      </c>
      <c r="B348" s="14">
        <f t="shared" si="1"/>
        <v>0.09710965542</v>
      </c>
      <c r="C348" s="39">
        <f t="array" ref="C348">NPV(B348,FCFF!$C$9:$I$9)+FCFF!$B$9+FCFF!$I$9*(1+Inputs!$B$6)/(B348-Inputs!$B$6)/(1+B348)^7</f>
        <v>-1298.318621</v>
      </c>
    </row>
    <row r="349" ht="14.25" customHeight="1">
      <c r="A349" s="7">
        <v>336.0</v>
      </c>
      <c r="B349" s="14">
        <f t="shared" si="1"/>
        <v>0.1079229958</v>
      </c>
      <c r="C349" s="39">
        <f t="array" ref="C349">NPV(B349,FCFF!$C$9:$I$9)+FCFF!$B$9+FCFF!$I$9*(1+Inputs!$B$6)/(B349-Inputs!$B$6)/(1+B349)^7</f>
        <v>-1584.930201</v>
      </c>
    </row>
    <row r="350" ht="14.25" customHeight="1">
      <c r="A350" s="7">
        <v>337.0</v>
      </c>
      <c r="B350" s="14">
        <f t="shared" si="1"/>
        <v>0.126122167</v>
      </c>
      <c r="C350" s="39">
        <f t="array" ref="C350">NPV(B350,FCFF!$C$9:$I$9)+FCFF!$B$9+FCFF!$I$9*(1+Inputs!$B$6)/(B350-Inputs!$B$6)/(1+B350)^7</f>
        <v>-1917.975468</v>
      </c>
    </row>
    <row r="351" ht="14.25" customHeight="1">
      <c r="A351" s="7">
        <v>338.0</v>
      </c>
      <c r="B351" s="14">
        <f t="shared" si="1"/>
        <v>0.1079385529</v>
      </c>
      <c r="C351" s="39">
        <f t="array" ref="C351">NPV(B351,FCFF!$C$9:$I$9)+FCFF!$B$9+FCFF!$I$9*(1+Inputs!$B$6)/(B351-Inputs!$B$6)/(1+B351)^7</f>
        <v>-1585.28431</v>
      </c>
    </row>
    <row r="352" ht="14.25" customHeight="1">
      <c r="A352" s="7">
        <v>339.0</v>
      </c>
      <c r="B352" s="14">
        <f t="shared" si="1"/>
        <v>0.1176626598</v>
      </c>
      <c r="C352" s="39">
        <f t="array" ref="C352">NPV(B352,FCFF!$C$9:$I$9)+FCFF!$B$9+FCFF!$I$9*(1+Inputs!$B$6)/(B352-Inputs!$B$6)/(1+B352)^7</f>
        <v>-1781.229009</v>
      </c>
    </row>
    <row r="353" ht="14.25" customHeight="1">
      <c r="A353" s="7">
        <v>340.0</v>
      </c>
      <c r="B353" s="14">
        <f t="shared" si="1"/>
        <v>0.1244239929</v>
      </c>
      <c r="C353" s="39">
        <f t="array" ref="C353">NPV(B353,FCFF!$C$9:$I$9)+FCFF!$B$9+FCFF!$I$9*(1+Inputs!$B$6)/(B353-Inputs!$B$6)/(1+B353)^7</f>
        <v>-1892.617091</v>
      </c>
    </row>
    <row r="354" ht="14.25" customHeight="1">
      <c r="A354" s="7">
        <v>341.0</v>
      </c>
      <c r="B354" s="14">
        <f t="shared" si="1"/>
        <v>0.1139173624</v>
      </c>
      <c r="C354" s="39">
        <f t="array" ref="C354">NPV(B354,FCFF!$C$9:$I$9)+FCFF!$B$9+FCFF!$I$9*(1+Inputs!$B$6)/(B354-Inputs!$B$6)/(1+B354)^7</f>
        <v>-1711.353137</v>
      </c>
    </row>
    <row r="355" ht="14.25" customHeight="1">
      <c r="A355" s="7">
        <v>342.0</v>
      </c>
      <c r="B355" s="14">
        <f t="shared" si="1"/>
        <v>0.1292204172</v>
      </c>
      <c r="C355" s="39">
        <f t="array" ref="C355">NPV(B355,FCFF!$C$9:$I$9)+FCFF!$B$9+FCFF!$I$9*(1+Inputs!$B$6)/(B355-Inputs!$B$6)/(1+B355)^7</f>
        <v>-1961.839037</v>
      </c>
    </row>
    <row r="356" ht="14.25" customHeight="1">
      <c r="A356" s="7">
        <v>343.0</v>
      </c>
      <c r="B356" s="14">
        <f t="shared" si="1"/>
        <v>0.1195339707</v>
      </c>
      <c r="C356" s="39">
        <f t="array" ref="C356">NPV(B356,FCFF!$C$9:$I$9)+FCFF!$B$9+FCFF!$I$9*(1+Inputs!$B$6)/(B356-Inputs!$B$6)/(1+B356)^7</f>
        <v>-1813.843548</v>
      </c>
    </row>
    <row r="357" ht="14.25" customHeight="1">
      <c r="A357" s="7">
        <v>344.0</v>
      </c>
      <c r="B357" s="14">
        <f t="shared" si="1"/>
        <v>0.09472870732</v>
      </c>
      <c r="C357" s="39">
        <f t="array" ref="C357">NPV(B357,FCFF!$C$9:$I$9)+FCFF!$B$9+FCFF!$I$9*(1+Inputs!$B$6)/(B357-Inputs!$B$6)/(1+B357)^7</f>
        <v>-1222.268557</v>
      </c>
    </row>
    <row r="358" ht="14.25" customHeight="1">
      <c r="A358" s="7">
        <v>345.0</v>
      </c>
      <c r="B358" s="14">
        <f t="shared" si="1"/>
        <v>0.1158944844</v>
      </c>
      <c r="C358" s="39">
        <f t="array" ref="C358">NPV(B358,FCFF!$C$9:$I$9)+FCFF!$B$9+FCFF!$I$9*(1+Inputs!$B$6)/(B358-Inputs!$B$6)/(1+B358)^7</f>
        <v>-1749.035856</v>
      </c>
    </row>
    <row r="359" ht="14.25" customHeight="1">
      <c r="A359" s="7">
        <v>346.0</v>
      </c>
      <c r="B359" s="14">
        <f t="shared" si="1"/>
        <v>0.09404776065</v>
      </c>
      <c r="C359" s="39">
        <f t="array" ref="C359">NPV(B359,FCFF!$C$9:$I$9)+FCFF!$B$9+FCFF!$I$9*(1+Inputs!$B$6)/(B359-Inputs!$B$6)/(1+B359)^7</f>
        <v>-1199.48502</v>
      </c>
    </row>
    <row r="360" ht="14.25" customHeight="1">
      <c r="A360" s="7">
        <v>347.0</v>
      </c>
      <c r="B360" s="14">
        <f t="shared" si="1"/>
        <v>0.109432508</v>
      </c>
      <c r="C360" s="39">
        <f t="array" ref="C360">NPV(B360,FCFF!$C$9:$I$9)+FCFF!$B$9+FCFF!$I$9*(1+Inputs!$B$6)/(B360-Inputs!$B$6)/(1+B360)^7</f>
        <v>-1618.625069</v>
      </c>
    </row>
    <row r="361" ht="14.25" customHeight="1">
      <c r="A361" s="7">
        <v>348.0</v>
      </c>
      <c r="B361" s="14">
        <f t="shared" si="1"/>
        <v>0.1183853161</v>
      </c>
      <c r="C361" s="39">
        <f t="array" ref="C361">NPV(B361,FCFF!$C$9:$I$9)+FCFF!$B$9+FCFF!$I$9*(1+Inputs!$B$6)/(B361-Inputs!$B$6)/(1+B361)^7</f>
        <v>-1793.996667</v>
      </c>
    </row>
    <row r="362" ht="14.25" customHeight="1">
      <c r="A362" s="7">
        <v>349.0</v>
      </c>
      <c r="B362" s="14">
        <f t="shared" si="1"/>
        <v>0.1301523796</v>
      </c>
      <c r="C362" s="39">
        <f t="array" ref="C362">NPV(B362,FCFF!$C$9:$I$9)+FCFF!$B$9+FCFF!$I$9*(1+Inputs!$B$6)/(B362-Inputs!$B$6)/(1+B362)^7</f>
        <v>-1974.460062</v>
      </c>
    </row>
    <row r="363" ht="14.25" customHeight="1">
      <c r="A363" s="7">
        <v>350.0</v>
      </c>
      <c r="B363" s="14">
        <f t="shared" si="1"/>
        <v>0.1110805575</v>
      </c>
      <c r="C363" s="39">
        <f t="array" ref="C363">NPV(B363,FCFF!$C$9:$I$9)+FCFF!$B$9+FCFF!$I$9*(1+Inputs!$B$6)/(B363-Inputs!$B$6)/(1+B363)^7</f>
        <v>-1653.935756</v>
      </c>
    </row>
    <row r="364" ht="14.25" customHeight="1">
      <c r="A364" s="7">
        <v>351.0</v>
      </c>
      <c r="B364" s="14">
        <f t="shared" si="1"/>
        <v>0.09929021736</v>
      </c>
      <c r="C364" s="39">
        <f t="array" ref="C364">NPV(B364,FCFF!$C$9:$I$9)+FCFF!$B$9+FCFF!$I$9*(1+Inputs!$B$6)/(B364-Inputs!$B$6)/(1+B364)^7</f>
        <v>-1363.389295</v>
      </c>
    </row>
    <row r="365" ht="14.25" customHeight="1">
      <c r="A365" s="7">
        <v>352.0</v>
      </c>
      <c r="B365" s="14">
        <f t="shared" si="1"/>
        <v>0.09359407006</v>
      </c>
      <c r="C365" s="39">
        <f t="array" ref="C365">NPV(B365,FCFF!$C$9:$I$9)+FCFF!$B$9+FCFF!$I$9*(1+Inputs!$B$6)/(B365-Inputs!$B$6)/(1+B365)^7</f>
        <v>-1184.036835</v>
      </c>
    </row>
    <row r="366" ht="14.25" customHeight="1">
      <c r="A366" s="7">
        <v>353.0</v>
      </c>
      <c r="B366" s="14">
        <f t="shared" si="1"/>
        <v>0.1287308447</v>
      </c>
      <c r="C366" s="39">
        <f t="array" ref="C366">NPV(B366,FCFF!$C$9:$I$9)+FCFF!$B$9+FCFF!$I$9*(1+Inputs!$B$6)/(B366-Inputs!$B$6)/(1+B366)^7</f>
        <v>-1955.105555</v>
      </c>
    </row>
    <row r="367" ht="14.25" customHeight="1">
      <c r="A367" s="7">
        <v>354.0</v>
      </c>
      <c r="B367" s="14">
        <f t="shared" si="1"/>
        <v>0.1296540256</v>
      </c>
      <c r="C367" s="39">
        <f t="array" ref="C367">NPV(B367,FCFF!$C$9:$I$9)+FCFF!$B$9+FCFF!$I$9*(1+Inputs!$B$6)/(B367-Inputs!$B$6)/(1+B367)^7</f>
        <v>-1967.742986</v>
      </c>
    </row>
    <row r="368" ht="14.25" customHeight="1">
      <c r="A368" s="7">
        <v>355.0</v>
      </c>
      <c r="B368" s="14">
        <f t="shared" si="1"/>
        <v>0.1054923228</v>
      </c>
      <c r="C368" s="39">
        <f t="array" ref="C368">NPV(B368,FCFF!$C$9:$I$9)+FCFF!$B$9+FCFF!$I$9*(1+Inputs!$B$6)/(B368-Inputs!$B$6)/(1+B368)^7</f>
        <v>-1527.764617</v>
      </c>
    </row>
    <row r="369" ht="14.25" customHeight="1">
      <c r="A369" s="7">
        <v>356.0</v>
      </c>
      <c r="B369" s="14">
        <f t="shared" si="1"/>
        <v>0.1033429197</v>
      </c>
      <c r="C369" s="39">
        <f t="array" ref="C369">NPV(B369,FCFF!$C$9:$I$9)+FCFF!$B$9+FCFF!$I$9*(1+Inputs!$B$6)/(B369-Inputs!$B$6)/(1+B369)^7</f>
        <v>-1473.988568</v>
      </c>
    </row>
    <row r="370" ht="14.25" customHeight="1">
      <c r="A370" s="7">
        <v>357.0</v>
      </c>
      <c r="B370" s="14">
        <f t="shared" si="1"/>
        <v>0.1265693689</v>
      </c>
      <c r="C370" s="39">
        <f t="array" ref="C370">NPV(B370,FCFF!$C$9:$I$9)+FCFF!$B$9+FCFF!$I$9*(1+Inputs!$B$6)/(B370-Inputs!$B$6)/(1+B370)^7</f>
        <v>-1924.494217</v>
      </c>
    </row>
    <row r="371" ht="14.25" customHeight="1">
      <c r="A371" s="7">
        <v>358.0</v>
      </c>
      <c r="B371" s="14">
        <f t="shared" si="1"/>
        <v>0.1123372416</v>
      </c>
      <c r="C371" s="39">
        <f t="array" ref="C371">NPV(B371,FCFF!$C$9:$I$9)+FCFF!$B$9+FCFF!$I$9*(1+Inputs!$B$6)/(B371-Inputs!$B$6)/(1+B371)^7</f>
        <v>-1679.878456</v>
      </c>
    </row>
    <row r="372" ht="14.25" customHeight="1">
      <c r="A372" s="7">
        <v>359.0</v>
      </c>
      <c r="B372" s="14">
        <f t="shared" si="1"/>
        <v>0.1150709727</v>
      </c>
      <c r="C372" s="39">
        <f t="array" ref="C372">NPV(B372,FCFF!$C$9:$I$9)+FCFF!$B$9+FCFF!$I$9*(1+Inputs!$B$6)/(B372-Inputs!$B$6)/(1+B372)^7</f>
        <v>-1733.56277</v>
      </c>
    </row>
    <row r="373" ht="14.25" customHeight="1">
      <c r="A373" s="7">
        <v>360.0</v>
      </c>
      <c r="B373" s="14">
        <f t="shared" si="1"/>
        <v>0.1189682681</v>
      </c>
      <c r="C373" s="39">
        <f t="array" ref="C373">NPV(B373,FCFF!$C$9:$I$9)+FCFF!$B$9+FCFF!$I$9*(1+Inputs!$B$6)/(B373-Inputs!$B$6)/(1+B373)^7</f>
        <v>-1804.136766</v>
      </c>
    </row>
    <row r="374" ht="14.25" customHeight="1">
      <c r="A374" s="7">
        <v>361.0</v>
      </c>
      <c r="B374" s="14">
        <f t="shared" si="1"/>
        <v>0.1084040043</v>
      </c>
      <c r="C374" s="39">
        <f t="array" ref="C374">NPV(B374,FCFF!$C$9:$I$9)+FCFF!$B$9+FCFF!$I$9*(1+Inputs!$B$6)/(B374-Inputs!$B$6)/(1+B374)^7</f>
        <v>-1595.812069</v>
      </c>
    </row>
    <row r="375" ht="14.25" customHeight="1">
      <c r="A375" s="7">
        <v>362.0</v>
      </c>
      <c r="B375" s="14">
        <f t="shared" si="1"/>
        <v>0.1325761641</v>
      </c>
      <c r="C375" s="39">
        <f t="array" ref="C375">NPV(B375,FCFF!$C$9:$I$9)+FCFF!$B$9+FCFF!$I$9*(1+Inputs!$B$6)/(B375-Inputs!$B$6)/(1+B375)^7</f>
        <v>-2006.118737</v>
      </c>
    </row>
    <row r="376" ht="14.25" customHeight="1">
      <c r="A376" s="7">
        <v>363.0</v>
      </c>
      <c r="B376" s="14">
        <f t="shared" si="1"/>
        <v>0.1218761853</v>
      </c>
      <c r="C376" s="39">
        <f t="array" ref="C376">NPV(B376,FCFF!$C$9:$I$9)+FCFF!$B$9+FCFF!$I$9*(1+Inputs!$B$6)/(B376-Inputs!$B$6)/(1+B376)^7</f>
        <v>-1852.687494</v>
      </c>
    </row>
    <row r="377" ht="14.25" customHeight="1">
      <c r="A377" s="7">
        <v>364.0</v>
      </c>
      <c r="B377" s="14">
        <f t="shared" si="1"/>
        <v>0.1132270209</v>
      </c>
      <c r="C377" s="39">
        <f t="array" ref="C377">NPV(B377,FCFF!$C$9:$I$9)+FCFF!$B$9+FCFF!$I$9*(1+Inputs!$B$6)/(B377-Inputs!$B$6)/(1+B377)^7</f>
        <v>-1697.755137</v>
      </c>
    </row>
    <row r="378" ht="14.25" customHeight="1">
      <c r="A378" s="7">
        <v>365.0</v>
      </c>
      <c r="B378" s="14">
        <f t="shared" si="1"/>
        <v>0.1032764131</v>
      </c>
      <c r="C378" s="39">
        <f t="array" ref="C378">NPV(B378,FCFF!$C$9:$I$9)+FCFF!$B$9+FCFF!$I$9*(1+Inputs!$B$6)/(B378-Inputs!$B$6)/(1+B378)^7</f>
        <v>-1472.273447</v>
      </c>
    </row>
    <row r="379" ht="14.25" customHeight="1">
      <c r="A379" s="7">
        <v>366.0</v>
      </c>
      <c r="B379" s="14">
        <f t="shared" si="1"/>
        <v>0.09882367294</v>
      </c>
      <c r="C379" s="39">
        <f t="array" ref="C379">NPV(B379,FCFF!$C$9:$I$9)+FCFF!$B$9+FCFF!$I$9*(1+Inputs!$B$6)/(B379-Inputs!$B$6)/(1+B379)^7</f>
        <v>-1349.814538</v>
      </c>
    </row>
    <row r="380" ht="14.25" customHeight="1">
      <c r="A380" s="7">
        <v>367.0</v>
      </c>
      <c r="B380" s="14">
        <f t="shared" si="1"/>
        <v>0.1106208257</v>
      </c>
      <c r="C380" s="39">
        <f t="array" ref="C380">NPV(B380,FCFF!$C$9:$I$9)+FCFF!$B$9+FCFF!$I$9*(1+Inputs!$B$6)/(B380-Inputs!$B$6)/(1+B380)^7</f>
        <v>-1644.235722</v>
      </c>
    </row>
    <row r="381" ht="14.25" customHeight="1">
      <c r="A381" s="7">
        <v>368.0</v>
      </c>
      <c r="B381" s="14">
        <f t="shared" si="1"/>
        <v>0.09766142332</v>
      </c>
      <c r="C381" s="39">
        <f t="array" ref="C381">NPV(B381,FCFF!$C$9:$I$9)+FCFF!$B$9+FCFF!$I$9*(1+Inputs!$B$6)/(B381-Inputs!$B$6)/(1+B381)^7</f>
        <v>-1315.18092</v>
      </c>
    </row>
    <row r="382" ht="14.25" customHeight="1">
      <c r="A382" s="7">
        <v>369.0</v>
      </c>
      <c r="B382" s="14">
        <f t="shared" si="1"/>
        <v>0.09933700306</v>
      </c>
      <c r="C382" s="39">
        <f t="array" ref="C382">NPV(B382,FCFF!$C$9:$I$9)+FCFF!$B$9+FCFF!$I$9*(1+Inputs!$B$6)/(B382-Inputs!$B$6)/(1+B382)^7</f>
        <v>-1364.740469</v>
      </c>
    </row>
    <row r="383" ht="14.25" customHeight="1">
      <c r="A383" s="7">
        <v>370.0</v>
      </c>
      <c r="B383" s="14">
        <f t="shared" si="1"/>
        <v>0.102379508</v>
      </c>
      <c r="C383" s="39">
        <f t="array" ref="C383">NPV(B383,FCFF!$C$9:$I$9)+FCFF!$B$9+FCFF!$I$9*(1+Inputs!$B$6)/(B383-Inputs!$B$6)/(1+B383)^7</f>
        <v>-1448.831057</v>
      </c>
    </row>
    <row r="384" ht="14.25" customHeight="1">
      <c r="A384" s="7">
        <v>371.0</v>
      </c>
      <c r="B384" s="14">
        <f t="shared" si="1"/>
        <v>0.1078291568</v>
      </c>
      <c r="C384" s="39">
        <f t="array" ref="C384">NPV(B384,FCFF!$C$9:$I$9)+FCFF!$B$9+FCFF!$I$9*(1+Inputs!$B$6)/(B384-Inputs!$B$6)/(1+B384)^7</f>
        <v>-1582.791165</v>
      </c>
    </row>
    <row r="385" ht="14.25" customHeight="1">
      <c r="A385" s="7">
        <v>372.0</v>
      </c>
      <c r="B385" s="14">
        <f t="shared" si="1"/>
        <v>0.09798350584</v>
      </c>
      <c r="C385" s="39">
        <f t="array" ref="C385">NPV(B385,FCFF!$C$9:$I$9)+FCFF!$B$9+FCFF!$I$9*(1+Inputs!$B$6)/(B385-Inputs!$B$6)/(1+B385)^7</f>
        <v>-1324.897389</v>
      </c>
    </row>
    <row r="386" ht="14.25" customHeight="1">
      <c r="A386" s="7">
        <v>373.0</v>
      </c>
      <c r="B386" s="14">
        <f t="shared" si="1"/>
        <v>0.100881824</v>
      </c>
      <c r="C386" s="39">
        <f t="array" ref="C386">NPV(B386,FCFF!$C$9:$I$9)+FCFF!$B$9+FCFF!$I$9*(1+Inputs!$B$6)/(B386-Inputs!$B$6)/(1+B386)^7</f>
        <v>-1408.347216</v>
      </c>
    </row>
    <row r="387" ht="14.25" customHeight="1">
      <c r="A387" s="7">
        <v>374.0</v>
      </c>
      <c r="B387" s="14">
        <f t="shared" si="1"/>
        <v>0.09823333941</v>
      </c>
      <c r="C387" s="39">
        <f t="array" ref="C387">NPV(B387,FCFF!$C$9:$I$9)+FCFF!$B$9+FCFF!$I$9*(1+Inputs!$B$6)/(B387-Inputs!$B$6)/(1+B387)^7</f>
        <v>-1332.371036</v>
      </c>
    </row>
    <row r="388" ht="14.25" customHeight="1">
      <c r="A388" s="7">
        <v>375.0</v>
      </c>
      <c r="B388" s="14">
        <f t="shared" si="1"/>
        <v>0.1261013132</v>
      </c>
      <c r="C388" s="39">
        <f t="array" ref="C388">NPV(B388,FCFF!$C$9:$I$9)+FCFF!$B$9+FCFF!$I$9*(1+Inputs!$B$6)/(B388-Inputs!$B$6)/(1+B388)^7</f>
        <v>-1917.669896</v>
      </c>
    </row>
    <row r="389" ht="14.25" customHeight="1">
      <c r="A389" s="7">
        <v>376.0</v>
      </c>
      <c r="B389" s="14">
        <f t="shared" si="1"/>
        <v>0.09640124335</v>
      </c>
      <c r="C389" s="39">
        <f t="array" ref="C389">NPV(B389,FCFF!$C$9:$I$9)+FCFF!$B$9+FCFF!$I$9*(1+Inputs!$B$6)/(B389-Inputs!$B$6)/(1+B389)^7</f>
        <v>-1276.258878</v>
      </c>
    </row>
    <row r="390" ht="14.25" customHeight="1">
      <c r="A390" s="7">
        <v>377.0</v>
      </c>
      <c r="B390" s="14">
        <f t="shared" si="1"/>
        <v>0.1250707562</v>
      </c>
      <c r="C390" s="39">
        <f t="array" ref="C390">NPV(B390,FCFF!$C$9:$I$9)+FCFF!$B$9+FCFF!$I$9*(1+Inputs!$B$6)/(B390-Inputs!$B$6)/(1+B390)^7</f>
        <v>-1902.389595</v>
      </c>
    </row>
    <row r="391" ht="14.25" customHeight="1">
      <c r="A391" s="7">
        <v>378.0</v>
      </c>
      <c r="B391" s="14">
        <f t="shared" si="1"/>
        <v>0.1165244704</v>
      </c>
      <c r="C391" s="39">
        <f t="array" ref="C391">NPV(B391,FCFF!$C$9:$I$9)+FCFF!$B$9+FCFF!$I$9*(1+Inputs!$B$6)/(B391-Inputs!$B$6)/(1+B391)^7</f>
        <v>-1760.664469</v>
      </c>
    </row>
    <row r="392" ht="14.25" customHeight="1">
      <c r="A392" s="7">
        <v>379.0</v>
      </c>
      <c r="B392" s="14">
        <f t="shared" si="1"/>
        <v>0.1217388685</v>
      </c>
      <c r="C392" s="39">
        <f t="array" ref="C392">NPV(B392,FCFF!$C$9:$I$9)+FCFF!$B$9+FCFF!$I$9*(1+Inputs!$B$6)/(B392-Inputs!$B$6)/(1+B392)^7</f>
        <v>-1850.468268</v>
      </c>
    </row>
    <row r="393" ht="14.25" customHeight="1">
      <c r="A393" s="7">
        <v>380.0</v>
      </c>
      <c r="B393" s="14">
        <f t="shared" si="1"/>
        <v>0.1012538657</v>
      </c>
      <c r="C393" s="39">
        <f t="array" ref="C393">NPV(B393,FCFF!$C$9:$I$9)+FCFF!$B$9+FCFF!$I$9*(1+Inputs!$B$6)/(B393-Inputs!$B$6)/(1+B393)^7</f>
        <v>-1418.564401</v>
      </c>
    </row>
    <row r="394" ht="14.25" customHeight="1">
      <c r="A394" s="7">
        <v>381.0</v>
      </c>
      <c r="B394" s="14">
        <f t="shared" si="1"/>
        <v>0.1175322964</v>
      </c>
      <c r="C394" s="39">
        <f t="array" ref="C394">NPV(B394,FCFF!$C$9:$I$9)+FCFF!$B$9+FCFF!$I$9*(1+Inputs!$B$6)/(B394-Inputs!$B$6)/(1+B394)^7</f>
        <v>-1778.902146</v>
      </c>
    </row>
    <row r="395" ht="14.25" customHeight="1">
      <c r="A395" s="7">
        <v>382.0</v>
      </c>
      <c r="B395" s="14">
        <f t="shared" si="1"/>
        <v>0.1068020343</v>
      </c>
      <c r="C395" s="39">
        <f t="array" ref="C395">NPV(B395,FCFF!$C$9:$I$9)+FCFF!$B$9+FCFF!$I$9*(1+Inputs!$B$6)/(B395-Inputs!$B$6)/(1+B395)^7</f>
        <v>-1559.027396</v>
      </c>
    </row>
    <row r="396" ht="14.25" customHeight="1">
      <c r="A396" s="7">
        <v>383.0</v>
      </c>
      <c r="B396" s="14">
        <f t="shared" si="1"/>
        <v>0.1256594718</v>
      </c>
      <c r="C396" s="39">
        <f t="array" ref="C396">NPV(B396,FCFF!$C$9:$I$9)+FCFF!$B$9+FCFF!$I$9*(1+Inputs!$B$6)/(B396-Inputs!$B$6)/(1+B396)^7</f>
        <v>-1911.161896</v>
      </c>
    </row>
    <row r="397" ht="14.25" customHeight="1">
      <c r="A397" s="7">
        <v>384.0</v>
      </c>
      <c r="B397" s="14">
        <f t="shared" si="1"/>
        <v>0.1120190647</v>
      </c>
      <c r="C397" s="39">
        <f t="array" ref="C397">NPV(B397,FCFF!$C$9:$I$9)+FCFF!$B$9+FCFF!$I$9*(1+Inputs!$B$6)/(B397-Inputs!$B$6)/(1+B397)^7</f>
        <v>-1673.388048</v>
      </c>
    </row>
    <row r="398" ht="14.25" customHeight="1">
      <c r="A398" s="7">
        <v>385.0</v>
      </c>
      <c r="B398" s="14">
        <f t="shared" si="1"/>
        <v>0.1140680831</v>
      </c>
      <c r="C398" s="39">
        <f t="array" ref="C398">NPV(B398,FCFF!$C$9:$I$9)+FCFF!$B$9+FCFF!$I$9*(1+Inputs!$B$6)/(B398-Inputs!$B$6)/(1+B398)^7</f>
        <v>-1714.291</v>
      </c>
    </row>
    <row r="399" ht="14.25" customHeight="1">
      <c r="A399" s="7">
        <v>386.0</v>
      </c>
      <c r="B399" s="14">
        <f t="shared" si="1"/>
        <v>0.11808982</v>
      </c>
      <c r="C399" s="39">
        <f t="array" ref="C399">NPV(B399,FCFF!$C$9:$I$9)+FCFF!$B$9+FCFF!$I$9*(1+Inputs!$B$6)/(B399-Inputs!$B$6)/(1+B399)^7</f>
        <v>-1788.802613</v>
      </c>
    </row>
    <row r="400" ht="14.25" customHeight="1">
      <c r="A400" s="7">
        <v>387.0</v>
      </c>
      <c r="B400" s="14">
        <f t="shared" si="1"/>
        <v>0.0936613463</v>
      </c>
      <c r="C400" s="39">
        <f t="array" ref="C400">NPV(B400,FCFF!$C$9:$I$9)+FCFF!$B$9+FCFF!$I$9*(1+Inputs!$B$6)/(B400-Inputs!$B$6)/(1+B400)^7</f>
        <v>-1186.341357</v>
      </c>
    </row>
    <row r="401" ht="14.25" customHeight="1">
      <c r="A401" s="7">
        <v>388.0</v>
      </c>
      <c r="B401" s="14">
        <f t="shared" si="1"/>
        <v>0.1117001541</v>
      </c>
      <c r="C401" s="39">
        <f t="array" ref="C401">NPV(B401,FCFF!$C$9:$I$9)+FCFF!$B$9+FCFF!$I$9*(1+Inputs!$B$6)/(B401-Inputs!$B$6)/(1+B401)^7</f>
        <v>-1666.830013</v>
      </c>
    </row>
    <row r="402" ht="14.25" customHeight="1">
      <c r="A402" s="7">
        <v>389.0</v>
      </c>
      <c r="B402" s="14">
        <f t="shared" si="1"/>
        <v>0.1299281147</v>
      </c>
      <c r="C402" s="39">
        <f t="array" ref="C402">NPV(B402,FCFF!$C$9:$I$9)+FCFF!$B$9+FCFF!$I$9*(1+Inputs!$B$6)/(B402-Inputs!$B$6)/(1+B402)^7</f>
        <v>-1971.446297</v>
      </c>
    </row>
    <row r="403" ht="14.25" customHeight="1">
      <c r="A403" s="7">
        <v>390.0</v>
      </c>
      <c r="B403" s="14">
        <f t="shared" si="1"/>
        <v>0.09483019783</v>
      </c>
      <c r="C403" s="39">
        <f t="array" ref="C403">NPV(B403,FCFF!$C$9:$I$9)+FCFF!$B$9+FCFF!$I$9*(1+Inputs!$B$6)/(B403-Inputs!$B$6)/(1+B403)^7</f>
        <v>-1225.623636</v>
      </c>
    </row>
    <row r="404" ht="14.25" customHeight="1">
      <c r="A404" s="7">
        <v>391.0</v>
      </c>
      <c r="B404" s="14">
        <f t="shared" si="1"/>
        <v>0.1144812496</v>
      </c>
      <c r="C404" s="39">
        <f t="array" ref="C404">NPV(B404,FCFF!$C$9:$I$9)+FCFF!$B$9+FCFF!$I$9*(1+Inputs!$B$6)/(B404-Inputs!$B$6)/(1+B404)^7</f>
        <v>-1722.288399</v>
      </c>
    </row>
    <row r="405" ht="14.25" customHeight="1">
      <c r="A405" s="7">
        <v>392.0</v>
      </c>
      <c r="B405" s="14">
        <f t="shared" si="1"/>
        <v>0.09879654254</v>
      </c>
      <c r="C405" s="39">
        <f t="array" ref="C405">NPV(B405,FCFF!$C$9:$I$9)+FCFF!$B$9+FCFF!$I$9*(1+Inputs!$B$6)/(B405-Inputs!$B$6)/(1+B405)^7</f>
        <v>-1349.019455</v>
      </c>
    </row>
    <row r="406" ht="14.25" customHeight="1">
      <c r="A406" s="7">
        <v>393.0</v>
      </c>
      <c r="B406" s="14">
        <f t="shared" si="1"/>
        <v>0.09863540395</v>
      </c>
      <c r="C406" s="39">
        <f t="array" ref="C406">NPV(B406,FCFF!$C$9:$I$9)+FCFF!$B$9+FCFF!$I$9*(1+Inputs!$B$6)/(B406-Inputs!$B$6)/(1+B406)^7</f>
        <v>-1344.284138</v>
      </c>
    </row>
    <row r="407" ht="14.25" customHeight="1">
      <c r="A407" s="7">
        <v>394.0</v>
      </c>
      <c r="B407" s="14">
        <f t="shared" si="1"/>
        <v>0.1221019135</v>
      </c>
      <c r="C407" s="39">
        <f t="array" ref="C407">NPV(B407,FCFF!$C$9:$I$9)+FCFF!$B$9+FCFF!$I$9*(1+Inputs!$B$6)/(B407-Inputs!$B$6)/(1+B407)^7</f>
        <v>-1856.320274</v>
      </c>
    </row>
    <row r="408" ht="14.25" customHeight="1">
      <c r="A408" s="7">
        <v>395.0</v>
      </c>
      <c r="B408" s="14">
        <f t="shared" si="1"/>
        <v>0.1327223218</v>
      </c>
      <c r="C408" s="39">
        <f t="array" ref="C408">NPV(B408,FCFF!$C$9:$I$9)+FCFF!$B$9+FCFF!$I$9*(1+Inputs!$B$6)/(B408-Inputs!$B$6)/(1+B408)^7</f>
        <v>-2007.97578</v>
      </c>
    </row>
    <row r="409" ht="14.25" customHeight="1">
      <c r="A409" s="7">
        <v>396.0</v>
      </c>
      <c r="B409" s="14">
        <f t="shared" si="1"/>
        <v>0.1275062185</v>
      </c>
      <c r="C409" s="39">
        <f t="array" ref="C409">NPV(B409,FCFF!$C$9:$I$9)+FCFF!$B$9+FCFF!$I$9*(1+Inputs!$B$6)/(B409-Inputs!$B$6)/(1+B409)^7</f>
        <v>-1937.941889</v>
      </c>
    </row>
    <row r="410" ht="14.25" customHeight="1">
      <c r="A410" s="7">
        <v>397.0</v>
      </c>
      <c r="B410" s="14">
        <f t="shared" si="1"/>
        <v>0.1090966581</v>
      </c>
      <c r="C410" s="39">
        <f t="array" ref="C410">NPV(B410,FCFF!$C$9:$I$9)+FCFF!$B$9+FCFF!$I$9*(1+Inputs!$B$6)/(B410-Inputs!$B$6)/(1+B410)^7</f>
        <v>-1611.242854</v>
      </c>
    </row>
    <row r="411" ht="14.25" customHeight="1">
      <c r="A411" s="7">
        <v>398.0</v>
      </c>
      <c r="B411" s="14">
        <f t="shared" si="1"/>
        <v>0.1230768477</v>
      </c>
      <c r="C411" s="39">
        <f t="array" ref="C411">NPV(B411,FCFF!$C$9:$I$9)+FCFF!$B$9+FCFF!$I$9*(1+Inputs!$B$6)/(B411-Inputs!$B$6)/(1+B411)^7</f>
        <v>-1871.795041</v>
      </c>
    </row>
    <row r="412" ht="14.25" customHeight="1">
      <c r="A412" s="7">
        <v>399.0</v>
      </c>
      <c r="B412" s="14">
        <f t="shared" si="1"/>
        <v>0.1286110325</v>
      </c>
      <c r="C412" s="39">
        <f t="array" ref="C412">NPV(B412,FCFF!$C$9:$I$9)+FCFF!$B$9+FCFF!$I$9*(1+Inputs!$B$6)/(B412-Inputs!$B$6)/(1+B412)^7</f>
        <v>-1953.44666</v>
      </c>
    </row>
    <row r="413" ht="14.25" customHeight="1">
      <c r="A413" s="7">
        <v>400.0</v>
      </c>
      <c r="B413" s="14">
        <f t="shared" si="1"/>
        <v>0.1175042272</v>
      </c>
      <c r="C413" s="39">
        <f t="array" ref="C413">NPV(B413,FCFF!$C$9:$I$9)+FCFF!$B$9+FCFF!$I$9*(1+Inputs!$B$6)/(B413-Inputs!$B$6)/(1+B413)^7</f>
        <v>-1778.400182</v>
      </c>
    </row>
    <row r="414" ht="14.25" customHeight="1">
      <c r="A414" s="7">
        <v>401.0</v>
      </c>
      <c r="B414" s="14">
        <f t="shared" si="1"/>
        <v>0.1227433628</v>
      </c>
      <c r="C414" s="39">
        <f t="array" ref="C414">NPV(B414,FCFF!$C$9:$I$9)+FCFF!$B$9+FCFF!$I$9*(1+Inputs!$B$6)/(B414-Inputs!$B$6)/(1+B414)^7</f>
        <v>-1866.540772</v>
      </c>
    </row>
    <row r="415" ht="14.25" customHeight="1">
      <c r="A415" s="7">
        <v>402.0</v>
      </c>
      <c r="B415" s="14">
        <f t="shared" si="1"/>
        <v>0.1175011323</v>
      </c>
      <c r="C415" s="39">
        <f t="array" ref="C415">NPV(B415,FCFF!$C$9:$I$9)+FCFF!$B$9+FCFF!$I$9*(1+Inputs!$B$6)/(B415-Inputs!$B$6)/(1+B415)^7</f>
        <v>-1778.344817</v>
      </c>
    </row>
    <row r="416" ht="14.25" customHeight="1">
      <c r="A416" s="7">
        <v>403.0</v>
      </c>
      <c r="B416" s="14">
        <f t="shared" si="1"/>
        <v>0.1076752885</v>
      </c>
      <c r="C416" s="39">
        <f t="array" ref="C416">NPV(B416,FCFF!$C$9:$I$9)+FCFF!$B$9+FCFF!$I$9*(1+Inputs!$B$6)/(B416-Inputs!$B$6)/(1+B416)^7</f>
        <v>-1579.272289</v>
      </c>
    </row>
    <row r="417" ht="14.25" customHeight="1">
      <c r="A417" s="7">
        <v>404.0</v>
      </c>
      <c r="B417" s="14">
        <f t="shared" si="1"/>
        <v>0.1035864482</v>
      </c>
      <c r="C417" s="39">
        <f t="array" ref="C417">NPV(B417,FCFF!$C$9:$I$9)+FCFF!$B$9+FCFF!$I$9*(1+Inputs!$B$6)/(B417-Inputs!$B$6)/(1+B417)^7</f>
        <v>-1480.24199</v>
      </c>
    </row>
    <row r="418" ht="14.25" customHeight="1">
      <c r="A418" s="7">
        <v>405.0</v>
      </c>
      <c r="B418" s="14">
        <f t="shared" si="1"/>
        <v>0.131705459</v>
      </c>
      <c r="C418" s="39">
        <f t="array" ref="C418">NPV(B418,FCFF!$C$9:$I$9)+FCFF!$B$9+FCFF!$I$9*(1+Inputs!$B$6)/(B418-Inputs!$B$6)/(1+B418)^7</f>
        <v>-1994.934982</v>
      </c>
    </row>
    <row r="419" ht="14.25" customHeight="1">
      <c r="A419" s="7">
        <v>406.0</v>
      </c>
      <c r="B419" s="14">
        <f t="shared" si="1"/>
        <v>0.1120563394</v>
      </c>
      <c r="C419" s="39">
        <f t="array" ref="C419">NPV(B419,FCFF!$C$9:$I$9)+FCFF!$B$9+FCFF!$I$9*(1+Inputs!$B$6)/(B419-Inputs!$B$6)/(1+B419)^7</f>
        <v>-1674.151107</v>
      </c>
    </row>
    <row r="420" ht="14.25" customHeight="1">
      <c r="A420" s="7">
        <v>407.0</v>
      </c>
      <c r="B420" s="14">
        <f t="shared" si="1"/>
        <v>0.1308185358</v>
      </c>
      <c r="C420" s="39">
        <f t="array" ref="C420">NPV(B420,FCFF!$C$9:$I$9)+FCFF!$B$9+FCFF!$I$9*(1+Inputs!$B$6)/(B420-Inputs!$B$6)/(1+B420)^7</f>
        <v>-1983.326318</v>
      </c>
    </row>
    <row r="421" ht="14.25" customHeight="1">
      <c r="A421" s="7">
        <v>408.0</v>
      </c>
      <c r="B421" s="14">
        <f t="shared" si="1"/>
        <v>0.1006632975</v>
      </c>
      <c r="C421" s="39">
        <f t="array" ref="C421">NPV(B421,FCFF!$C$9:$I$9)+FCFF!$B$9+FCFF!$I$9*(1+Inputs!$B$6)/(B421-Inputs!$B$6)/(1+B421)^7</f>
        <v>-1402.295332</v>
      </c>
    </row>
    <row r="422" ht="14.25" customHeight="1">
      <c r="A422" s="7">
        <v>409.0</v>
      </c>
      <c r="B422" s="14">
        <f t="shared" si="1"/>
        <v>0.1045276361</v>
      </c>
      <c r="C422" s="39">
        <f t="array" ref="C422">NPV(B422,FCFF!$C$9:$I$9)+FCFF!$B$9+FCFF!$I$9*(1+Inputs!$B$6)/(B422-Inputs!$B$6)/(1+B422)^7</f>
        <v>-1504.019706</v>
      </c>
    </row>
    <row r="423" ht="14.25" customHeight="1">
      <c r="A423" s="7">
        <v>410.0</v>
      </c>
      <c r="B423" s="14">
        <f t="shared" si="1"/>
        <v>0.1117767778</v>
      </c>
      <c r="C423" s="39">
        <f t="array" ref="C423">NPV(B423,FCFF!$C$9:$I$9)+FCFF!$B$9+FCFF!$I$9*(1+Inputs!$B$6)/(B423-Inputs!$B$6)/(1+B423)^7</f>
        <v>-1668.410536</v>
      </c>
    </row>
    <row r="424" ht="14.25" customHeight="1">
      <c r="A424" s="7">
        <v>411.0</v>
      </c>
      <c r="B424" s="14">
        <f t="shared" si="1"/>
        <v>0.1188975402</v>
      </c>
      <c r="C424" s="39">
        <f t="array" ref="C424">NPV(B424,FCFF!$C$9:$I$9)+FCFF!$B$9+FCFF!$I$9*(1+Inputs!$B$6)/(B424-Inputs!$B$6)/(1+B424)^7</f>
        <v>-1802.913978</v>
      </c>
    </row>
    <row r="425" ht="14.25" customHeight="1">
      <c r="A425" s="7">
        <v>412.0</v>
      </c>
      <c r="B425" s="14">
        <f t="shared" si="1"/>
        <v>0.1010332871</v>
      </c>
      <c r="C425" s="39">
        <f t="array" ref="C425">NPV(B425,FCFF!$C$9:$I$9)+FCFF!$B$9+FCFF!$I$9*(1+Inputs!$B$6)/(B425-Inputs!$B$6)/(1+B425)^7</f>
        <v>-1412.519806</v>
      </c>
    </row>
    <row r="426" ht="14.25" customHeight="1">
      <c r="A426" s="7">
        <v>413.0</v>
      </c>
      <c r="B426" s="14">
        <f t="shared" si="1"/>
        <v>0.097696058</v>
      </c>
      <c r="C426" s="39">
        <f t="array" ref="C426">NPV(B426,FCFF!$C$9:$I$9)+FCFF!$B$9+FCFF!$I$9*(1+Inputs!$B$6)/(B426-Inputs!$B$6)/(1+B426)^7</f>
        <v>-1316.230206</v>
      </c>
    </row>
    <row r="427" ht="14.25" customHeight="1">
      <c r="A427" s="7">
        <v>414.0</v>
      </c>
      <c r="B427" s="14">
        <f t="shared" si="1"/>
        <v>0.0962692102</v>
      </c>
      <c r="C427" s="39">
        <f t="array" ref="C427">NPV(B427,FCFF!$C$9:$I$9)+FCFF!$B$9+FCFF!$I$9*(1+Inputs!$B$6)/(B427-Inputs!$B$6)/(1+B427)^7</f>
        <v>-1272.095396</v>
      </c>
    </row>
    <row r="428" ht="14.25" customHeight="1">
      <c r="A428" s="7">
        <v>415.0</v>
      </c>
      <c r="B428" s="14">
        <f t="shared" si="1"/>
        <v>0.09579430725</v>
      </c>
      <c r="C428" s="39">
        <f t="array" ref="C428">NPV(B428,FCFF!$C$9:$I$9)+FCFF!$B$9+FCFF!$I$9*(1+Inputs!$B$6)/(B428-Inputs!$B$6)/(1+B428)^7</f>
        <v>-1256.982363</v>
      </c>
    </row>
    <row r="429" ht="14.25" customHeight="1">
      <c r="A429" s="7">
        <v>416.0</v>
      </c>
      <c r="B429" s="14">
        <f t="shared" si="1"/>
        <v>0.09856167519</v>
      </c>
      <c r="C429" s="39">
        <f t="array" ref="C429">NPV(B429,FCFF!$C$9:$I$9)+FCFF!$B$9+FCFF!$I$9*(1+Inputs!$B$6)/(B429-Inputs!$B$6)/(1+B429)^7</f>
        <v>-1342.110055</v>
      </c>
    </row>
    <row r="430" ht="14.25" customHeight="1">
      <c r="A430" s="7">
        <v>417.0</v>
      </c>
      <c r="B430" s="14">
        <f t="shared" si="1"/>
        <v>0.1092511515</v>
      </c>
      <c r="C430" s="39">
        <f t="array" ref="C430">NPV(B430,FCFF!$C$9:$I$9)+FCFF!$B$9+FCFF!$I$9*(1+Inputs!$B$6)/(B430-Inputs!$B$6)/(1+B430)^7</f>
        <v>-1614.646736</v>
      </c>
    </row>
    <row r="431" ht="14.25" customHeight="1">
      <c r="A431" s="7">
        <v>418.0</v>
      </c>
      <c r="B431" s="14">
        <f t="shared" si="1"/>
        <v>0.0953016757</v>
      </c>
      <c r="C431" s="39">
        <f t="array" ref="C431">NPV(B431,FCFF!$C$9:$I$9)+FCFF!$B$9+FCFF!$I$9*(1+Inputs!$B$6)/(B431-Inputs!$B$6)/(1+B431)^7</f>
        <v>-1241.07397</v>
      </c>
    </row>
    <row r="432" ht="14.25" customHeight="1">
      <c r="A432" s="7">
        <v>419.0</v>
      </c>
      <c r="B432" s="14">
        <f t="shared" si="1"/>
        <v>0.1301054488</v>
      </c>
      <c r="C432" s="39">
        <f t="array" ref="C432">NPV(B432,FCFF!$C$9:$I$9)+FCFF!$B$9+FCFF!$I$9*(1+Inputs!$B$6)/(B432-Inputs!$B$6)/(1+B432)^7</f>
        <v>-1973.830598</v>
      </c>
    </row>
    <row r="433" ht="14.25" customHeight="1">
      <c r="A433" s="7">
        <v>420.0</v>
      </c>
      <c r="B433" s="14">
        <f t="shared" si="1"/>
        <v>0.1283347757</v>
      </c>
      <c r="C433" s="39">
        <f t="array" ref="C433">NPV(B433,FCFF!$C$9:$I$9)+FCFF!$B$9+FCFF!$I$9*(1+Inputs!$B$6)/(B433-Inputs!$B$6)/(1+B433)^7</f>
        <v>-1949.605003</v>
      </c>
    </row>
    <row r="434" ht="14.25" customHeight="1">
      <c r="A434" s="7">
        <v>421.0</v>
      </c>
      <c r="B434" s="14">
        <f t="shared" si="1"/>
        <v>0.09501991396</v>
      </c>
      <c r="C434" s="39">
        <f t="array" ref="C434">NPV(B434,FCFF!$C$9:$I$9)+FCFF!$B$9+FCFF!$I$9*(1+Inputs!$B$6)/(B434-Inputs!$B$6)/(1+B434)^7</f>
        <v>-1231.867396</v>
      </c>
    </row>
    <row r="435" ht="14.25" customHeight="1">
      <c r="A435" s="7">
        <v>422.0</v>
      </c>
      <c r="B435" s="14">
        <f t="shared" si="1"/>
        <v>0.1253983499</v>
      </c>
      <c r="C435" s="39">
        <f t="array" ref="C435">NPV(B435,FCFF!$C$9:$I$9)+FCFF!$B$9+FCFF!$I$9*(1+Inputs!$B$6)/(B435-Inputs!$B$6)/(1+B435)^7</f>
        <v>-1907.28532</v>
      </c>
    </row>
    <row r="436" ht="14.25" customHeight="1">
      <c r="A436" s="7">
        <v>423.0</v>
      </c>
      <c r="B436" s="14">
        <f t="shared" si="1"/>
        <v>0.09795509002</v>
      </c>
      <c r="C436" s="39">
        <f t="array" ref="C436">NPV(B436,FCFF!$C$9:$I$9)+FCFF!$B$9+FCFF!$I$9*(1+Inputs!$B$6)/(B436-Inputs!$B$6)/(1+B436)^7</f>
        <v>-1324.043858</v>
      </c>
    </row>
    <row r="437" ht="14.25" customHeight="1">
      <c r="A437" s="7">
        <v>424.0</v>
      </c>
      <c r="B437" s="14">
        <f t="shared" si="1"/>
        <v>0.1205557934</v>
      </c>
      <c r="C437" s="39">
        <f t="array" ref="C437">NPV(B437,FCFF!$C$9:$I$9)+FCFF!$B$9+FCFF!$I$9*(1+Inputs!$B$6)/(B437-Inputs!$B$6)/(1+B437)^7</f>
        <v>-1831.051799</v>
      </c>
    </row>
    <row r="438" ht="14.25" customHeight="1">
      <c r="A438" s="7">
        <v>425.0</v>
      </c>
      <c r="B438" s="14">
        <f t="shared" si="1"/>
        <v>0.09850899445</v>
      </c>
      <c r="C438" s="39">
        <f t="array" ref="C438">NPV(B438,FCFF!$C$9:$I$9)+FCFF!$B$9+FCFF!$I$9*(1+Inputs!$B$6)/(B438-Inputs!$B$6)/(1+B438)^7</f>
        <v>-1340.553753</v>
      </c>
    </row>
    <row r="439" ht="14.25" customHeight="1">
      <c r="A439" s="7">
        <v>426.0</v>
      </c>
      <c r="B439" s="14">
        <f t="shared" si="1"/>
        <v>0.1123977345</v>
      </c>
      <c r="C439" s="39">
        <f t="array" ref="C439">NPV(B439,FCFF!$C$9:$I$9)+FCFF!$B$9+FCFF!$I$9*(1+Inputs!$B$6)/(B439-Inputs!$B$6)/(1+B439)^7</f>
        <v>-1681.106545</v>
      </c>
    </row>
    <row r="440" ht="14.25" customHeight="1">
      <c r="A440" s="7">
        <v>427.0</v>
      </c>
      <c r="B440" s="14">
        <f t="shared" si="1"/>
        <v>0.1180702331</v>
      </c>
      <c r="C440" s="39">
        <f t="array" ref="C440">NPV(B440,FCFF!$C$9:$I$9)+FCFF!$B$9+FCFF!$I$9*(1+Inputs!$B$6)/(B440-Inputs!$B$6)/(1+B440)^7</f>
        <v>-1788.457026</v>
      </c>
    </row>
    <row r="441" ht="14.25" customHeight="1">
      <c r="A441" s="7">
        <v>428.0</v>
      </c>
      <c r="B441" s="14">
        <f t="shared" si="1"/>
        <v>0.09389335607</v>
      </c>
      <c r="C441" s="39">
        <f t="array" ref="C441">NPV(B441,FCFF!$C$9:$I$9)+FCFF!$B$9+FCFF!$I$9*(1+Inputs!$B$6)/(B441-Inputs!$B$6)/(1+B441)^7</f>
        <v>-1194.251919</v>
      </c>
    </row>
    <row r="442" ht="14.25" customHeight="1">
      <c r="A442" s="7">
        <v>429.0</v>
      </c>
      <c r="B442" s="14">
        <f t="shared" si="1"/>
        <v>0.1022576155</v>
      </c>
      <c r="C442" s="39">
        <f t="array" ref="C442">NPV(B442,FCFF!$C$9:$I$9)+FCFF!$B$9+FCFF!$I$9*(1+Inputs!$B$6)/(B442-Inputs!$B$6)/(1+B442)^7</f>
        <v>-1445.599627</v>
      </c>
    </row>
    <row r="443" ht="14.25" customHeight="1">
      <c r="A443" s="7">
        <v>430.0</v>
      </c>
      <c r="B443" s="14">
        <f t="shared" si="1"/>
        <v>0.1045017622</v>
      </c>
      <c r="C443" s="39">
        <f t="array" ref="C443">NPV(B443,FCFF!$C$9:$I$9)+FCFF!$B$9+FCFF!$I$9*(1+Inputs!$B$6)/(B443-Inputs!$B$6)/(1+B443)^7</f>
        <v>-1503.374211</v>
      </c>
    </row>
    <row r="444" ht="14.25" customHeight="1">
      <c r="A444" s="7">
        <v>431.0</v>
      </c>
      <c r="B444" s="14">
        <f t="shared" si="1"/>
        <v>0.1051403097</v>
      </c>
      <c r="C444" s="39">
        <f t="array" ref="C444">NPV(B444,FCFF!$C$9:$I$9)+FCFF!$B$9+FCFF!$I$9*(1+Inputs!$B$6)/(B444-Inputs!$B$6)/(1+B444)^7</f>
        <v>-1519.17217</v>
      </c>
    </row>
    <row r="445" ht="14.25" customHeight="1">
      <c r="A445" s="7">
        <v>432.0</v>
      </c>
      <c r="B445" s="14">
        <f t="shared" si="1"/>
        <v>0.09618925797</v>
      </c>
      <c r="C445" s="39">
        <f t="array" ref="C445">NPV(B445,FCFF!$C$9:$I$9)+FCFF!$B$9+FCFF!$I$9*(1+Inputs!$B$6)/(B445-Inputs!$B$6)/(1+B445)^7</f>
        <v>-1269.566165</v>
      </c>
    </row>
    <row r="446" ht="14.25" customHeight="1">
      <c r="A446" s="7">
        <v>433.0</v>
      </c>
      <c r="B446" s="14">
        <f t="shared" si="1"/>
        <v>0.1114572365</v>
      </c>
      <c r="C446" s="39">
        <f t="array" ref="C446">NPV(B446,FCFF!$C$9:$I$9)+FCFF!$B$9+FCFF!$I$9*(1+Inputs!$B$6)/(B446-Inputs!$B$6)/(1+B446)^7</f>
        <v>-1661.798947</v>
      </c>
    </row>
    <row r="447" ht="14.25" customHeight="1">
      <c r="A447" s="7">
        <v>434.0</v>
      </c>
      <c r="B447" s="14">
        <f t="shared" si="1"/>
        <v>0.1161637109</v>
      </c>
      <c r="C447" s="39">
        <f t="array" ref="C447">NPV(B447,FCFF!$C$9:$I$9)+FCFF!$B$9+FCFF!$I$9*(1+Inputs!$B$6)/(B447-Inputs!$B$6)/(1+B447)^7</f>
        <v>-1754.027205</v>
      </c>
    </row>
    <row r="448" ht="14.25" customHeight="1">
      <c r="A448" s="7">
        <v>435.0</v>
      </c>
      <c r="B448" s="14">
        <f t="shared" si="1"/>
        <v>0.1086154625</v>
      </c>
      <c r="C448" s="39">
        <f t="array" ref="C448">NPV(B448,FCFF!$C$9:$I$9)+FCFF!$B$9+FCFF!$I$9*(1+Inputs!$B$6)/(B448-Inputs!$B$6)/(1+B448)^7</f>
        <v>-1600.552568</v>
      </c>
    </row>
    <row r="449" ht="14.25" customHeight="1">
      <c r="A449" s="7">
        <v>436.0</v>
      </c>
      <c r="B449" s="14">
        <f t="shared" si="1"/>
        <v>0.09937719634</v>
      </c>
      <c r="C449" s="39">
        <f t="array" ref="C449">NPV(B449,FCFF!$C$9:$I$9)+FCFF!$B$9+FCFF!$I$9*(1+Inputs!$B$6)/(B449-Inputs!$B$6)/(1+B449)^7</f>
        <v>-1365.899791</v>
      </c>
    </row>
    <row r="450" ht="14.25" customHeight="1">
      <c r="A450" s="7">
        <v>437.0</v>
      </c>
      <c r="B450" s="14">
        <f t="shared" si="1"/>
        <v>0.129902637</v>
      </c>
      <c r="C450" s="39">
        <f t="array" ref="C450">NPV(B450,FCFF!$C$9:$I$9)+FCFF!$B$9+FCFF!$I$9*(1+Inputs!$B$6)/(B450-Inputs!$B$6)/(1+B450)^7</f>
        <v>-1971.102988</v>
      </c>
    </row>
    <row r="451" ht="14.25" customHeight="1">
      <c r="A451" s="7">
        <v>438.0</v>
      </c>
      <c r="B451" s="14">
        <f t="shared" si="1"/>
        <v>0.1152331494</v>
      </c>
      <c r="C451" s="39">
        <f t="array" ref="C451">NPV(B451,FCFF!$C$9:$I$9)+FCFF!$B$9+FCFF!$I$9*(1+Inputs!$B$6)/(B451-Inputs!$B$6)/(1+B451)^7</f>
        <v>-1736.634685</v>
      </c>
    </row>
    <row r="452" ht="14.25" customHeight="1">
      <c r="A452" s="7">
        <v>439.0</v>
      </c>
      <c r="B452" s="14">
        <f t="shared" si="1"/>
        <v>0.1114809089</v>
      </c>
      <c r="C452" s="39">
        <f t="array" ref="C452">NPV(B452,FCFF!$C$9:$I$9)+FCFF!$B$9+FCFF!$I$9*(1+Inputs!$B$6)/(B452-Inputs!$B$6)/(1+B452)^7</f>
        <v>-1662.290595</v>
      </c>
    </row>
    <row r="453" ht="14.25" customHeight="1">
      <c r="A453" s="7">
        <v>440.0</v>
      </c>
      <c r="B453" s="14">
        <f t="shared" si="1"/>
        <v>0.1306596478</v>
      </c>
      <c r="C453" s="39">
        <f t="array" ref="C453">NPV(B453,FCFF!$C$9:$I$9)+FCFF!$B$9+FCFF!$I$9*(1+Inputs!$B$6)/(B453-Inputs!$B$6)/(1+B453)^7</f>
        <v>-1981.223166</v>
      </c>
    </row>
    <row r="454" ht="14.25" customHeight="1">
      <c r="A454" s="7">
        <v>441.0</v>
      </c>
      <c r="B454" s="14">
        <f t="shared" si="1"/>
        <v>0.1238469408</v>
      </c>
      <c r="C454" s="39">
        <f t="array" ref="C454">NPV(B454,FCFF!$C$9:$I$9)+FCFF!$B$9+FCFF!$I$9*(1+Inputs!$B$6)/(B454-Inputs!$B$6)/(1+B454)^7</f>
        <v>-1883.776143</v>
      </c>
    </row>
    <row r="455" ht="14.25" customHeight="1">
      <c r="A455" s="7">
        <v>442.0</v>
      </c>
      <c r="B455" s="14">
        <f t="shared" si="1"/>
        <v>0.09409643372</v>
      </c>
      <c r="C455" s="39">
        <f t="array" ref="C455">NPV(B455,FCFF!$C$9:$I$9)+FCFF!$B$9+FCFF!$I$9*(1+Inputs!$B$6)/(B455-Inputs!$B$6)/(1+B455)^7</f>
        <v>-1201.129477</v>
      </c>
    </row>
    <row r="456" ht="14.25" customHeight="1">
      <c r="A456" s="7">
        <v>443.0</v>
      </c>
      <c r="B456" s="14">
        <f t="shared" si="1"/>
        <v>0.1171775511</v>
      </c>
      <c r="C456" s="39">
        <f t="array" ref="C456">NPV(B456,FCFF!$C$9:$I$9)+FCFF!$B$9+FCFF!$I$9*(1+Inputs!$B$6)/(B456-Inputs!$B$6)/(1+B456)^7</f>
        <v>-1772.533203</v>
      </c>
    </row>
    <row r="457" ht="14.25" customHeight="1">
      <c r="A457" s="7">
        <v>444.0</v>
      </c>
      <c r="B457" s="14">
        <f t="shared" si="1"/>
        <v>0.1134352877</v>
      </c>
      <c r="C457" s="39">
        <f t="array" ref="C457">NPV(B457,FCFF!$C$9:$I$9)+FCFF!$B$9+FCFF!$I$9*(1+Inputs!$B$6)/(B457-Inputs!$B$6)/(1+B457)^7</f>
        <v>-1701.882168</v>
      </c>
    </row>
    <row r="458" ht="14.25" customHeight="1">
      <c r="A458" s="7">
        <v>445.0</v>
      </c>
      <c r="B458" s="14">
        <f t="shared" si="1"/>
        <v>0.1110909015</v>
      </c>
      <c r="C458" s="39">
        <f t="array" ref="C458">NPV(B458,FCFF!$C$9:$I$9)+FCFF!$B$9+FCFF!$I$9*(1+Inputs!$B$6)/(B458-Inputs!$B$6)/(1+B458)^7</f>
        <v>-1654.152699</v>
      </c>
    </row>
    <row r="459" ht="14.25" customHeight="1">
      <c r="A459" s="7">
        <v>446.0</v>
      </c>
      <c r="B459" s="14">
        <f t="shared" si="1"/>
        <v>0.1301215874</v>
      </c>
      <c r="C459" s="39">
        <f t="array" ref="C459">NPV(B459,FCFF!$C$9:$I$9)+FCFF!$B$9+FCFF!$I$9*(1+Inputs!$B$6)/(B459-Inputs!$B$6)/(1+B459)^7</f>
        <v>-1974.047131</v>
      </c>
    </row>
    <row r="460" ht="14.25" customHeight="1">
      <c r="A460" s="7">
        <v>447.0</v>
      </c>
      <c r="B460" s="14">
        <f t="shared" si="1"/>
        <v>0.1327218112</v>
      </c>
      <c r="C460" s="39">
        <f t="array" ref="C460">NPV(B460,FCFF!$C$9:$I$9)+FCFF!$B$9+FCFF!$I$9*(1+Inputs!$B$6)/(B460-Inputs!$B$6)/(1+B460)^7</f>
        <v>-2007.969303</v>
      </c>
    </row>
    <row r="461" ht="14.25" customHeight="1">
      <c r="A461" s="7">
        <v>448.0</v>
      </c>
      <c r="B461" s="14">
        <f t="shared" si="1"/>
        <v>0.1191647195</v>
      </c>
      <c r="C461" s="39">
        <f t="array" ref="C461">NPV(B461,FCFF!$C$9:$I$9)+FCFF!$B$9+FCFF!$I$9*(1+Inputs!$B$6)/(B461-Inputs!$B$6)/(1+B461)^7</f>
        <v>-1807.522389</v>
      </c>
    </row>
    <row r="462" ht="14.25" customHeight="1">
      <c r="A462" s="7">
        <v>449.0</v>
      </c>
      <c r="B462" s="14">
        <f t="shared" si="1"/>
        <v>0.1206445865</v>
      </c>
      <c r="C462" s="39">
        <f t="array" ref="C462">NPV(B462,FCFF!$C$9:$I$9)+FCFF!$B$9+FCFF!$I$9*(1+Inputs!$B$6)/(B462-Inputs!$B$6)/(1+B462)^7</f>
        <v>-1832.527735</v>
      </c>
    </row>
    <row r="463" ht="14.25" customHeight="1">
      <c r="A463" s="7">
        <v>450.0</v>
      </c>
      <c r="B463" s="14">
        <f t="shared" si="1"/>
        <v>0.1215367351</v>
      </c>
      <c r="C463" s="39">
        <f t="array" ref="C463">NPV(B463,FCFF!$C$9:$I$9)+FCFF!$B$9+FCFF!$I$9*(1+Inputs!$B$6)/(B463-Inputs!$B$6)/(1+B463)^7</f>
        <v>-1847.188635</v>
      </c>
    </row>
    <row r="464" ht="14.25" customHeight="1">
      <c r="A464" s="7">
        <v>451.0</v>
      </c>
      <c r="B464" s="14">
        <f t="shared" si="1"/>
        <v>0.1022104887</v>
      </c>
      <c r="C464" s="39">
        <f t="array" ref="C464">NPV(B464,FCFF!$C$9:$I$9)+FCFF!$B$9+FCFF!$I$9*(1+Inputs!$B$6)/(B464-Inputs!$B$6)/(1+B464)^7</f>
        <v>-1444.347312</v>
      </c>
    </row>
    <row r="465" ht="14.25" customHeight="1">
      <c r="A465" s="7">
        <v>452.0</v>
      </c>
      <c r="B465" s="14">
        <f t="shared" si="1"/>
        <v>0.1153075593</v>
      </c>
      <c r="C465" s="39">
        <f t="array" ref="C465">NPV(B465,FCFF!$C$9:$I$9)+FCFF!$B$9+FCFF!$I$9*(1+Inputs!$B$6)/(B465-Inputs!$B$6)/(1+B465)^7</f>
        <v>-1738.04005</v>
      </c>
    </row>
    <row r="466" ht="14.25" customHeight="1">
      <c r="A466" s="7">
        <v>453.0</v>
      </c>
      <c r="B466" s="14">
        <f t="shared" si="1"/>
        <v>0.1025573935</v>
      </c>
      <c r="C466" s="39">
        <f t="array" ref="C466">NPV(B466,FCFF!$C$9:$I$9)+FCFF!$B$9+FCFF!$I$9*(1+Inputs!$B$6)/(B466-Inputs!$B$6)/(1+B466)^7</f>
        <v>-1453.527155</v>
      </c>
    </row>
    <row r="467" ht="14.25" customHeight="1">
      <c r="A467" s="7">
        <v>454.0</v>
      </c>
      <c r="B467" s="14">
        <f t="shared" si="1"/>
        <v>0.1219415239</v>
      </c>
      <c r="C467" s="39">
        <f t="array" ref="C467">NPV(B467,FCFF!$C$9:$I$9)+FCFF!$B$9+FCFF!$I$9*(1+Inputs!$B$6)/(B467-Inputs!$B$6)/(1+B467)^7</f>
        <v>-1853.74098</v>
      </c>
    </row>
    <row r="468" ht="14.25" customHeight="1">
      <c r="A468" s="7">
        <v>455.0</v>
      </c>
      <c r="B468" s="14">
        <f t="shared" si="1"/>
        <v>0.1172792344</v>
      </c>
      <c r="C468" s="39">
        <f t="array" ref="C468">NPV(B468,FCFF!$C$9:$I$9)+FCFF!$B$9+FCFF!$I$9*(1+Inputs!$B$6)/(B468-Inputs!$B$6)/(1+B468)^7</f>
        <v>-1774.364349</v>
      </c>
    </row>
    <row r="469" ht="14.25" customHeight="1">
      <c r="A469" s="7">
        <v>456.0</v>
      </c>
      <c r="B469" s="14">
        <f t="shared" si="1"/>
        <v>0.1146592464</v>
      </c>
      <c r="C469" s="39">
        <f t="array" ref="C469">NPV(B469,FCFF!$C$9:$I$9)+FCFF!$B$9+FCFF!$I$9*(1+Inputs!$B$6)/(B469-Inputs!$B$6)/(1+B469)^7</f>
        <v>-1725.708652</v>
      </c>
    </row>
    <row r="470" ht="14.25" customHeight="1">
      <c r="A470" s="7">
        <v>457.0</v>
      </c>
      <c r="B470" s="14">
        <f t="shared" si="1"/>
        <v>0.128020182</v>
      </c>
      <c r="C470" s="39">
        <f t="array" ref="C470">NPV(B470,FCFF!$C$9:$I$9)+FCFF!$B$9+FCFF!$I$9*(1+Inputs!$B$6)/(B470-Inputs!$B$6)/(1+B470)^7</f>
        <v>-1945.201723</v>
      </c>
    </row>
    <row r="471" ht="14.25" customHeight="1">
      <c r="A471" s="7">
        <v>458.0</v>
      </c>
      <c r="B471" s="14">
        <f t="shared" si="1"/>
        <v>0.1299713366</v>
      </c>
      <c r="C471" s="39">
        <f t="array" ref="C471">NPV(B471,FCFF!$C$9:$I$9)+FCFF!$B$9+FCFF!$I$9*(1+Inputs!$B$6)/(B471-Inputs!$B$6)/(1+B471)^7</f>
        <v>-1972.028272</v>
      </c>
    </row>
    <row r="472" ht="14.25" customHeight="1">
      <c r="A472" s="7">
        <v>459.0</v>
      </c>
      <c r="B472" s="14">
        <f t="shared" si="1"/>
        <v>0.1297160633</v>
      </c>
      <c r="C472" s="39">
        <f t="array" ref="C472">NPV(B472,FCFF!$C$9:$I$9)+FCFF!$B$9+FCFF!$I$9*(1+Inputs!$B$6)/(B472-Inputs!$B$6)/(1+B472)^7</f>
        <v>-1968.583132</v>
      </c>
    </row>
    <row r="473" ht="14.25" customHeight="1">
      <c r="A473" s="7">
        <v>460.0</v>
      </c>
      <c r="B473" s="14">
        <f t="shared" si="1"/>
        <v>0.1278612628</v>
      </c>
      <c r="C473" s="39">
        <f t="array" ref="C473">NPV(B473,FCFF!$C$9:$I$9)+FCFF!$B$9+FCFF!$I$9*(1+Inputs!$B$6)/(B473-Inputs!$B$6)/(1+B473)^7</f>
        <v>-1942.965748</v>
      </c>
    </row>
    <row r="474" ht="14.25" customHeight="1">
      <c r="A474" s="7">
        <v>461.0</v>
      </c>
      <c r="B474" s="14">
        <f t="shared" si="1"/>
        <v>0.1266010689</v>
      </c>
      <c r="C474" s="39">
        <f t="array" ref="C474">NPV(B474,FCFF!$C$9:$I$9)+FCFF!$B$9+FCFF!$I$9*(1+Inputs!$B$6)/(B474-Inputs!$B$6)/(1+B474)^7</f>
        <v>-1924.953836</v>
      </c>
    </row>
    <row r="475" ht="14.25" customHeight="1">
      <c r="A475" s="7">
        <v>462.0</v>
      </c>
      <c r="B475" s="14">
        <f t="shared" si="1"/>
        <v>0.1002043649</v>
      </c>
      <c r="C475" s="39">
        <f t="array" ref="C475">NPV(B475,FCFF!$C$9:$I$9)+FCFF!$B$9+FCFF!$I$9*(1+Inputs!$B$6)/(B475-Inputs!$B$6)/(1+B475)^7</f>
        <v>-1389.461986</v>
      </c>
    </row>
    <row r="476" ht="14.25" customHeight="1">
      <c r="A476" s="7">
        <v>463.0</v>
      </c>
      <c r="B476" s="14">
        <f t="shared" si="1"/>
        <v>0.1163141294</v>
      </c>
      <c r="C476" s="39">
        <f t="array" ref="C476">NPV(B476,FCFF!$C$9:$I$9)+FCFF!$B$9+FCFF!$I$9*(1+Inputs!$B$6)/(B476-Inputs!$B$6)/(1+B476)^7</f>
        <v>-1756.801685</v>
      </c>
    </row>
    <row r="477" ht="14.25" customHeight="1">
      <c r="A477" s="7">
        <v>464.0</v>
      </c>
      <c r="B477" s="14">
        <f t="shared" si="1"/>
        <v>0.09355375717</v>
      </c>
      <c r="C477" s="39">
        <f t="array" ref="C477">NPV(B477,FCFF!$C$9:$I$9)+FCFF!$B$9+FCFF!$I$9*(1+Inputs!$B$6)/(B477-Inputs!$B$6)/(1+B477)^7</f>
        <v>-1182.653619</v>
      </c>
    </row>
    <row r="478" ht="14.25" customHeight="1">
      <c r="A478" s="7">
        <v>465.0</v>
      </c>
      <c r="B478" s="14">
        <f t="shared" si="1"/>
        <v>0.1204842914</v>
      </c>
      <c r="C478" s="39">
        <f t="array" ref="C478">NPV(B478,FCFF!$C$9:$I$9)+FCFF!$B$9+FCFF!$I$9*(1+Inputs!$B$6)/(B478-Inputs!$B$6)/(1+B478)^7</f>
        <v>-1829.861048</v>
      </c>
    </row>
    <row r="479" ht="14.25" customHeight="1">
      <c r="A479" s="7">
        <v>466.0</v>
      </c>
      <c r="B479" s="14">
        <f t="shared" si="1"/>
        <v>0.1072219472</v>
      </c>
      <c r="C479" s="39">
        <f t="array" ref="C479">NPV(B479,FCFF!$C$9:$I$9)+FCFF!$B$9+FCFF!$I$9*(1+Inputs!$B$6)/(B479-Inputs!$B$6)/(1+B479)^7</f>
        <v>-1568.82096</v>
      </c>
    </row>
    <row r="480" ht="14.25" customHeight="1">
      <c r="A480" s="7">
        <v>467.0</v>
      </c>
      <c r="B480" s="14">
        <f t="shared" si="1"/>
        <v>0.1171808149</v>
      </c>
      <c r="C480" s="39">
        <f t="array" ref="C480">NPV(B480,FCFF!$C$9:$I$9)+FCFF!$B$9+FCFF!$I$9*(1+Inputs!$B$6)/(B480-Inputs!$B$6)/(1+B480)^7</f>
        <v>-1772.592049</v>
      </c>
    </row>
    <row r="481" ht="14.25" customHeight="1">
      <c r="A481" s="7">
        <v>468.0</v>
      </c>
      <c r="B481" s="14">
        <f t="shared" si="1"/>
        <v>0.1295848755</v>
      </c>
      <c r="C481" s="39">
        <f t="array" ref="C481">NPV(B481,FCFF!$C$9:$I$9)+FCFF!$B$9+FCFF!$I$9*(1+Inputs!$B$6)/(B481-Inputs!$B$6)/(1+B481)^7</f>
        <v>-1966.805182</v>
      </c>
    </row>
    <row r="482" ht="14.25" customHeight="1">
      <c r="A482" s="7">
        <v>469.0</v>
      </c>
      <c r="B482" s="14">
        <f t="shared" si="1"/>
        <v>0.1148393197</v>
      </c>
      <c r="C482" s="39">
        <f t="array" ref="C482">NPV(B482,FCFF!$C$9:$I$9)+FCFF!$B$9+FCFF!$I$9*(1+Inputs!$B$6)/(B482-Inputs!$B$6)/(1+B482)^7</f>
        <v>-1729.153547</v>
      </c>
    </row>
    <row r="483" ht="14.25" customHeight="1">
      <c r="A483" s="7">
        <v>470.0</v>
      </c>
      <c r="B483" s="14">
        <f t="shared" si="1"/>
        <v>0.09680289361</v>
      </c>
      <c r="C483" s="39">
        <f t="array" ref="C483">NPV(B483,FCFF!$C$9:$I$9)+FCFF!$B$9+FCFF!$I$9*(1+Inputs!$B$6)/(B483-Inputs!$B$6)/(1+B483)^7</f>
        <v>-1288.823463</v>
      </c>
    </row>
    <row r="484" ht="14.25" customHeight="1">
      <c r="A484" s="7">
        <v>471.0</v>
      </c>
      <c r="B484" s="14">
        <f t="shared" si="1"/>
        <v>0.1061029711</v>
      </c>
      <c r="C484" s="39">
        <f t="array" ref="C484">NPV(B484,FCFF!$C$9:$I$9)+FCFF!$B$9+FCFF!$I$9*(1+Inputs!$B$6)/(B484-Inputs!$B$6)/(1+B484)^7</f>
        <v>-1542.477696</v>
      </c>
    </row>
    <row r="485" ht="14.25" customHeight="1">
      <c r="A485" s="7">
        <v>472.0</v>
      </c>
      <c r="B485" s="14">
        <f t="shared" si="1"/>
        <v>0.09388642046</v>
      </c>
      <c r="C485" s="39">
        <f t="array" ref="C485">NPV(B485,FCFF!$C$9:$I$9)+FCFF!$B$9+FCFF!$I$9*(1+Inputs!$B$6)/(B485-Inputs!$B$6)/(1+B485)^7</f>
        <v>-1194.016268</v>
      </c>
    </row>
    <row r="486" ht="14.25" customHeight="1">
      <c r="A486" s="7">
        <v>473.0</v>
      </c>
      <c r="B486" s="14">
        <f t="shared" si="1"/>
        <v>0.1289552426</v>
      </c>
      <c r="C486" s="39">
        <f t="array" ref="C486">NPV(B486,FCFF!$C$9:$I$9)+FCFF!$B$9+FCFF!$I$9*(1+Inputs!$B$6)/(B486-Inputs!$B$6)/(1+B486)^7</f>
        <v>-1958.200831</v>
      </c>
    </row>
    <row r="487" ht="14.25" customHeight="1">
      <c r="A487" s="7">
        <v>474.0</v>
      </c>
      <c r="B487" s="14">
        <f t="shared" si="1"/>
        <v>0.09655280964</v>
      </c>
      <c r="C487" s="39">
        <f t="array" ref="C487">NPV(B487,FCFF!$C$9:$I$9)+FCFF!$B$9+FCFF!$I$9*(1+Inputs!$B$6)/(B487-Inputs!$B$6)/(1+B487)^7</f>
        <v>-1281.018006</v>
      </c>
    </row>
    <row r="488" ht="14.25" customHeight="1">
      <c r="A488" s="7">
        <v>475.0</v>
      </c>
      <c r="B488" s="14">
        <f t="shared" si="1"/>
        <v>0.0952009875</v>
      </c>
      <c r="C488" s="39">
        <f t="array" ref="C488">NPV(B488,FCFF!$C$9:$I$9)+FCFF!$B$9+FCFF!$I$9*(1+Inputs!$B$6)/(B488-Inputs!$B$6)/(1+B488)^7</f>
        <v>-1237.793059</v>
      </c>
    </row>
    <row r="489" ht="14.25" customHeight="1">
      <c r="A489" s="7">
        <v>476.0</v>
      </c>
      <c r="B489" s="14">
        <f t="shared" si="1"/>
        <v>0.1250707748</v>
      </c>
      <c r="C489" s="39">
        <f t="array" ref="C489">NPV(B489,FCFF!$C$9:$I$9)+FCFF!$B$9+FCFF!$I$9*(1+Inputs!$B$6)/(B489-Inputs!$B$6)/(1+B489)^7</f>
        <v>-1902.389875</v>
      </c>
    </row>
    <row r="490" ht="14.25" customHeight="1">
      <c r="A490" s="7">
        <v>477.0</v>
      </c>
      <c r="B490" s="14">
        <f t="shared" si="1"/>
        <v>0.1045332382</v>
      </c>
      <c r="C490" s="39">
        <f t="array" ref="C490">NPV(B490,FCFF!$C$9:$I$9)+FCFF!$B$9+FCFF!$I$9*(1+Inputs!$B$6)/(B490-Inputs!$B$6)/(1+B490)^7</f>
        <v>-1504.159406</v>
      </c>
    </row>
    <row r="491" ht="14.25" customHeight="1">
      <c r="A491" s="7">
        <v>478.0</v>
      </c>
      <c r="B491" s="14">
        <f t="shared" si="1"/>
        <v>0.1328397658</v>
      </c>
      <c r="C491" s="39">
        <f t="array" ref="C491">NPV(B491,FCFF!$C$9:$I$9)+FCFF!$B$9+FCFF!$I$9*(1+Inputs!$B$6)/(B491-Inputs!$B$6)/(1+B491)^7</f>
        <v>-2009.463818</v>
      </c>
    </row>
    <row r="492" ht="14.25" customHeight="1">
      <c r="A492" s="7">
        <v>479.0</v>
      </c>
      <c r="B492" s="14">
        <f t="shared" si="1"/>
        <v>0.1059871705</v>
      </c>
      <c r="C492" s="39">
        <f t="array" ref="C492">NPV(B492,FCFF!$C$9:$I$9)+FCFF!$B$9+FCFF!$I$9*(1+Inputs!$B$6)/(B492-Inputs!$B$6)/(1+B492)^7</f>
        <v>-1539.706142</v>
      </c>
    </row>
    <row r="493" ht="14.25" customHeight="1">
      <c r="A493" s="7">
        <v>480.0</v>
      </c>
      <c r="B493" s="14">
        <f t="shared" si="1"/>
        <v>0.1104993215</v>
      </c>
      <c r="C493" s="39">
        <f t="array" ref="C493">NPV(B493,FCFF!$C$9:$I$9)+FCFF!$B$9+FCFF!$I$9*(1+Inputs!$B$6)/(B493-Inputs!$B$6)/(1+B493)^7</f>
        <v>-1641.65291</v>
      </c>
    </row>
    <row r="494" ht="14.25" customHeight="1">
      <c r="A494" s="7">
        <v>481.0</v>
      </c>
      <c r="B494" s="14">
        <f t="shared" si="1"/>
        <v>0.125537764</v>
      </c>
      <c r="C494" s="39">
        <f t="array" ref="C494">NPV(B494,FCFF!$C$9:$I$9)+FCFF!$B$9+FCFF!$I$9*(1+Inputs!$B$6)/(B494-Inputs!$B$6)/(1+B494)^7</f>
        <v>-1909.357872</v>
      </c>
    </row>
    <row r="495" ht="14.25" customHeight="1">
      <c r="A495" s="7">
        <v>482.0</v>
      </c>
      <c r="B495" s="14">
        <f t="shared" si="1"/>
        <v>0.1317279618</v>
      </c>
      <c r="C495" s="39">
        <f t="array" ref="C495">NPV(B495,FCFF!$C$9:$I$9)+FCFF!$B$9+FCFF!$I$9*(1+Inputs!$B$6)/(B495-Inputs!$B$6)/(1+B495)^7</f>
        <v>-1995.226647</v>
      </c>
    </row>
    <row r="496" ht="14.25" customHeight="1">
      <c r="A496" s="7">
        <v>483.0</v>
      </c>
      <c r="B496" s="14">
        <f t="shared" si="1"/>
        <v>0.09507670984</v>
      </c>
      <c r="C496" s="39">
        <f t="array" ref="C496">NPV(B496,FCFF!$C$9:$I$9)+FCFF!$B$9+FCFF!$I$9*(1+Inputs!$B$6)/(B496-Inputs!$B$6)/(1+B496)^7</f>
        <v>-1233.729577</v>
      </c>
    </row>
    <row r="497" ht="14.25" customHeight="1">
      <c r="A497" s="7">
        <v>484.0</v>
      </c>
      <c r="B497" s="14">
        <f t="shared" si="1"/>
        <v>0.1035179327</v>
      </c>
      <c r="C497" s="39">
        <f t="array" ref="C497">NPV(B497,FCFF!$C$9:$I$9)+FCFF!$B$9+FCFF!$I$9*(1+Inputs!$B$6)/(B497-Inputs!$B$6)/(1+B497)^7</f>
        <v>-1478.486877</v>
      </c>
    </row>
    <row r="498" ht="14.25" customHeight="1">
      <c r="A498" s="7">
        <v>485.0</v>
      </c>
      <c r="B498" s="14">
        <f t="shared" si="1"/>
        <v>0.1282649295</v>
      </c>
      <c r="C498" s="39">
        <f t="array" ref="C498">NPV(B498,FCFF!$C$9:$I$9)+FCFF!$B$9+FCFF!$I$9*(1+Inputs!$B$6)/(B498-Inputs!$B$6)/(1+B498)^7</f>
        <v>-1948.630016</v>
      </c>
    </row>
    <row r="499" ht="14.25" customHeight="1">
      <c r="A499" s="7">
        <v>486.0</v>
      </c>
      <c r="B499" s="14">
        <f t="shared" si="1"/>
        <v>0.1286713438</v>
      </c>
      <c r="C499" s="39">
        <f t="array" ref="C499">NPV(B499,FCFF!$C$9:$I$9)+FCFF!$B$9+FCFF!$I$9*(1+Inputs!$B$6)/(B499-Inputs!$B$6)/(1+B499)^7</f>
        <v>-1954.282263</v>
      </c>
    </row>
    <row r="500" ht="14.25" customHeight="1">
      <c r="A500" s="7">
        <v>487.0</v>
      </c>
      <c r="B500" s="14">
        <f t="shared" si="1"/>
        <v>0.1251823487</v>
      </c>
      <c r="C500" s="39">
        <f t="array" ref="C500">NPV(B500,FCFF!$C$9:$I$9)+FCFF!$B$9+FCFF!$I$9*(1+Inputs!$B$6)/(B500-Inputs!$B$6)/(1+B500)^7</f>
        <v>-1904.061348</v>
      </c>
    </row>
    <row r="501" ht="14.25" customHeight="1">
      <c r="A501" s="7">
        <v>488.0</v>
      </c>
      <c r="B501" s="14">
        <f t="shared" si="1"/>
        <v>0.1017503819</v>
      </c>
      <c r="C501" s="39">
        <f t="array" ref="C501">NPV(B501,FCFF!$C$9:$I$9)+FCFF!$B$9+FCFF!$I$9*(1+Inputs!$B$6)/(B501-Inputs!$B$6)/(1+B501)^7</f>
        <v>-1432.033276</v>
      </c>
    </row>
    <row r="502" ht="14.25" customHeight="1">
      <c r="A502" s="7">
        <v>489.0</v>
      </c>
      <c r="B502" s="14">
        <f t="shared" si="1"/>
        <v>0.1107942867</v>
      </c>
      <c r="C502" s="39">
        <f t="array" ref="C502">NPV(B502,FCFF!$C$9:$I$9)+FCFF!$B$9+FCFF!$I$9*(1+Inputs!$B$6)/(B502-Inputs!$B$6)/(1+B502)^7</f>
        <v>-1647.909054</v>
      </c>
    </row>
    <row r="503" ht="14.25" customHeight="1">
      <c r="A503" s="7">
        <v>490.0</v>
      </c>
      <c r="B503" s="14">
        <f t="shared" si="1"/>
        <v>0.09504945495</v>
      </c>
      <c r="C503" s="39">
        <f t="array" ref="C503">NPV(B503,FCFF!$C$9:$I$9)+FCFF!$B$9+FCFF!$I$9*(1+Inputs!$B$6)/(B503-Inputs!$B$6)/(1+B503)^7</f>
        <v>-1232.836367</v>
      </c>
    </row>
    <row r="504" ht="14.25" customHeight="1">
      <c r="A504" s="7">
        <v>491.0</v>
      </c>
      <c r="B504" s="14">
        <f t="shared" si="1"/>
        <v>0.1006566694</v>
      </c>
      <c r="C504" s="39">
        <f t="array" ref="C504">NPV(B504,FCFF!$C$9:$I$9)+FCFF!$B$9+FCFF!$I$9*(1+Inputs!$B$6)/(B504-Inputs!$B$6)/(1+B504)^7</f>
        <v>-1402.111181</v>
      </c>
    </row>
    <row r="505" ht="14.25" customHeight="1">
      <c r="A505" s="7">
        <v>492.0</v>
      </c>
      <c r="B505" s="14">
        <f t="shared" si="1"/>
        <v>0.1047858753</v>
      </c>
      <c r="C505" s="39">
        <f t="array" ref="C505">NPV(B505,FCFF!$C$9:$I$9)+FCFF!$B$9+FCFF!$I$9*(1+Inputs!$B$6)/(B505-Inputs!$B$6)/(1+B505)^7</f>
        <v>-1510.437252</v>
      </c>
    </row>
    <row r="506" ht="14.25" customHeight="1">
      <c r="A506" s="7">
        <v>493.0</v>
      </c>
      <c r="B506" s="14">
        <f t="shared" si="1"/>
        <v>0.1277481305</v>
      </c>
      <c r="C506" s="39">
        <f t="array" ref="C506">NPV(B506,FCFF!$C$9:$I$9)+FCFF!$B$9+FCFF!$I$9*(1+Inputs!$B$6)/(B506-Inputs!$B$6)/(1+B506)^7</f>
        <v>-1941.369206</v>
      </c>
    </row>
    <row r="507" ht="14.25" customHeight="1">
      <c r="A507" s="7">
        <v>494.0</v>
      </c>
      <c r="B507" s="14">
        <f t="shared" si="1"/>
        <v>0.1291981071</v>
      </c>
      <c r="C507" s="39">
        <f t="array" ref="C507">NPV(B507,FCFF!$C$9:$I$9)+FCFF!$B$9+FCFF!$I$9*(1+Inputs!$B$6)/(B507-Inputs!$B$6)/(1+B507)^7</f>
        <v>-1961.533753</v>
      </c>
    </row>
    <row r="508" ht="14.25" customHeight="1">
      <c r="A508" s="7">
        <v>495.0</v>
      </c>
      <c r="B508" s="14">
        <f t="shared" si="1"/>
        <v>0.1217287197</v>
      </c>
      <c r="C508" s="39">
        <f t="array" ref="C508">NPV(B508,FCFF!$C$9:$I$9)+FCFF!$B$9+FCFF!$I$9*(1+Inputs!$B$6)/(B508-Inputs!$B$6)/(1+B508)^7</f>
        <v>-1850.30397</v>
      </c>
    </row>
    <row r="509" ht="14.25" customHeight="1">
      <c r="A509" s="7">
        <v>496.0</v>
      </c>
      <c r="B509" s="14">
        <f t="shared" si="1"/>
        <v>0.1122921793</v>
      </c>
      <c r="C509" s="39">
        <f t="array" ref="C509">NPV(B509,FCFF!$C$9:$I$9)+FCFF!$B$9+FCFF!$I$9*(1+Inputs!$B$6)/(B509-Inputs!$B$6)/(1+B509)^7</f>
        <v>-1678.962409</v>
      </c>
    </row>
    <row r="510" ht="14.25" customHeight="1">
      <c r="A510" s="7">
        <v>497.0</v>
      </c>
      <c r="B510" s="14">
        <f t="shared" si="1"/>
        <v>0.119290186</v>
      </c>
      <c r="C510" s="39">
        <f t="array" ref="C510">NPV(B510,FCFF!$C$9:$I$9)+FCFF!$B$9+FCFF!$I$9*(1+Inputs!$B$6)/(B510-Inputs!$B$6)/(1+B510)^7</f>
        <v>-1809.676431</v>
      </c>
    </row>
    <row r="511" ht="14.25" customHeight="1">
      <c r="A511" s="7">
        <v>498.0</v>
      </c>
      <c r="B511" s="14">
        <f t="shared" si="1"/>
        <v>0.09540777115</v>
      </c>
      <c r="C511" s="39">
        <f t="array" ref="C511">NPV(B511,FCFF!$C$9:$I$9)+FCFF!$B$9+FCFF!$I$9*(1+Inputs!$B$6)/(B511-Inputs!$B$6)/(1+B511)^7</f>
        <v>-1244.520213</v>
      </c>
    </row>
    <row r="512" ht="14.25" customHeight="1">
      <c r="A512" s="7">
        <v>499.0</v>
      </c>
      <c r="B512" s="14">
        <f t="shared" si="1"/>
        <v>0.1127145254</v>
      </c>
      <c r="C512" s="39">
        <f t="array" ref="C512">NPV(B512,FCFF!$C$9:$I$9)+FCFF!$B$9+FCFF!$I$9*(1+Inputs!$B$6)/(B512-Inputs!$B$6)/(1+B512)^7</f>
        <v>-1687.507358</v>
      </c>
    </row>
    <row r="513" ht="14.25" customHeight="1">
      <c r="A513" s="7">
        <v>500.0</v>
      </c>
      <c r="B513" s="14">
        <f t="shared" si="1"/>
        <v>0.1025311681</v>
      </c>
      <c r="C513" s="39">
        <f t="array" ref="C513">NPV(B513,FCFF!$C$9:$I$9)+FCFF!$B$9+FCFF!$I$9*(1+Inputs!$B$6)/(B513-Inputs!$B$6)/(1+B513)^7</f>
        <v>-1452.836283</v>
      </c>
    </row>
    <row r="514" ht="14.25" customHeight="1">
      <c r="A514" s="7">
        <v>501.0</v>
      </c>
      <c r="B514" s="14">
        <f t="shared" si="1"/>
        <v>0.1125533752</v>
      </c>
      <c r="C514" s="39">
        <f t="array" ref="C514">NPV(B514,FCFF!$C$9:$I$9)+FCFF!$B$9+FCFF!$I$9*(1+Inputs!$B$6)/(B514-Inputs!$B$6)/(1+B514)^7</f>
        <v>-1684.257671</v>
      </c>
    </row>
    <row r="515" ht="14.25" customHeight="1">
      <c r="A515" s="7">
        <v>502.0</v>
      </c>
      <c r="B515" s="14">
        <f t="shared" si="1"/>
        <v>0.1064328989</v>
      </c>
      <c r="C515" s="39">
        <f t="array" ref="C515">NPV(B515,FCFF!$C$9:$I$9)+FCFF!$B$9+FCFF!$I$9*(1+Inputs!$B$6)/(B515-Inputs!$B$6)/(1+B515)^7</f>
        <v>-1550.327049</v>
      </c>
    </row>
    <row r="516" ht="14.25" customHeight="1">
      <c r="A516" s="7">
        <v>503.0</v>
      </c>
      <c r="B516" s="14">
        <f t="shared" si="1"/>
        <v>0.1268638425</v>
      </c>
      <c r="C516" s="39">
        <f t="array" ref="C516">NPV(B516,FCFF!$C$9:$I$9)+FCFF!$B$9+FCFF!$I$9*(1+Inputs!$B$6)/(B516-Inputs!$B$6)/(1+B516)^7</f>
        <v>-1928.751331</v>
      </c>
    </row>
    <row r="517" ht="14.25" customHeight="1">
      <c r="A517" s="7">
        <v>504.0</v>
      </c>
      <c r="B517" s="14">
        <f t="shared" si="1"/>
        <v>0.1264489028</v>
      </c>
      <c r="C517" s="39">
        <f t="array" ref="C517">NPV(B517,FCFF!$C$9:$I$9)+FCFF!$B$9+FCFF!$I$9*(1+Inputs!$B$6)/(B517-Inputs!$B$6)/(1+B517)^7</f>
        <v>-1922.744612</v>
      </c>
    </row>
    <row r="518" ht="14.25" customHeight="1">
      <c r="A518" s="7">
        <v>505.0</v>
      </c>
      <c r="B518" s="14">
        <f t="shared" si="1"/>
        <v>0.1091941877</v>
      </c>
      <c r="C518" s="39">
        <f t="array" ref="C518">NPV(B518,FCFF!$C$9:$I$9)+FCFF!$B$9+FCFF!$I$9*(1+Inputs!$B$6)/(B518-Inputs!$B$6)/(1+B518)^7</f>
        <v>-1613.393272</v>
      </c>
    </row>
    <row r="519" ht="14.25" customHeight="1">
      <c r="A519" s="7">
        <v>506.0</v>
      </c>
      <c r="B519" s="14">
        <f t="shared" si="1"/>
        <v>0.09337570606</v>
      </c>
      <c r="C519" s="39">
        <f t="array" ref="C519">NPV(B519,FCFF!$C$9:$I$9)+FCFF!$B$9+FCFF!$I$9*(1+Inputs!$B$6)/(B519-Inputs!$B$6)/(1+B519)^7</f>
        <v>-1176.52351</v>
      </c>
    </row>
    <row r="520" ht="14.25" customHeight="1">
      <c r="A520" s="7">
        <v>507.0</v>
      </c>
      <c r="B520" s="14">
        <f t="shared" si="1"/>
        <v>0.104138308</v>
      </c>
      <c r="C520" s="39">
        <f t="array" ref="C520">NPV(B520,FCFF!$C$9:$I$9)+FCFF!$B$9+FCFF!$I$9*(1+Inputs!$B$6)/(B520-Inputs!$B$6)/(1+B520)^7</f>
        <v>-1494.258386</v>
      </c>
    </row>
    <row r="521" ht="14.25" customHeight="1">
      <c r="A521" s="7">
        <v>508.0</v>
      </c>
      <c r="B521" s="14">
        <f t="shared" si="1"/>
        <v>0.1039576669</v>
      </c>
      <c r="C521" s="39">
        <f t="array" ref="C521">NPV(B521,FCFF!$C$9:$I$9)+FCFF!$B$9+FCFF!$I$9*(1+Inputs!$B$6)/(B521-Inputs!$B$6)/(1+B521)^7</f>
        <v>-1489.693793</v>
      </c>
    </row>
    <row r="522" ht="14.25" customHeight="1">
      <c r="A522" s="7">
        <v>509.0</v>
      </c>
      <c r="B522" s="14">
        <f t="shared" si="1"/>
        <v>0.1145289585</v>
      </c>
      <c r="C522" s="39">
        <f t="array" ref="C522">NPV(B522,FCFF!$C$9:$I$9)+FCFF!$B$9+FCFF!$I$9*(1+Inputs!$B$6)/(B522-Inputs!$B$6)/(1+B522)^7</f>
        <v>-1723.206613</v>
      </c>
    </row>
    <row r="523" ht="14.25" customHeight="1">
      <c r="A523" s="7">
        <v>510.0</v>
      </c>
      <c r="B523" s="14">
        <f t="shared" si="1"/>
        <v>0.1313782508</v>
      </c>
      <c r="C523" s="39">
        <f t="array" ref="C523">NPV(B523,FCFF!$C$9:$I$9)+FCFF!$B$9+FCFF!$I$9*(1+Inputs!$B$6)/(B523-Inputs!$B$6)/(1+B523)^7</f>
        <v>-1990.677995</v>
      </c>
    </row>
    <row r="524" ht="14.25" customHeight="1">
      <c r="A524" s="7">
        <v>511.0</v>
      </c>
      <c r="B524" s="14">
        <f t="shared" si="1"/>
        <v>0.0980989817</v>
      </c>
      <c r="C524" s="39">
        <f t="array" ref="C524">NPV(B524,FCFF!$C$9:$I$9)+FCFF!$B$9+FCFF!$I$9*(1+Inputs!$B$6)/(B524-Inputs!$B$6)/(1+B524)^7</f>
        <v>-1328.358617</v>
      </c>
    </row>
    <row r="525" ht="14.25" customHeight="1">
      <c r="A525" s="7">
        <v>512.0</v>
      </c>
      <c r="B525" s="14">
        <f t="shared" si="1"/>
        <v>0.1167227158</v>
      </c>
      <c r="C525" s="39">
        <f t="array" ref="C525">NPV(B525,FCFF!$C$9:$I$9)+FCFF!$B$9+FCFF!$I$9*(1+Inputs!$B$6)/(B525-Inputs!$B$6)/(1+B525)^7</f>
        <v>-1764.287124</v>
      </c>
    </row>
    <row r="526" ht="14.25" customHeight="1">
      <c r="A526" s="7">
        <v>513.0</v>
      </c>
      <c r="B526" s="14">
        <f t="shared" si="1"/>
        <v>0.1117152052</v>
      </c>
      <c r="C526" s="39">
        <f t="array" ref="C526">NPV(B526,FCFF!$C$9:$I$9)+FCFF!$B$9+FCFF!$I$9*(1+Inputs!$B$6)/(B526-Inputs!$B$6)/(1+B526)^7</f>
        <v>-1667.140716</v>
      </c>
    </row>
    <row r="527" ht="14.25" customHeight="1">
      <c r="A527" s="7">
        <v>514.0</v>
      </c>
      <c r="B527" s="14">
        <f t="shared" si="1"/>
        <v>0.1103769562</v>
      </c>
      <c r="C527" s="39">
        <f t="array" ref="C527">NPV(B527,FCFF!$C$9:$I$9)+FCFF!$B$9+FCFF!$I$9*(1+Inputs!$B$6)/(B527-Inputs!$B$6)/(1+B527)^7</f>
        <v>-1639.043636</v>
      </c>
    </row>
    <row r="528" ht="14.25" customHeight="1">
      <c r="A528" s="7">
        <v>515.0</v>
      </c>
      <c r="B528" s="14">
        <f t="shared" si="1"/>
        <v>0.09421405338</v>
      </c>
      <c r="C528" s="39">
        <f t="array" ref="C528">NPV(B528,FCFF!$C$9:$I$9)+FCFF!$B$9+FCFF!$I$9*(1+Inputs!$B$6)/(B528-Inputs!$B$6)/(1+B528)^7</f>
        <v>-1205.093152</v>
      </c>
    </row>
    <row r="529" ht="14.25" customHeight="1">
      <c r="A529" s="7">
        <v>516.0</v>
      </c>
      <c r="B529" s="14">
        <f t="shared" si="1"/>
        <v>0.1157117873</v>
      </c>
      <c r="C529" s="39">
        <f t="array" ref="C529">NPV(B529,FCFF!$C$9:$I$9)+FCFF!$B$9+FCFF!$I$9*(1+Inputs!$B$6)/(B529-Inputs!$B$6)/(1+B529)^7</f>
        <v>-1745.630005</v>
      </c>
    </row>
    <row r="530" ht="14.25" customHeight="1">
      <c r="A530" s="7">
        <v>517.0</v>
      </c>
      <c r="B530" s="14">
        <f t="shared" si="1"/>
        <v>0.09869895857</v>
      </c>
      <c r="C530" s="39">
        <f t="array" ref="C530">NPV(B530,FCFF!$C$9:$I$9)+FCFF!$B$9+FCFF!$I$9*(1+Inputs!$B$6)/(B530-Inputs!$B$6)/(1+B530)^7</f>
        <v>-1346.154454</v>
      </c>
    </row>
    <row r="531" ht="14.25" customHeight="1">
      <c r="A531" s="7">
        <v>518.0</v>
      </c>
      <c r="B531" s="14">
        <f t="shared" si="1"/>
        <v>0.117244045</v>
      </c>
      <c r="C531" s="39">
        <f t="array" ref="C531">NPV(B531,FCFF!$C$9:$I$9)+FCFF!$B$9+FCFF!$I$9*(1+Inputs!$B$6)/(B531-Inputs!$B$6)/(1+B531)^7</f>
        <v>-1773.731155</v>
      </c>
    </row>
    <row r="532" ht="14.25" customHeight="1">
      <c r="A532" s="7">
        <v>519.0</v>
      </c>
      <c r="B532" s="14">
        <f t="shared" si="1"/>
        <v>0.1142803347</v>
      </c>
      <c r="C532" s="39">
        <f t="array" ref="C532">NPV(B532,FCFF!$C$9:$I$9)+FCFF!$B$9+FCFF!$I$9*(1+Inputs!$B$6)/(B532-Inputs!$B$6)/(1+B532)^7</f>
        <v>-1718.409643</v>
      </c>
    </row>
    <row r="533" ht="14.25" customHeight="1">
      <c r="A533" s="7">
        <v>520.0</v>
      </c>
      <c r="B533" s="14">
        <f t="shared" si="1"/>
        <v>0.1219607479</v>
      </c>
      <c r="C533" s="39">
        <f t="array" ref="C533">NPV(B533,FCFF!$C$9:$I$9)+FCFF!$B$9+FCFF!$I$9*(1+Inputs!$B$6)/(B533-Inputs!$B$6)/(1+B533)^7</f>
        <v>-1854.050634</v>
      </c>
    </row>
    <row r="534" ht="14.25" customHeight="1">
      <c r="A534" s="7">
        <v>521.0</v>
      </c>
      <c r="B534" s="14">
        <f t="shared" si="1"/>
        <v>0.1061568534</v>
      </c>
      <c r="C534" s="39">
        <f t="array" ref="C534">NPV(B534,FCFF!$C$9:$I$9)+FCFF!$B$9+FCFF!$I$9*(1+Inputs!$B$6)/(B534-Inputs!$B$6)/(1+B534)^7</f>
        <v>-1543.76437</v>
      </c>
    </row>
    <row r="535" ht="14.25" customHeight="1">
      <c r="A535" s="7">
        <v>522.0</v>
      </c>
      <c r="B535" s="14">
        <f t="shared" si="1"/>
        <v>0.12896066</v>
      </c>
      <c r="C535" s="39">
        <f t="array" ref="C535">NPV(B535,FCFF!$C$9:$I$9)+FCFF!$B$9+FCFF!$I$9*(1+Inputs!$B$6)/(B535-Inputs!$B$6)/(1+B535)^7</f>
        <v>-1958.27537</v>
      </c>
    </row>
    <row r="536" ht="14.25" customHeight="1">
      <c r="A536" s="7">
        <v>523.0</v>
      </c>
      <c r="B536" s="14">
        <f t="shared" si="1"/>
        <v>0.1002849363</v>
      </c>
      <c r="C536" s="39">
        <f t="array" ref="C536">NPV(B536,FCFF!$C$9:$I$9)+FCFF!$B$9+FCFF!$I$9*(1+Inputs!$B$6)/(B536-Inputs!$B$6)/(1+B536)^7</f>
        <v>-1391.72726</v>
      </c>
    </row>
    <row r="537" ht="14.25" customHeight="1">
      <c r="A537" s="7">
        <v>524.0</v>
      </c>
      <c r="B537" s="14">
        <f t="shared" si="1"/>
        <v>0.1154540491</v>
      </c>
      <c r="C537" s="39">
        <f t="array" ref="C537">NPV(B537,FCFF!$C$9:$I$9)+FCFF!$B$9+FCFF!$I$9*(1+Inputs!$B$6)/(B537-Inputs!$B$6)/(1+B537)^7</f>
        <v>-1740.799291</v>
      </c>
    </row>
    <row r="538" ht="14.25" customHeight="1">
      <c r="A538" s="7">
        <v>525.0</v>
      </c>
      <c r="B538" s="14">
        <f t="shared" si="1"/>
        <v>0.1214195528</v>
      </c>
      <c r="C538" s="39">
        <f t="array" ref="C538">NPV(B538,FCFF!$C$9:$I$9)+FCFF!$B$9+FCFF!$I$9*(1+Inputs!$B$6)/(B538-Inputs!$B$6)/(1+B538)^7</f>
        <v>-1845.280281</v>
      </c>
    </row>
    <row r="539" ht="14.25" customHeight="1">
      <c r="A539" s="7">
        <v>526.0</v>
      </c>
      <c r="B539" s="14">
        <f t="shared" si="1"/>
        <v>0.1060367533</v>
      </c>
      <c r="C539" s="39">
        <f t="array" ref="C539">NPV(B539,FCFF!$C$9:$I$9)+FCFF!$B$9+FCFF!$I$9*(1+Inputs!$B$6)/(B539-Inputs!$B$6)/(1+B539)^7</f>
        <v>-1540.893906</v>
      </c>
    </row>
    <row r="540" ht="14.25" customHeight="1">
      <c r="A540" s="7">
        <v>527.0</v>
      </c>
      <c r="B540" s="14">
        <f t="shared" si="1"/>
        <v>0.09591637229</v>
      </c>
      <c r="C540" s="39">
        <f t="array" ref="C540">NPV(B540,FCFF!$C$9:$I$9)+FCFF!$B$9+FCFF!$I$9*(1+Inputs!$B$6)/(B540-Inputs!$B$6)/(1+B540)^7</f>
        <v>-1260.887596</v>
      </c>
    </row>
    <row r="541" ht="14.25" customHeight="1">
      <c r="A541" s="7">
        <v>528.0</v>
      </c>
      <c r="B541" s="14">
        <f t="shared" si="1"/>
        <v>0.1197139959</v>
      </c>
      <c r="C541" s="39">
        <f t="array" ref="C541">NPV(B541,FCFF!$C$9:$I$9)+FCFF!$B$9+FCFF!$I$9*(1+Inputs!$B$6)/(B541-Inputs!$B$6)/(1+B541)^7</f>
        <v>-1816.905424</v>
      </c>
    </row>
    <row r="542" ht="14.25" customHeight="1">
      <c r="A542" s="7">
        <v>529.0</v>
      </c>
      <c r="B542" s="14">
        <f t="shared" si="1"/>
        <v>0.09637088368</v>
      </c>
      <c r="C542" s="39">
        <f t="array" ref="C542">NPV(B542,FCFF!$C$9:$I$9)+FCFF!$B$9+FCFF!$I$9*(1+Inputs!$B$6)/(B542-Inputs!$B$6)/(1+B542)^7</f>
        <v>-1275.30299</v>
      </c>
    </row>
    <row r="543" ht="14.25" customHeight="1">
      <c r="A543" s="7">
        <v>530.0</v>
      </c>
      <c r="B543" s="14">
        <f t="shared" si="1"/>
        <v>0.121213152</v>
      </c>
      <c r="C543" s="39">
        <f t="array" ref="C543">NPV(B543,FCFF!$C$9:$I$9)+FCFF!$B$9+FCFF!$I$9*(1+Inputs!$B$6)/(B543-Inputs!$B$6)/(1+B543)^7</f>
        <v>-1841.906304</v>
      </c>
    </row>
    <row r="544" ht="14.25" customHeight="1">
      <c r="A544" s="7">
        <v>531.0</v>
      </c>
      <c r="B544" s="14">
        <f t="shared" si="1"/>
        <v>0.09506712695</v>
      </c>
      <c r="C544" s="39">
        <f t="array" ref="C544">NPV(B544,FCFF!$C$9:$I$9)+FCFF!$B$9+FCFF!$I$9*(1+Inputs!$B$6)/(B544-Inputs!$B$6)/(1+B544)^7</f>
        <v>-1233.415607</v>
      </c>
    </row>
    <row r="545" ht="14.25" customHeight="1">
      <c r="A545" s="7">
        <v>532.0</v>
      </c>
      <c r="B545" s="14">
        <f t="shared" si="1"/>
        <v>0.09863813192</v>
      </c>
      <c r="C545" s="39">
        <f t="array" ref="C545">NPV(B545,FCFF!$C$9:$I$9)+FCFF!$B$9+FCFF!$I$9*(1+Inputs!$B$6)/(B545-Inputs!$B$6)/(1+B545)^7</f>
        <v>-1344.364489</v>
      </c>
    </row>
    <row r="546" ht="14.25" customHeight="1">
      <c r="A546" s="7">
        <v>533.0</v>
      </c>
      <c r="B546" s="14">
        <f t="shared" si="1"/>
        <v>0.1165748888</v>
      </c>
      <c r="C546" s="39">
        <f t="array" ref="C546">NPV(B546,FCFF!$C$9:$I$9)+FCFF!$B$9+FCFF!$I$9*(1+Inputs!$B$6)/(B546-Inputs!$B$6)/(1+B546)^7</f>
        <v>-1761.587447</v>
      </c>
    </row>
    <row r="547" ht="14.25" customHeight="1">
      <c r="A547" s="7">
        <v>534.0</v>
      </c>
      <c r="B547" s="14">
        <f t="shared" si="1"/>
        <v>0.1205515101</v>
      </c>
      <c r="C547" s="39">
        <f t="array" ref="C547">NPV(B547,FCFF!$C$9:$I$9)+FCFF!$B$9+FCFF!$I$9*(1+Inputs!$B$6)/(B547-Inputs!$B$6)/(1+B547)^7</f>
        <v>-1830.980525</v>
      </c>
    </row>
    <row r="548" ht="14.25" customHeight="1">
      <c r="A548" s="7">
        <v>535.0</v>
      </c>
      <c r="B548" s="14">
        <f t="shared" si="1"/>
        <v>0.1240525362</v>
      </c>
      <c r="C548" s="39">
        <f t="array" ref="C548">NPV(B548,FCFF!$C$9:$I$9)+FCFF!$B$9+FCFF!$I$9*(1+Inputs!$B$6)/(B548-Inputs!$B$6)/(1+B548)^7</f>
        <v>-1886.939352</v>
      </c>
    </row>
    <row r="549" ht="14.25" customHeight="1">
      <c r="A549" s="7">
        <v>536.0</v>
      </c>
      <c r="B549" s="14">
        <f t="shared" si="1"/>
        <v>0.1073193571</v>
      </c>
      <c r="C549" s="39">
        <f t="array" ref="C549">NPV(B549,FCFF!$C$9:$I$9)+FCFF!$B$9+FCFF!$I$9*(1+Inputs!$B$6)/(B549-Inputs!$B$6)/(1+B549)^7</f>
        <v>-1571.077254</v>
      </c>
    </row>
    <row r="550" ht="14.25" customHeight="1">
      <c r="A550" s="7">
        <v>537.0</v>
      </c>
      <c r="B550" s="14">
        <f t="shared" si="1"/>
        <v>0.1143907992</v>
      </c>
      <c r="C550" s="39">
        <f t="array" ref="C550">NPV(B550,FCFF!$C$9:$I$9)+FCFF!$B$9+FCFF!$I$9*(1+Inputs!$B$6)/(B550-Inputs!$B$6)/(1+B550)^7</f>
        <v>-1720.544599</v>
      </c>
    </row>
    <row r="551" ht="14.25" customHeight="1">
      <c r="A551" s="7">
        <v>538.0</v>
      </c>
      <c r="B551" s="14">
        <f t="shared" si="1"/>
        <v>0.1323381681</v>
      </c>
      <c r="C551" s="39">
        <f t="array" ref="C551">NPV(B551,FCFF!$C$9:$I$9)+FCFF!$B$9+FCFF!$I$9*(1+Inputs!$B$6)/(B551-Inputs!$B$6)/(1+B551)^7</f>
        <v>-2003.082421</v>
      </c>
    </row>
    <row r="552" ht="14.25" customHeight="1">
      <c r="A552" s="7">
        <v>539.0</v>
      </c>
      <c r="B552" s="14">
        <f t="shared" si="1"/>
        <v>0.1079036504</v>
      </c>
      <c r="C552" s="39">
        <f t="array" ref="C552">NPV(B552,FCFF!$C$9:$I$9)+FCFF!$B$9+FCFF!$I$9*(1+Inputs!$B$6)/(B552-Inputs!$B$6)/(1+B552)^7</f>
        <v>-1584.489662</v>
      </c>
    </row>
    <row r="553" ht="14.25" customHeight="1">
      <c r="A553" s="7">
        <v>540.0</v>
      </c>
      <c r="B553" s="14">
        <f t="shared" si="1"/>
        <v>0.1200287097</v>
      </c>
      <c r="C553" s="39">
        <f t="array" ref="C553">NPV(B553,FCFF!$C$9:$I$9)+FCFF!$B$9+FCFF!$I$9*(1+Inputs!$B$6)/(B553-Inputs!$B$6)/(1+B553)^7</f>
        <v>-1822.226972</v>
      </c>
    </row>
    <row r="554" ht="14.25" customHeight="1">
      <c r="A554" s="7">
        <v>541.0</v>
      </c>
      <c r="B554" s="14">
        <f t="shared" si="1"/>
        <v>0.1005937533</v>
      </c>
      <c r="C554" s="39">
        <f t="array" ref="C554">NPV(B554,FCFF!$C$9:$I$9)+FCFF!$B$9+FCFF!$I$9*(1+Inputs!$B$6)/(B554-Inputs!$B$6)/(1+B554)^7</f>
        <v>-1400.361445</v>
      </c>
    </row>
    <row r="555" ht="14.25" customHeight="1">
      <c r="A555" s="7">
        <v>542.0</v>
      </c>
      <c r="B555" s="14">
        <f t="shared" si="1"/>
        <v>0.09379826825</v>
      </c>
      <c r="C555" s="39">
        <f t="array" ref="C555">NPV(B555,FCFF!$C$9:$I$9)+FCFF!$B$9+FCFF!$I$9*(1+Inputs!$B$6)/(B555-Inputs!$B$6)/(1+B555)^7</f>
        <v>-1191.01671</v>
      </c>
    </row>
    <row r="556" ht="14.25" customHeight="1">
      <c r="A556" s="7">
        <v>543.0</v>
      </c>
      <c r="B556" s="14">
        <f t="shared" si="1"/>
        <v>0.1209745604</v>
      </c>
      <c r="C556" s="39">
        <f t="array" ref="C556">NPV(B556,FCFF!$C$9:$I$9)+FCFF!$B$9+FCFF!$I$9*(1+Inputs!$B$6)/(B556-Inputs!$B$6)/(1+B556)^7</f>
        <v>-1837.985851</v>
      </c>
    </row>
    <row r="557" ht="14.25" customHeight="1">
      <c r="A557" s="7">
        <v>544.0</v>
      </c>
      <c r="B557" s="14">
        <f t="shared" si="1"/>
        <v>0.09623606655</v>
      </c>
      <c r="C557" s="39">
        <f t="array" ref="C557">NPV(B557,FCFF!$C$9:$I$9)+FCFF!$B$9+FCFF!$I$9*(1+Inputs!$B$6)/(B557-Inputs!$B$6)/(1+B557)^7</f>
        <v>-1271.047659</v>
      </c>
    </row>
    <row r="558" ht="14.25" customHeight="1">
      <c r="A558" s="7">
        <v>545.0</v>
      </c>
      <c r="B558" s="14">
        <f t="shared" si="1"/>
        <v>0.1270268936</v>
      </c>
      <c r="C558" s="39">
        <f t="array" ref="C558">NPV(B558,FCFF!$C$9:$I$9)+FCFF!$B$9+FCFF!$I$9*(1+Inputs!$B$6)/(B558-Inputs!$B$6)/(1+B558)^7</f>
        <v>-1931.096544</v>
      </c>
    </row>
    <row r="559" ht="14.25" customHeight="1">
      <c r="A559" s="7">
        <v>546.0</v>
      </c>
      <c r="B559" s="14">
        <f t="shared" si="1"/>
        <v>0.1164367611</v>
      </c>
      <c r="C559" s="39">
        <f t="array" ref="C559">NPV(B559,FCFF!$C$9:$I$9)+FCFF!$B$9+FCFF!$I$9*(1+Inputs!$B$6)/(B559-Inputs!$B$6)/(1+B559)^7</f>
        <v>-1759.056139</v>
      </c>
    </row>
    <row r="560" ht="14.25" customHeight="1">
      <c r="A560" s="7">
        <v>547.0</v>
      </c>
      <c r="B560" s="14">
        <f t="shared" si="1"/>
        <v>0.09823747388</v>
      </c>
      <c r="C560" s="39">
        <f t="array" ref="C560">NPV(B560,FCFF!$C$9:$I$9)+FCFF!$B$9+FCFF!$I$9*(1+Inputs!$B$6)/(B560-Inputs!$B$6)/(1+B560)^7</f>
        <v>-1332.494256</v>
      </c>
    </row>
    <row r="561" ht="14.25" customHeight="1">
      <c r="A561" s="7">
        <v>548.0</v>
      </c>
      <c r="B561" s="14">
        <f t="shared" si="1"/>
        <v>0.09948929817</v>
      </c>
      <c r="C561" s="39">
        <f t="array" ref="C561">NPV(B561,FCFF!$C$9:$I$9)+FCFF!$B$9+FCFF!$I$9*(1+Inputs!$B$6)/(B561-Inputs!$B$6)/(1+B561)^7</f>
        <v>-1369.126099</v>
      </c>
    </row>
    <row r="562" ht="14.25" customHeight="1">
      <c r="A562" s="7">
        <v>549.0</v>
      </c>
      <c r="B562" s="14">
        <f t="shared" si="1"/>
        <v>0.1170682932</v>
      </c>
      <c r="C562" s="39">
        <f t="array" ref="C562">NPV(B562,FCFF!$C$9:$I$9)+FCFF!$B$9+FCFF!$I$9*(1+Inputs!$B$6)/(B562-Inputs!$B$6)/(1+B562)^7</f>
        <v>-1770.560639</v>
      </c>
    </row>
    <row r="563" ht="14.25" customHeight="1">
      <c r="A563" s="7">
        <v>550.0</v>
      </c>
      <c r="B563" s="14">
        <f t="shared" si="1"/>
        <v>0.1178932852</v>
      </c>
      <c r="C563" s="39">
        <f t="array" ref="C563">NPV(B563,FCFF!$C$9:$I$9)+FCFF!$B$9+FCFF!$I$9*(1+Inputs!$B$6)/(B563-Inputs!$B$6)/(1+B563)^7</f>
        <v>-1785.327656</v>
      </c>
    </row>
    <row r="564" ht="14.25" customHeight="1">
      <c r="A564" s="7">
        <v>551.0</v>
      </c>
      <c r="B564" s="14">
        <f t="shared" si="1"/>
        <v>0.1060216466</v>
      </c>
      <c r="C564" s="39">
        <f t="array" ref="C564">NPV(B564,FCFF!$C$9:$I$9)+FCFF!$B$9+FCFF!$I$9*(1+Inputs!$B$6)/(B564-Inputs!$B$6)/(1+B564)^7</f>
        <v>-1540.532189</v>
      </c>
    </row>
    <row r="565" ht="14.25" customHeight="1">
      <c r="A565" s="7">
        <v>552.0</v>
      </c>
      <c r="B565" s="14">
        <f t="shared" si="1"/>
        <v>0.0941677731</v>
      </c>
      <c r="C565" s="39">
        <f t="array" ref="C565">NPV(B565,FCFF!$C$9:$I$9)+FCFF!$B$9+FCFF!$I$9*(1+Inputs!$B$6)/(B565-Inputs!$B$6)/(1+B565)^7</f>
        <v>-1203.535267</v>
      </c>
    </row>
    <row r="566" ht="14.25" customHeight="1">
      <c r="A566" s="7">
        <v>553.0</v>
      </c>
      <c r="B566" s="14">
        <f t="shared" si="1"/>
        <v>0.1112039663</v>
      </c>
      <c r="C566" s="39">
        <f t="array" ref="C566">NPV(B566,FCFF!$C$9:$I$9)+FCFF!$B$9+FCFF!$I$9*(1+Inputs!$B$6)/(B566-Inputs!$B$6)/(1+B566)^7</f>
        <v>-1656.520245</v>
      </c>
    </row>
    <row r="567" ht="14.25" customHeight="1">
      <c r="A567" s="7">
        <v>554.0</v>
      </c>
      <c r="B567" s="14">
        <f t="shared" si="1"/>
        <v>0.1115181733</v>
      </c>
      <c r="C567" s="39">
        <f t="array" ref="C567">NPV(B567,FCFF!$C$9:$I$9)+FCFF!$B$9+FCFF!$I$9*(1+Inputs!$B$6)/(B567-Inputs!$B$6)/(1+B567)^7</f>
        <v>-1663.063931</v>
      </c>
    </row>
    <row r="568" ht="14.25" customHeight="1">
      <c r="A568" s="7">
        <v>555.0</v>
      </c>
      <c r="B568" s="14">
        <f t="shared" si="1"/>
        <v>0.1195850868</v>
      </c>
      <c r="C568" s="39">
        <f t="array" ref="C568">NPV(B568,FCFF!$C$9:$I$9)+FCFF!$B$9+FCFF!$I$9*(1+Inputs!$B$6)/(B568-Inputs!$B$6)/(1+B568)^7</f>
        <v>-1814.714257</v>
      </c>
    </row>
    <row r="569" ht="14.25" customHeight="1">
      <c r="A569" s="7">
        <v>556.0</v>
      </c>
      <c r="B569" s="14">
        <f t="shared" si="1"/>
        <v>0.1315713722</v>
      </c>
      <c r="C569" s="39">
        <f t="array" ref="C569">NPV(B569,FCFF!$C$9:$I$9)+FCFF!$B$9+FCFF!$I$9*(1+Inputs!$B$6)/(B569-Inputs!$B$6)/(1+B569)^7</f>
        <v>-1993.194122</v>
      </c>
    </row>
    <row r="570" ht="14.25" customHeight="1">
      <c r="A570" s="7">
        <v>557.0</v>
      </c>
      <c r="B570" s="14">
        <f t="shared" si="1"/>
        <v>0.1317560394</v>
      </c>
      <c r="C570" s="39">
        <f t="array" ref="C570">NPV(B570,FCFF!$C$9:$I$9)+FCFF!$B$9+FCFF!$I$9*(1+Inputs!$B$6)/(B570-Inputs!$B$6)/(1+B570)^7</f>
        <v>-1995.590373</v>
      </c>
    </row>
    <row r="571" ht="14.25" customHeight="1">
      <c r="A571" s="7">
        <v>558.0</v>
      </c>
      <c r="B571" s="14">
        <f t="shared" si="1"/>
        <v>0.1044471942</v>
      </c>
      <c r="C571" s="39">
        <f t="array" ref="C571">NPV(B571,FCFF!$C$9:$I$9)+FCFF!$B$9+FCFF!$I$9*(1+Inputs!$B$6)/(B571-Inputs!$B$6)/(1+B571)^7</f>
        <v>-1502.011368</v>
      </c>
    </row>
    <row r="572" ht="14.25" customHeight="1">
      <c r="A572" s="7">
        <v>559.0</v>
      </c>
      <c r="B572" s="14">
        <f t="shared" si="1"/>
        <v>0.129790758</v>
      </c>
      <c r="C572" s="39">
        <f t="array" ref="C572">NPV(B572,FCFF!$C$9:$I$9)+FCFF!$B$9+FCFF!$I$9*(1+Inputs!$B$6)/(B572-Inputs!$B$6)/(1+B572)^7</f>
        <v>-1969.593181</v>
      </c>
    </row>
    <row r="573" ht="14.25" customHeight="1">
      <c r="A573" s="7">
        <v>560.0</v>
      </c>
      <c r="B573" s="14">
        <f t="shared" si="1"/>
        <v>0.1195015148</v>
      </c>
      <c r="C573" s="39">
        <f t="array" ref="C573">NPV(B573,FCFF!$C$9:$I$9)+FCFF!$B$9+FCFF!$I$9*(1+Inputs!$B$6)/(B573-Inputs!$B$6)/(1+B573)^7</f>
        <v>-1813.290149</v>
      </c>
    </row>
    <row r="574" ht="14.25" customHeight="1">
      <c r="A574" s="7">
        <v>561.0</v>
      </c>
      <c r="B574" s="14">
        <f t="shared" si="1"/>
        <v>0.0938229648</v>
      </c>
      <c r="C574" s="39">
        <f t="array" ref="C574">NPV(B574,FCFF!$C$9:$I$9)+FCFF!$B$9+FCFF!$I$9*(1+Inputs!$B$6)/(B574-Inputs!$B$6)/(1+B574)^7</f>
        <v>-1191.857887</v>
      </c>
    </row>
    <row r="575" ht="14.25" customHeight="1">
      <c r="A575" s="7">
        <v>562.0</v>
      </c>
      <c r="B575" s="14">
        <f t="shared" si="1"/>
        <v>0.1107729138</v>
      </c>
      <c r="C575" s="39">
        <f t="array" ref="C575">NPV(B575,FCFF!$C$9:$I$9)+FCFF!$B$9+FCFF!$I$9*(1+Inputs!$B$6)/(B575-Inputs!$B$6)/(1+B575)^7</f>
        <v>-1647.457328</v>
      </c>
    </row>
    <row r="576" ht="14.25" customHeight="1">
      <c r="A576" s="7">
        <v>563.0</v>
      </c>
      <c r="B576" s="14">
        <f t="shared" si="1"/>
        <v>0.1022918207</v>
      </c>
      <c r="C576" s="39">
        <f t="array" ref="C576">NPV(B576,FCFF!$C$9:$I$9)+FCFF!$B$9+FCFF!$I$9*(1+Inputs!$B$6)/(B576-Inputs!$B$6)/(1+B576)^7</f>
        <v>-1446.507538</v>
      </c>
    </row>
    <row r="577" ht="14.25" customHeight="1">
      <c r="A577" s="7">
        <v>564.0</v>
      </c>
      <c r="B577" s="14">
        <f t="shared" si="1"/>
        <v>0.1284360074</v>
      </c>
      <c r="C577" s="39">
        <f t="array" ref="C577">NPV(B577,FCFF!$C$9:$I$9)+FCFF!$B$9+FCFF!$I$9*(1+Inputs!$B$6)/(B577-Inputs!$B$6)/(1+B577)^7</f>
        <v>-1951.015448</v>
      </c>
    </row>
    <row r="578" ht="14.25" customHeight="1">
      <c r="A578" s="7">
        <v>565.0</v>
      </c>
      <c r="B578" s="14">
        <f t="shared" si="1"/>
        <v>0.09874647715</v>
      </c>
      <c r="C578" s="39">
        <f t="array" ref="C578">NPV(B578,FCFF!$C$9:$I$9)+FCFF!$B$9+FCFF!$I$9*(1+Inputs!$B$6)/(B578-Inputs!$B$6)/(1+B578)^7</f>
        <v>-1347.550588</v>
      </c>
    </row>
    <row r="579" ht="14.25" customHeight="1">
      <c r="A579" s="7">
        <v>566.0</v>
      </c>
      <c r="B579" s="14">
        <f t="shared" si="1"/>
        <v>0.1184809019</v>
      </c>
      <c r="C579" s="39">
        <f t="array" ref="C579">NPV(B579,FCFF!$C$9:$I$9)+FCFF!$B$9+FCFF!$I$9*(1+Inputs!$B$6)/(B579-Inputs!$B$6)/(1+B579)^7</f>
        <v>-1795.66899</v>
      </c>
    </row>
    <row r="580" ht="14.25" customHeight="1">
      <c r="A580" s="7">
        <v>567.0</v>
      </c>
      <c r="B580" s="14">
        <f t="shared" si="1"/>
        <v>0.1200132741</v>
      </c>
      <c r="C580" s="39">
        <f t="array" ref="C580">NPV(B580,FCFF!$C$9:$I$9)+FCFF!$B$9+FCFF!$I$9*(1+Inputs!$B$6)/(B580-Inputs!$B$6)/(1+B580)^7</f>
        <v>-1821.966888</v>
      </c>
    </row>
    <row r="581" ht="14.25" customHeight="1">
      <c r="A581" s="7">
        <v>568.0</v>
      </c>
      <c r="B581" s="14">
        <f t="shared" si="1"/>
        <v>0.1025948299</v>
      </c>
      <c r="C581" s="39">
        <f t="array" ref="C581">NPV(B581,FCFF!$C$9:$I$9)+FCFF!$B$9+FCFF!$I$9*(1+Inputs!$B$6)/(B581-Inputs!$B$6)/(1+B581)^7</f>
        <v>-1454.512488</v>
      </c>
    </row>
    <row r="582" ht="14.25" customHeight="1">
      <c r="A582" s="7">
        <v>569.0</v>
      </c>
      <c r="B582" s="14">
        <f t="shared" si="1"/>
        <v>0.1219277988</v>
      </c>
      <c r="C582" s="39">
        <f t="array" ref="C582">NPV(B582,FCFF!$C$9:$I$9)+FCFF!$B$9+FCFF!$I$9*(1+Inputs!$B$6)/(B582-Inputs!$B$6)/(1+B582)^7</f>
        <v>-1853.519815</v>
      </c>
    </row>
    <row r="583" ht="14.25" customHeight="1">
      <c r="A583" s="7">
        <v>570.0</v>
      </c>
      <c r="B583" s="14">
        <f t="shared" si="1"/>
        <v>0.1171392966</v>
      </c>
      <c r="C583" s="39">
        <f t="array" ref="C583">NPV(B583,FCFF!$C$9:$I$9)+FCFF!$B$9+FCFF!$I$9*(1+Inputs!$B$6)/(B583-Inputs!$B$6)/(1+B583)^7</f>
        <v>-1771.84314</v>
      </c>
    </row>
    <row r="584" ht="14.25" customHeight="1">
      <c r="A584" s="7">
        <v>571.0</v>
      </c>
      <c r="B584" s="14">
        <f t="shared" si="1"/>
        <v>0.1133501515</v>
      </c>
      <c r="C584" s="39">
        <f t="array" ref="C584">NPV(B584,FCFF!$C$9:$I$9)+FCFF!$B$9+FCFF!$I$9*(1+Inputs!$B$6)/(B584-Inputs!$B$6)/(1+B584)^7</f>
        <v>-1700.197698</v>
      </c>
    </row>
    <row r="585" ht="14.25" customHeight="1">
      <c r="A585" s="7">
        <v>572.0</v>
      </c>
      <c r="B585" s="14">
        <f t="shared" si="1"/>
        <v>0.115639286</v>
      </c>
      <c r="C585" s="39">
        <f t="array" ref="C585">NPV(B585,FCFF!$C$9:$I$9)+FCFF!$B$9+FCFF!$I$9*(1+Inputs!$B$6)/(B585-Inputs!$B$6)/(1+B585)^7</f>
        <v>-1744.274212</v>
      </c>
    </row>
    <row r="586" ht="14.25" customHeight="1">
      <c r="A586" s="7">
        <v>573.0</v>
      </c>
      <c r="B586" s="14">
        <f t="shared" si="1"/>
        <v>0.1085734191</v>
      </c>
      <c r="C586" s="39">
        <f t="array" ref="C586">NPV(B586,FCFF!$C$9:$I$9)+FCFF!$B$9+FCFF!$I$9*(1+Inputs!$B$6)/(B586-Inputs!$B$6)/(1+B586)^7</f>
        <v>-1599.612123</v>
      </c>
    </row>
    <row r="587" ht="14.25" customHeight="1">
      <c r="A587" s="7">
        <v>574.0</v>
      </c>
      <c r="B587" s="14">
        <f t="shared" si="1"/>
        <v>0.09790057606</v>
      </c>
      <c r="C587" s="39">
        <f t="array" ref="C587">NPV(B587,FCFF!$C$9:$I$9)+FCFF!$B$9+FCFF!$I$9*(1+Inputs!$B$6)/(B587-Inputs!$B$6)/(1+B587)^7</f>
        <v>-1322.404412</v>
      </c>
    </row>
    <row r="588" ht="14.25" customHeight="1">
      <c r="A588" s="7">
        <v>575.0</v>
      </c>
      <c r="B588" s="14">
        <f t="shared" si="1"/>
        <v>0.1223852599</v>
      </c>
      <c r="C588" s="39">
        <f t="array" ref="C588">NPV(B588,FCFF!$C$9:$I$9)+FCFF!$B$9+FCFF!$I$9*(1+Inputs!$B$6)/(B588-Inputs!$B$6)/(1+B588)^7</f>
        <v>-1860.853598</v>
      </c>
    </row>
    <row r="589" ht="14.25" customHeight="1">
      <c r="A589" s="7">
        <v>576.0</v>
      </c>
      <c r="B589" s="14">
        <f t="shared" si="1"/>
        <v>0.09844227538</v>
      </c>
      <c r="C589" s="39">
        <f t="array" ref="C589">NPV(B589,FCFF!$C$9:$I$9)+FCFF!$B$9+FCFF!$I$9*(1+Inputs!$B$6)/(B589-Inputs!$B$6)/(1+B589)^7</f>
        <v>-1338.579282</v>
      </c>
    </row>
    <row r="590" ht="14.25" customHeight="1">
      <c r="A590" s="7">
        <v>577.0</v>
      </c>
      <c r="B590" s="14">
        <f t="shared" si="1"/>
        <v>0.09895858377</v>
      </c>
      <c r="C590" s="39">
        <f t="array" ref="C590">NPV(B590,FCFF!$C$9:$I$9)+FCFF!$B$9+FCFF!$I$9*(1+Inputs!$B$6)/(B590-Inputs!$B$6)/(1+B590)^7</f>
        <v>-1353.758908</v>
      </c>
    </row>
    <row r="591" ht="14.25" customHeight="1">
      <c r="A591" s="7">
        <v>578.0</v>
      </c>
      <c r="B591" s="14">
        <f t="shared" si="1"/>
        <v>0.118194682</v>
      </c>
      <c r="C591" s="39">
        <f t="array" ref="C591">NPV(B591,FCFF!$C$9:$I$9)+FCFF!$B$9+FCFF!$I$9*(1+Inputs!$B$6)/(B591-Inputs!$B$6)/(1+B591)^7</f>
        <v>-1790.650014</v>
      </c>
    </row>
    <row r="592" ht="14.25" customHeight="1">
      <c r="A592" s="7">
        <v>579.0</v>
      </c>
      <c r="B592" s="14">
        <f t="shared" si="1"/>
        <v>0.1215622471</v>
      </c>
      <c r="C592" s="39">
        <f t="array" ref="C592">NPV(B592,FCFF!$C$9:$I$9)+FCFF!$B$9+FCFF!$I$9*(1+Inputs!$B$6)/(B592-Inputs!$B$6)/(1+B592)^7</f>
        <v>-1847.603418</v>
      </c>
    </row>
    <row r="593" ht="14.25" customHeight="1">
      <c r="A593" s="7">
        <v>580.0</v>
      </c>
      <c r="B593" s="14">
        <f t="shared" si="1"/>
        <v>0.1103127261</v>
      </c>
      <c r="C593" s="39">
        <f t="array" ref="C593">NPV(B593,FCFF!$C$9:$I$9)+FCFF!$B$9+FCFF!$I$9*(1+Inputs!$B$6)/(B593-Inputs!$B$6)/(1+B593)^7</f>
        <v>-1637.670724</v>
      </c>
    </row>
    <row r="594" ht="14.25" customHeight="1">
      <c r="A594" s="7">
        <v>581.0</v>
      </c>
      <c r="B594" s="14">
        <f t="shared" si="1"/>
        <v>0.09905443186</v>
      </c>
      <c r="C594" s="39">
        <f t="array" ref="C594">NPV(B594,FCFF!$C$9:$I$9)+FCFF!$B$9+FCFF!$I$9*(1+Inputs!$B$6)/(B594-Inputs!$B$6)/(1+B594)^7</f>
        <v>-1356.551806</v>
      </c>
    </row>
    <row r="595" ht="14.25" customHeight="1">
      <c r="A595" s="7">
        <v>582.0</v>
      </c>
      <c r="B595" s="14">
        <f t="shared" si="1"/>
        <v>0.1205629575</v>
      </c>
      <c r="C595" s="39">
        <f t="array" ref="C595">NPV(B595,FCFF!$C$9:$I$9)+FCFF!$B$9+FCFF!$I$9*(1+Inputs!$B$6)/(B595-Inputs!$B$6)/(1+B595)^7</f>
        <v>-1831.170997</v>
      </c>
    </row>
    <row r="596" ht="14.25" customHeight="1">
      <c r="A596" s="7">
        <v>583.0</v>
      </c>
      <c r="B596" s="14">
        <f t="shared" si="1"/>
        <v>0.1096325998</v>
      </c>
      <c r="C596" s="39">
        <f t="array" ref="C596">NPV(B596,FCFF!$C$9:$I$9)+FCFF!$B$9+FCFF!$I$9*(1+Inputs!$B$6)/(B596-Inputs!$B$6)/(1+B596)^7</f>
        <v>-1622.992711</v>
      </c>
    </row>
    <row r="597" ht="14.25" customHeight="1">
      <c r="A597" s="7">
        <v>584.0</v>
      </c>
      <c r="B597" s="14">
        <f t="shared" si="1"/>
        <v>0.1252525779</v>
      </c>
      <c r="C597" s="39">
        <f t="array" ref="C597">NPV(B597,FCFF!$C$9:$I$9)+FCFF!$B$9+FCFF!$I$9*(1+Inputs!$B$6)/(B597-Inputs!$B$6)/(1+B597)^7</f>
        <v>-1905.111291</v>
      </c>
    </row>
    <row r="598" ht="14.25" customHeight="1">
      <c r="A598" s="7">
        <v>585.0</v>
      </c>
      <c r="B598" s="14">
        <f t="shared" si="1"/>
        <v>0.1128725599</v>
      </c>
      <c r="C598" s="39">
        <f t="array" ref="C598">NPV(B598,FCFF!$C$9:$I$9)+FCFF!$B$9+FCFF!$I$9*(1+Inputs!$B$6)/(B598-Inputs!$B$6)/(1+B598)^7</f>
        <v>-1690.681453</v>
      </c>
    </row>
    <row r="599" ht="14.25" customHeight="1">
      <c r="A599" s="7">
        <v>586.0</v>
      </c>
      <c r="B599" s="14">
        <f t="shared" si="1"/>
        <v>0.1284026778</v>
      </c>
      <c r="C599" s="39">
        <f t="array" ref="C599">NPV(B599,FCFF!$C$9:$I$9)+FCFF!$B$9+FCFF!$I$9*(1+Inputs!$B$6)/(B599-Inputs!$B$6)/(1+B599)^7</f>
        <v>-1950.551419</v>
      </c>
    </row>
    <row r="600" ht="14.25" customHeight="1">
      <c r="A600" s="7">
        <v>587.0</v>
      </c>
      <c r="B600" s="14">
        <f t="shared" si="1"/>
        <v>0.1063279975</v>
      </c>
      <c r="C600" s="39">
        <f t="array" ref="C600">NPV(B600,FCFF!$C$9:$I$9)+FCFF!$B$9+FCFF!$I$9*(1+Inputs!$B$6)/(B600-Inputs!$B$6)/(1+B600)^7</f>
        <v>-1547.838854</v>
      </c>
    </row>
    <row r="601" ht="14.25" customHeight="1">
      <c r="A601" s="7">
        <v>588.0</v>
      </c>
      <c r="B601" s="14">
        <f t="shared" si="1"/>
        <v>0.1212699759</v>
      </c>
      <c r="C601" s="39">
        <f t="array" ref="C601">NPV(B601,FCFF!$C$9:$I$9)+FCFF!$B$9+FCFF!$I$9*(1+Inputs!$B$6)/(B601-Inputs!$B$6)/(1+B601)^7</f>
        <v>-1842.836807</v>
      </c>
    </row>
    <row r="602" ht="14.25" customHeight="1">
      <c r="A602" s="7">
        <v>589.0</v>
      </c>
      <c r="B602" s="14">
        <f t="shared" si="1"/>
        <v>0.09963856014</v>
      </c>
      <c r="C602" s="39">
        <f t="array" ref="C602">NPV(B602,FCFF!$C$9:$I$9)+FCFF!$B$9+FCFF!$I$9*(1+Inputs!$B$6)/(B602-Inputs!$B$6)/(1+B602)^7</f>
        <v>-1373.405675</v>
      </c>
    </row>
    <row r="603" ht="14.25" customHeight="1">
      <c r="A603" s="7">
        <v>590.0</v>
      </c>
      <c r="B603" s="14">
        <f t="shared" si="1"/>
        <v>0.1109622583</v>
      </c>
      <c r="C603" s="39">
        <f t="array" ref="C603">NPV(B603,FCFF!$C$9:$I$9)+FCFF!$B$9+FCFF!$I$9*(1+Inputs!$B$6)/(B603-Inputs!$B$6)/(1+B603)^7</f>
        <v>-1651.450618</v>
      </c>
    </row>
    <row r="604" ht="14.25" customHeight="1">
      <c r="A604" s="7">
        <v>591.0</v>
      </c>
      <c r="B604" s="14">
        <f t="shared" si="1"/>
        <v>0.102092238</v>
      </c>
      <c r="C604" s="39">
        <f t="array" ref="C604">NPV(B604,FCFF!$C$9:$I$9)+FCFF!$B$9+FCFF!$I$9*(1+Inputs!$B$6)/(B604-Inputs!$B$6)/(1+B604)^7</f>
        <v>-1441.197704</v>
      </c>
    </row>
    <row r="605" ht="14.25" customHeight="1">
      <c r="A605" s="7">
        <v>592.0</v>
      </c>
      <c r="B605" s="14">
        <f t="shared" si="1"/>
        <v>0.1134676872</v>
      </c>
      <c r="C605" s="39">
        <f t="array" ref="C605">NPV(B605,FCFF!$C$9:$I$9)+FCFF!$B$9+FCFF!$I$9*(1+Inputs!$B$6)/(B605-Inputs!$B$6)/(1+B605)^7</f>
        <v>-1702.522272</v>
      </c>
    </row>
    <row r="606" ht="14.25" customHeight="1">
      <c r="A606" s="7">
        <v>593.0</v>
      </c>
      <c r="B606" s="14">
        <f t="shared" si="1"/>
        <v>0.1319139374</v>
      </c>
      <c r="C606" s="39">
        <f t="array" ref="C606">NPV(B606,FCFF!$C$9:$I$9)+FCFF!$B$9+FCFF!$I$9*(1+Inputs!$B$6)/(B606-Inputs!$B$6)/(1+B606)^7</f>
        <v>-1997.631759</v>
      </c>
    </row>
    <row r="607" ht="14.25" customHeight="1">
      <c r="A607" s="7">
        <v>594.0</v>
      </c>
      <c r="B607" s="14">
        <f t="shared" si="1"/>
        <v>0.09574754462</v>
      </c>
      <c r="C607" s="39">
        <f t="array" ref="C607">NPV(B607,FCFF!$C$9:$I$9)+FCFF!$B$9+FCFF!$I$9*(1+Inputs!$B$6)/(B607-Inputs!$B$6)/(1+B607)^7</f>
        <v>-1255.48246</v>
      </c>
    </row>
    <row r="608" ht="14.25" customHeight="1">
      <c r="A608" s="7">
        <v>595.0</v>
      </c>
      <c r="B608" s="14">
        <f t="shared" si="1"/>
        <v>0.1183397872</v>
      </c>
      <c r="C608" s="39">
        <f t="array" ref="C608">NPV(B608,FCFF!$C$9:$I$9)+FCFF!$B$9+FCFF!$I$9*(1+Inputs!$B$6)/(B608-Inputs!$B$6)/(1+B608)^7</f>
        <v>-1793.198774</v>
      </c>
    </row>
    <row r="609" ht="14.25" customHeight="1">
      <c r="A609" s="7">
        <v>596.0</v>
      </c>
      <c r="B609" s="14">
        <f t="shared" si="1"/>
        <v>0.1005710337</v>
      </c>
      <c r="C609" s="39">
        <f t="array" ref="C609">NPV(B609,FCFF!$C$9:$I$9)+FCFF!$B$9+FCFF!$I$9*(1+Inputs!$B$6)/(B609-Inputs!$B$6)/(1+B609)^7</f>
        <v>-1399.728824</v>
      </c>
    </row>
    <row r="610" ht="14.25" customHeight="1">
      <c r="A610" s="7">
        <v>597.0</v>
      </c>
      <c r="B610" s="14">
        <f t="shared" si="1"/>
        <v>0.1100435986</v>
      </c>
      <c r="C610" s="39">
        <f t="array" ref="C610">NPV(B610,FCFF!$C$9:$I$9)+FCFF!$B$9+FCFF!$I$9*(1+Inputs!$B$6)/(B610-Inputs!$B$6)/(1+B610)^7</f>
        <v>-1631.893398</v>
      </c>
    </row>
    <row r="611" ht="14.25" customHeight="1">
      <c r="A611" s="7">
        <v>598.0</v>
      </c>
      <c r="B611" s="14">
        <f t="shared" si="1"/>
        <v>0.1285698906</v>
      </c>
      <c r="C611" s="39">
        <f t="array" ref="C611">NPV(B611,FCFF!$C$9:$I$9)+FCFF!$B$9+FCFF!$I$9*(1+Inputs!$B$6)/(B611-Inputs!$B$6)/(1+B611)^7</f>
        <v>-1952.876012</v>
      </c>
    </row>
    <row r="612" ht="14.25" customHeight="1">
      <c r="A612" s="7">
        <v>599.0</v>
      </c>
      <c r="B612" s="14">
        <f t="shared" si="1"/>
        <v>0.1130907945</v>
      </c>
      <c r="C612" s="39">
        <f t="array" ref="C612">NPV(B612,FCFF!$C$9:$I$9)+FCFF!$B$9+FCFF!$I$9*(1+Inputs!$B$6)/(B612-Inputs!$B$6)/(1+B612)^7</f>
        <v>-1695.044009</v>
      </c>
    </row>
    <row r="613" ht="14.25" customHeight="1">
      <c r="A613" s="7">
        <v>600.0</v>
      </c>
      <c r="B613" s="14">
        <f t="shared" si="1"/>
        <v>0.09975496879</v>
      </c>
      <c r="C613" s="39">
        <f t="array" ref="C613">NPV(B613,FCFF!$C$9:$I$9)+FCFF!$B$9+FCFF!$I$9*(1+Inputs!$B$6)/(B613-Inputs!$B$6)/(1+B613)^7</f>
        <v>-1376.730513</v>
      </c>
    </row>
    <row r="614" ht="14.25" customHeight="1">
      <c r="A614" s="7">
        <v>601.0</v>
      </c>
      <c r="B614" s="14">
        <f t="shared" si="1"/>
        <v>0.1138139127</v>
      </c>
      <c r="C614" s="39">
        <f t="array" ref="C614">NPV(B614,FCFF!$C$9:$I$9)+FCFF!$B$9+FCFF!$I$9*(1+Inputs!$B$6)/(B614-Inputs!$B$6)/(1+B614)^7</f>
        <v>-1709.330307</v>
      </c>
    </row>
    <row r="615" ht="14.25" customHeight="1">
      <c r="A615" s="7">
        <v>602.0</v>
      </c>
      <c r="B615" s="14">
        <f t="shared" si="1"/>
        <v>0.1197870602</v>
      </c>
      <c r="C615" s="39">
        <f t="array" ref="C615">NPV(B615,FCFF!$C$9:$I$9)+FCFF!$B$9+FCFF!$I$9*(1+Inputs!$B$6)/(B615-Inputs!$B$6)/(1+B615)^7</f>
        <v>-1818.144401</v>
      </c>
    </row>
    <row r="616" ht="14.25" customHeight="1">
      <c r="A616" s="7">
        <v>603.0</v>
      </c>
      <c r="B616" s="14">
        <f t="shared" si="1"/>
        <v>0.1104652535</v>
      </c>
      <c r="C616" s="39">
        <f t="array" ref="C616">NPV(B616,FCFF!$C$9:$I$9)+FCFF!$B$9+FCFF!$I$9*(1+Inputs!$B$6)/(B616-Inputs!$B$6)/(1+B616)^7</f>
        <v>-1640.92728</v>
      </c>
    </row>
    <row r="617" ht="14.25" customHeight="1">
      <c r="A617" s="7">
        <v>604.0</v>
      </c>
      <c r="B617" s="14">
        <f t="shared" si="1"/>
        <v>0.1260752302</v>
      </c>
      <c r="C617" s="39">
        <f t="array" ref="C617">NPV(B617,FCFF!$C$9:$I$9)+FCFF!$B$9+FCFF!$I$9*(1+Inputs!$B$6)/(B617-Inputs!$B$6)/(1+B617)^7</f>
        <v>-1917.287498</v>
      </c>
    </row>
    <row r="618" ht="14.25" customHeight="1">
      <c r="A618" s="7">
        <v>605.0</v>
      </c>
      <c r="B618" s="14">
        <f t="shared" si="1"/>
        <v>0.123964176</v>
      </c>
      <c r="C618" s="39">
        <f t="array" ref="C618">NPV(B618,FCFF!$C$9:$I$9)+FCFF!$B$9+FCFF!$I$9*(1+Inputs!$B$6)/(B618-Inputs!$B$6)/(1+B618)^7</f>
        <v>-1885.58169</v>
      </c>
    </row>
    <row r="619" ht="14.25" customHeight="1">
      <c r="A619" s="7">
        <v>606.0</v>
      </c>
      <c r="B619" s="14">
        <f t="shared" si="1"/>
        <v>0.1098582796</v>
      </c>
      <c r="C619" s="39">
        <f t="array" ref="C619">NPV(B619,FCFF!$C$9:$I$9)+FCFF!$B$9+FCFF!$I$9*(1+Inputs!$B$6)/(B619-Inputs!$B$6)/(1+B619)^7</f>
        <v>-1627.891794</v>
      </c>
    </row>
    <row r="620" ht="14.25" customHeight="1">
      <c r="A620" s="7">
        <v>607.0</v>
      </c>
      <c r="B620" s="14">
        <f t="shared" si="1"/>
        <v>0.1224017795</v>
      </c>
      <c r="C620" s="39">
        <f t="array" ref="C620">NPV(B620,FCFF!$C$9:$I$9)+FCFF!$B$9+FCFF!$I$9*(1+Inputs!$B$6)/(B620-Inputs!$B$6)/(1+B620)^7</f>
        <v>-1861.116986</v>
      </c>
    </row>
    <row r="621" ht="14.25" customHeight="1">
      <c r="A621" s="7">
        <v>608.0</v>
      </c>
      <c r="B621" s="14">
        <f t="shared" si="1"/>
        <v>0.1305037982</v>
      </c>
      <c r="C621" s="39">
        <f t="array" ref="C621">NPV(B621,FCFF!$C$9:$I$9)+FCFF!$B$9+FCFF!$I$9*(1+Inputs!$B$6)/(B621-Inputs!$B$6)/(1+B621)^7</f>
        <v>-1979.153209</v>
      </c>
    </row>
    <row r="622" ht="14.25" customHeight="1">
      <c r="A622" s="7">
        <v>609.0</v>
      </c>
      <c r="B622" s="14">
        <f t="shared" si="1"/>
        <v>0.1042021152</v>
      </c>
      <c r="C622" s="39">
        <f t="array" ref="C622">NPV(B622,FCFF!$C$9:$I$9)+FCFF!$B$9+FCFF!$I$9*(1+Inputs!$B$6)/(B622-Inputs!$B$6)/(1+B622)^7</f>
        <v>-1495.865318</v>
      </c>
    </row>
    <row r="623" ht="14.25" customHeight="1">
      <c r="A623" s="7">
        <v>610.0</v>
      </c>
      <c r="B623" s="14">
        <f t="shared" si="1"/>
        <v>0.1181550944</v>
      </c>
      <c r="C623" s="39">
        <f t="array" ref="C623">NPV(B623,FCFF!$C$9:$I$9)+FCFF!$B$9+FCFF!$I$9*(1+Inputs!$B$6)/(B623-Inputs!$B$6)/(1+B623)^7</f>
        <v>-1789.953125</v>
      </c>
    </row>
    <row r="624" ht="14.25" customHeight="1">
      <c r="A624" s="7">
        <v>611.0</v>
      </c>
      <c r="B624" s="14">
        <f t="shared" si="1"/>
        <v>0.1270992861</v>
      </c>
      <c r="C624" s="39">
        <f t="array" ref="C624">NPV(B624,FCFF!$C$9:$I$9)+FCFF!$B$9+FCFF!$I$9*(1+Inputs!$B$6)/(B624-Inputs!$B$6)/(1+B624)^7</f>
        <v>-1932.135068</v>
      </c>
    </row>
    <row r="625" ht="14.25" customHeight="1">
      <c r="A625" s="7">
        <v>612.0</v>
      </c>
      <c r="B625" s="14">
        <f t="shared" si="1"/>
        <v>0.1045142398</v>
      </c>
      <c r="C625" s="39">
        <f t="array" ref="C625">NPV(B625,FCFF!$C$9:$I$9)+FCFF!$B$9+FCFF!$I$9*(1+Inputs!$B$6)/(B625-Inputs!$B$6)/(1+B625)^7</f>
        <v>-1503.685557</v>
      </c>
    </row>
    <row r="626" ht="14.25" customHeight="1">
      <c r="A626" s="7">
        <v>613.0</v>
      </c>
      <c r="B626" s="14">
        <f t="shared" si="1"/>
        <v>0.0986318731</v>
      </c>
      <c r="C626" s="39">
        <f t="array" ref="C626">NPV(B626,FCFF!$C$9:$I$9)+FCFF!$B$9+FCFF!$I$9*(1+Inputs!$B$6)/(B626-Inputs!$B$6)/(1+B626)^7</f>
        <v>-1344.180129</v>
      </c>
    </row>
    <row r="627" ht="14.25" customHeight="1">
      <c r="A627" s="7">
        <v>614.0</v>
      </c>
      <c r="B627" s="14">
        <f t="shared" si="1"/>
        <v>0.1060400049</v>
      </c>
      <c r="C627" s="39">
        <f t="array" ref="C627">NPV(B627,FCFF!$C$9:$I$9)+FCFF!$B$9+FCFF!$I$9*(1+Inputs!$B$6)/(B627-Inputs!$B$6)/(1+B627)^7</f>
        <v>-1540.971743</v>
      </c>
    </row>
    <row r="628" ht="14.25" customHeight="1">
      <c r="A628" s="7">
        <v>615.0</v>
      </c>
      <c r="B628" s="14">
        <f t="shared" si="1"/>
        <v>0.1310626844</v>
      </c>
      <c r="C628" s="39">
        <f t="array" ref="C628">NPV(B628,FCFF!$C$9:$I$9)+FCFF!$B$9+FCFF!$I$9*(1+Inputs!$B$6)/(B628-Inputs!$B$6)/(1+B628)^7</f>
        <v>-1986.544027</v>
      </c>
    </row>
    <row r="629" ht="14.25" customHeight="1">
      <c r="A629" s="7">
        <v>616.0</v>
      </c>
      <c r="B629" s="14">
        <f t="shared" si="1"/>
        <v>0.1093577881</v>
      </c>
      <c r="C629" s="39">
        <f t="array" ref="C629">NPV(B629,FCFF!$C$9:$I$9)+FCFF!$B$9+FCFF!$I$9*(1+Inputs!$B$6)/(B629-Inputs!$B$6)/(1+B629)^7</f>
        <v>-1616.988245</v>
      </c>
    </row>
    <row r="630" ht="14.25" customHeight="1">
      <c r="A630" s="7">
        <v>617.0</v>
      </c>
      <c r="B630" s="14">
        <f t="shared" si="1"/>
        <v>0.1100107326</v>
      </c>
      <c r="C630" s="39">
        <f t="array" ref="C630">NPV(B630,FCFF!$C$9:$I$9)+FCFF!$B$9+FCFF!$I$9*(1+Inputs!$B$6)/(B630-Inputs!$B$6)/(1+B630)^7</f>
        <v>-1631.185116</v>
      </c>
    </row>
    <row r="631" ht="14.25" customHeight="1">
      <c r="A631" s="7">
        <v>618.0</v>
      </c>
      <c r="B631" s="14">
        <f t="shared" si="1"/>
        <v>0.1285451311</v>
      </c>
      <c r="C631" s="39">
        <f t="array" ref="C631">NPV(B631,FCFF!$C$9:$I$9)+FCFF!$B$9+FCFF!$I$9*(1+Inputs!$B$6)/(B631-Inputs!$B$6)/(1+B631)^7</f>
        <v>-1952.532343</v>
      </c>
    </row>
    <row r="632" ht="14.25" customHeight="1">
      <c r="A632" s="7">
        <v>619.0</v>
      </c>
      <c r="B632" s="14">
        <f t="shared" si="1"/>
        <v>0.1302665061</v>
      </c>
      <c r="C632" s="39">
        <f t="array" ref="C632">NPV(B632,FCFF!$C$9:$I$9)+FCFF!$B$9+FCFF!$I$9*(1+Inputs!$B$6)/(B632-Inputs!$B$6)/(1+B632)^7</f>
        <v>-1975.988123</v>
      </c>
    </row>
    <row r="633" ht="14.25" customHeight="1">
      <c r="A633" s="7">
        <v>620.0</v>
      </c>
      <c r="B633" s="14">
        <f t="shared" si="1"/>
        <v>0.09461634901</v>
      </c>
      <c r="C633" s="39">
        <f t="array" ref="C633">NPV(B633,FCFF!$C$9:$I$9)+FCFF!$B$9+FCFF!$I$9*(1+Inputs!$B$6)/(B633-Inputs!$B$6)/(1+B633)^7</f>
        <v>-1218.542009</v>
      </c>
    </row>
    <row r="634" ht="14.25" customHeight="1">
      <c r="A634" s="7">
        <v>621.0</v>
      </c>
      <c r="B634" s="14">
        <f t="shared" si="1"/>
        <v>0.1210086606</v>
      </c>
      <c r="C634" s="39">
        <f t="array" ref="C634">NPV(B634,FCFF!$C$9:$I$9)+FCFF!$B$9+FCFF!$I$9*(1+Inputs!$B$6)/(B634-Inputs!$B$6)/(1+B634)^7</f>
        <v>-1838.54751</v>
      </c>
    </row>
    <row r="635" ht="14.25" customHeight="1">
      <c r="A635" s="7">
        <v>622.0</v>
      </c>
      <c r="B635" s="14">
        <f t="shared" si="1"/>
        <v>0.1085535274</v>
      </c>
      <c r="C635" s="39">
        <f t="array" ref="C635">NPV(B635,FCFF!$C$9:$I$9)+FCFF!$B$9+FCFF!$I$9*(1+Inputs!$B$6)/(B635-Inputs!$B$6)/(1+B635)^7</f>
        <v>-1599.166817</v>
      </c>
    </row>
    <row r="636" ht="14.25" customHeight="1">
      <c r="A636" s="7">
        <v>623.0</v>
      </c>
      <c r="B636" s="14">
        <f t="shared" si="1"/>
        <v>0.1208331777</v>
      </c>
      <c r="C636" s="39">
        <f t="array" ref="C636">NPV(B636,FCFF!$C$9:$I$9)+FCFF!$B$9+FCFF!$I$9*(1+Inputs!$B$6)/(B636-Inputs!$B$6)/(1+B636)^7</f>
        <v>-1835.652384</v>
      </c>
    </row>
    <row r="637" ht="14.25" customHeight="1">
      <c r="A637" s="7">
        <v>624.0</v>
      </c>
      <c r="B637" s="14">
        <f t="shared" si="1"/>
        <v>0.1133139239</v>
      </c>
      <c r="C637" s="39">
        <f t="array" ref="C637">NPV(B637,FCFF!$C$9:$I$9)+FCFF!$B$9+FCFF!$I$9*(1+Inputs!$B$6)/(B637-Inputs!$B$6)/(1+B637)^7</f>
        <v>-1699.479825</v>
      </c>
    </row>
    <row r="638" ht="14.25" customHeight="1">
      <c r="A638" s="7">
        <v>625.0</v>
      </c>
      <c r="B638" s="14">
        <f t="shared" si="1"/>
        <v>0.1036525517</v>
      </c>
      <c r="C638" s="39">
        <f t="array" ref="C638">NPV(B638,FCFF!$C$9:$I$9)+FCFF!$B$9+FCFF!$I$9*(1+Inputs!$B$6)/(B638-Inputs!$B$6)/(1+B638)^7</f>
        <v>-1481.932174</v>
      </c>
    </row>
    <row r="639" ht="14.25" customHeight="1">
      <c r="A639" s="7">
        <v>626.0</v>
      </c>
      <c r="B639" s="14">
        <f t="shared" si="1"/>
        <v>0.123206009</v>
      </c>
      <c r="C639" s="39">
        <f t="array" ref="C639">NPV(B639,FCFF!$C$9:$I$9)+FCFF!$B$9+FCFF!$I$9*(1+Inputs!$B$6)/(B639-Inputs!$B$6)/(1+B639)^7</f>
        <v>-1873.819286</v>
      </c>
    </row>
    <row r="640" ht="14.25" customHeight="1">
      <c r="A640" s="7">
        <v>627.0</v>
      </c>
      <c r="B640" s="14">
        <f t="shared" si="1"/>
        <v>0.1107554994</v>
      </c>
      <c r="C640" s="39">
        <f t="array" ref="C640">NPV(B640,FCFF!$C$9:$I$9)+FCFF!$B$9+FCFF!$I$9*(1+Inputs!$B$6)/(B640-Inputs!$B$6)/(1+B640)^7</f>
        <v>-1647.089084</v>
      </c>
    </row>
    <row r="641" ht="14.25" customHeight="1">
      <c r="A641" s="7">
        <v>628.0</v>
      </c>
      <c r="B641" s="14">
        <f t="shared" si="1"/>
        <v>0.1198132577</v>
      </c>
      <c r="C641" s="39">
        <f t="array" ref="C641">NPV(B641,FCFF!$C$9:$I$9)+FCFF!$B$9+FCFF!$I$9*(1+Inputs!$B$6)/(B641-Inputs!$B$6)/(1+B641)^7</f>
        <v>-1818.588121</v>
      </c>
    </row>
    <row r="642" ht="14.25" customHeight="1">
      <c r="A642" s="7">
        <v>629.0</v>
      </c>
      <c r="B642" s="14">
        <f t="shared" si="1"/>
        <v>0.1113948693</v>
      </c>
      <c r="C642" s="39">
        <f t="array" ref="C642">NPV(B642,FCFF!$C$9:$I$9)+FCFF!$B$9+FCFF!$I$9*(1+Inputs!$B$6)/(B642-Inputs!$B$6)/(1+B642)^7</f>
        <v>-1660.502238</v>
      </c>
    </row>
    <row r="643" ht="14.25" customHeight="1">
      <c r="A643" s="7">
        <v>630.0</v>
      </c>
      <c r="B643" s="14">
        <f t="shared" si="1"/>
        <v>0.1243267458</v>
      </c>
      <c r="C643" s="39">
        <f t="array" ref="C643">NPV(B643,FCFF!$C$9:$I$9)+FCFF!$B$9+FCFF!$I$9*(1+Inputs!$B$6)/(B643-Inputs!$B$6)/(1+B643)^7</f>
        <v>-1891.135286</v>
      </c>
    </row>
    <row r="644" ht="14.25" customHeight="1">
      <c r="A644" s="7">
        <v>631.0</v>
      </c>
      <c r="B644" s="14">
        <f t="shared" si="1"/>
        <v>0.1115756673</v>
      </c>
      <c r="C644" s="39">
        <f t="array" ref="C644">NPV(B644,FCFF!$C$9:$I$9)+FCFF!$B$9+FCFF!$I$9*(1+Inputs!$B$6)/(B644-Inputs!$B$6)/(1+B644)^7</f>
        <v>-1664.255648</v>
      </c>
    </row>
    <row r="645" ht="14.25" customHeight="1">
      <c r="A645" s="7">
        <v>632.0</v>
      </c>
      <c r="B645" s="14">
        <f t="shared" si="1"/>
        <v>0.1119198328</v>
      </c>
      <c r="C645" s="39">
        <f t="array" ref="C645">NPV(B645,FCFF!$C$9:$I$9)+FCFF!$B$9+FCFF!$I$9*(1+Inputs!$B$6)/(B645-Inputs!$B$6)/(1+B645)^7</f>
        <v>-1671.353134</v>
      </c>
    </row>
    <row r="646" ht="14.25" customHeight="1">
      <c r="A646" s="7">
        <v>633.0</v>
      </c>
      <c r="B646" s="14">
        <f t="shared" si="1"/>
        <v>0.1237541881</v>
      </c>
      <c r="C646" s="39">
        <f t="array" ref="C646">NPV(B646,FCFF!$C$9:$I$9)+FCFF!$B$9+FCFF!$I$9*(1+Inputs!$B$6)/(B646-Inputs!$B$6)/(1+B646)^7</f>
        <v>-1882.344231</v>
      </c>
    </row>
    <row r="647" ht="14.25" customHeight="1">
      <c r="A647" s="7">
        <v>634.0</v>
      </c>
      <c r="B647" s="14">
        <f t="shared" si="1"/>
        <v>0.1029811089</v>
      </c>
      <c r="C647" s="39">
        <f t="array" ref="C647">NPV(B647,FCFF!$C$9:$I$9)+FCFF!$B$9+FCFF!$I$9*(1+Inputs!$B$6)/(B647-Inputs!$B$6)/(1+B647)^7</f>
        <v>-1464.619608</v>
      </c>
    </row>
    <row r="648" ht="14.25" customHeight="1">
      <c r="A648" s="7">
        <v>635.0</v>
      </c>
      <c r="B648" s="14">
        <f t="shared" si="1"/>
        <v>0.102566021</v>
      </c>
      <c r="C648" s="39">
        <f t="array" ref="C648">NPV(B648,FCFF!$C$9:$I$9)+FCFF!$B$9+FCFF!$I$9*(1+Inputs!$B$6)/(B648-Inputs!$B$6)/(1+B648)^7</f>
        <v>-1453.754323</v>
      </c>
    </row>
    <row r="649" ht="14.25" customHeight="1">
      <c r="A649" s="7">
        <v>636.0</v>
      </c>
      <c r="B649" s="14">
        <f t="shared" si="1"/>
        <v>0.1100606379</v>
      </c>
      <c r="C649" s="39">
        <f t="array" ref="C649">NPV(B649,FCFF!$C$9:$I$9)+FCFF!$B$9+FCFF!$I$9*(1+Inputs!$B$6)/(B649-Inputs!$B$6)/(1+B649)^7</f>
        <v>-1632.26037</v>
      </c>
    </row>
    <row r="650" ht="14.25" customHeight="1">
      <c r="A650" s="7">
        <v>637.0</v>
      </c>
      <c r="B650" s="14">
        <f t="shared" si="1"/>
        <v>0.09523297446</v>
      </c>
      <c r="C650" s="39">
        <f t="array" ref="C650">NPV(B650,FCFF!$C$9:$I$9)+FCFF!$B$9+FCFF!$I$9*(1+Inputs!$B$6)/(B650-Inputs!$B$6)/(1+B650)^7</f>
        <v>-1238.83644</v>
      </c>
    </row>
    <row r="651" ht="14.25" customHeight="1">
      <c r="A651" s="7">
        <v>638.0</v>
      </c>
      <c r="B651" s="14">
        <f t="shared" si="1"/>
        <v>0.1328496377</v>
      </c>
      <c r="C651" s="39">
        <f t="array" ref="C651">NPV(B651,FCFF!$C$9:$I$9)+FCFF!$B$9+FCFF!$I$9*(1+Inputs!$B$6)/(B651-Inputs!$B$6)/(1+B651)^7</f>
        <v>-2009.588727</v>
      </c>
    </row>
    <row r="652" ht="14.25" customHeight="1">
      <c r="A652" s="7">
        <v>639.0</v>
      </c>
      <c r="B652" s="14">
        <f t="shared" si="1"/>
        <v>0.1198394757</v>
      </c>
      <c r="C652" s="39">
        <f t="array" ref="C652">NPV(B652,FCFF!$C$9:$I$9)+FCFF!$B$9+FCFF!$I$9*(1+Inputs!$B$6)/(B652-Inputs!$B$6)/(1+B652)^7</f>
        <v>-1819.031914</v>
      </c>
    </row>
    <row r="653" ht="14.25" customHeight="1">
      <c r="A653" s="7">
        <v>640.0</v>
      </c>
      <c r="B653" s="14">
        <f t="shared" si="1"/>
        <v>0.1141004536</v>
      </c>
      <c r="C653" s="39">
        <f t="array" ref="C653">NPV(B653,FCFF!$C$9:$I$9)+FCFF!$B$9+FCFF!$I$9*(1+Inputs!$B$6)/(B653-Inputs!$B$6)/(1+B653)^7</f>
        <v>-1714.920536</v>
      </c>
    </row>
    <row r="654" ht="14.25" customHeight="1">
      <c r="A654" s="7">
        <v>641.0</v>
      </c>
      <c r="B654" s="14">
        <f t="shared" si="1"/>
        <v>0.1282257273</v>
      </c>
      <c r="C654" s="39">
        <f t="array" ref="C654">NPV(B654,FCFF!$C$9:$I$9)+FCFF!$B$9+FCFF!$I$9*(1+Inputs!$B$6)/(B654-Inputs!$B$6)/(1+B654)^7</f>
        <v>-1948.082133</v>
      </c>
    </row>
    <row r="655" ht="14.25" customHeight="1">
      <c r="A655" s="7">
        <v>642.0</v>
      </c>
      <c r="B655" s="14">
        <f t="shared" si="1"/>
        <v>0.1279222576</v>
      </c>
      <c r="C655" s="39">
        <f t="array" ref="C655">NPV(B655,FCFF!$C$9:$I$9)+FCFF!$B$9+FCFF!$I$9*(1+Inputs!$B$6)/(B655-Inputs!$B$6)/(1+B655)^7</f>
        <v>-1943.824864</v>
      </c>
    </row>
    <row r="656" ht="14.25" customHeight="1">
      <c r="A656" s="7">
        <v>643.0</v>
      </c>
      <c r="B656" s="14">
        <f t="shared" si="1"/>
        <v>0.1289504511</v>
      </c>
      <c r="C656" s="39">
        <f t="array" ref="C656">NPV(B656,FCFF!$C$9:$I$9)+FCFF!$B$9+FCFF!$I$9*(1+Inputs!$B$6)/(B656-Inputs!$B$6)/(1+B656)^7</f>
        <v>-1958.134898</v>
      </c>
    </row>
    <row r="657" ht="14.25" customHeight="1">
      <c r="A657" s="7">
        <v>644.0</v>
      </c>
      <c r="B657" s="14">
        <f t="shared" si="1"/>
        <v>0.10230372</v>
      </c>
      <c r="C657" s="39">
        <f t="array" ref="C657">NPV(B657,FCFF!$C$9:$I$9)+FCFF!$B$9+FCFF!$I$9*(1+Inputs!$B$6)/(B657-Inputs!$B$6)/(1+B657)^7</f>
        <v>-1446.823178</v>
      </c>
    </row>
    <row r="658" ht="14.25" customHeight="1">
      <c r="A658" s="7">
        <v>645.0</v>
      </c>
      <c r="B658" s="14">
        <f t="shared" si="1"/>
        <v>0.1238884258</v>
      </c>
      <c r="C658" s="39">
        <f t="array" ref="C658">NPV(B658,FCFF!$C$9:$I$9)+FCFF!$B$9+FCFF!$I$9*(1+Inputs!$B$6)/(B658-Inputs!$B$6)/(1+B658)^7</f>
        <v>-1884.415607</v>
      </c>
    </row>
    <row r="659" ht="14.25" customHeight="1">
      <c r="A659" s="7">
        <v>646.0</v>
      </c>
      <c r="B659" s="14">
        <f t="shared" si="1"/>
        <v>0.1270872272</v>
      </c>
      <c r="C659" s="39">
        <f t="array" ref="C659">NPV(B659,FCFF!$C$9:$I$9)+FCFF!$B$9+FCFF!$I$9*(1+Inputs!$B$6)/(B659-Inputs!$B$6)/(1+B659)^7</f>
        <v>-1931.962189</v>
      </c>
    </row>
    <row r="660" ht="14.25" customHeight="1">
      <c r="A660" s="7">
        <v>647.0</v>
      </c>
      <c r="B660" s="14">
        <f t="shared" si="1"/>
        <v>0.1119298794</v>
      </c>
      <c r="C660" s="39">
        <f t="array" ref="C660">NPV(B660,FCFF!$C$9:$I$9)+FCFF!$B$9+FCFF!$I$9*(1+Inputs!$B$6)/(B660-Inputs!$B$6)/(1+B660)^7</f>
        <v>-1671.559389</v>
      </c>
    </row>
    <row r="661" ht="14.25" customHeight="1">
      <c r="A661" s="7">
        <v>648.0</v>
      </c>
      <c r="B661" s="14">
        <f t="shared" si="1"/>
        <v>0.09714534699</v>
      </c>
      <c r="C661" s="39">
        <f t="array" ref="C661">NPV(B661,FCFF!$C$9:$I$9)+FCFF!$B$9+FCFF!$I$9*(1+Inputs!$B$6)/(B661-Inputs!$B$6)/(1+B661)^7</f>
        <v>-1299.417751</v>
      </c>
    </row>
    <row r="662" ht="14.25" customHeight="1">
      <c r="A662" s="7">
        <v>649.0</v>
      </c>
      <c r="B662" s="14">
        <f t="shared" si="1"/>
        <v>0.1054480574</v>
      </c>
      <c r="C662" s="39">
        <f t="array" ref="C662">NPV(B662,FCFF!$C$9:$I$9)+FCFF!$B$9+FCFF!$I$9*(1+Inputs!$B$6)/(B662-Inputs!$B$6)/(1+B662)^7</f>
        <v>-1526.688619</v>
      </c>
    </row>
    <row r="663" ht="14.25" customHeight="1">
      <c r="A663" s="7">
        <v>650.0</v>
      </c>
      <c r="B663" s="14">
        <f t="shared" si="1"/>
        <v>0.1115095795</v>
      </c>
      <c r="C663" s="39">
        <f t="array" ref="C663">NPV(B663,FCFF!$C$9:$I$9)+FCFF!$B$9+FCFF!$I$9*(1+Inputs!$B$6)/(B663-Inputs!$B$6)/(1+B663)^7</f>
        <v>-1662.88565</v>
      </c>
    </row>
    <row r="664" ht="14.25" customHeight="1">
      <c r="A664" s="7">
        <v>651.0</v>
      </c>
      <c r="B664" s="14">
        <f t="shared" si="1"/>
        <v>0.1183307291</v>
      </c>
      <c r="C664" s="39">
        <f t="array" ref="C664">NPV(B664,FCFF!$C$9:$I$9)+FCFF!$B$9+FCFF!$I$9*(1+Inputs!$B$6)/(B664-Inputs!$B$6)/(1+B664)^7</f>
        <v>-1793.039929</v>
      </c>
    </row>
    <row r="665" ht="14.25" customHeight="1">
      <c r="A665" s="7">
        <v>652.0</v>
      </c>
      <c r="B665" s="14">
        <f t="shared" si="1"/>
        <v>0.1191191489</v>
      </c>
      <c r="C665" s="39">
        <f t="array" ref="C665">NPV(B665,FCFF!$C$9:$I$9)+FCFF!$B$9+FCFF!$I$9*(1+Inputs!$B$6)/(B665-Inputs!$B$6)/(1+B665)^7</f>
        <v>-1806.738434</v>
      </c>
    </row>
    <row r="666" ht="14.25" customHeight="1">
      <c r="A666" s="7">
        <v>653.0</v>
      </c>
      <c r="B666" s="14">
        <f t="shared" si="1"/>
        <v>0.09518877745</v>
      </c>
      <c r="C666" s="39">
        <f t="array" ref="C666">NPV(B666,FCFF!$C$9:$I$9)+FCFF!$B$9+FCFF!$I$9*(1+Inputs!$B$6)/(B666-Inputs!$B$6)/(1+B666)^7</f>
        <v>-1237.394511</v>
      </c>
    </row>
    <row r="667" ht="14.25" customHeight="1">
      <c r="A667" s="7">
        <v>654.0</v>
      </c>
      <c r="B667" s="14">
        <f t="shared" si="1"/>
        <v>0.1302641449</v>
      </c>
      <c r="C667" s="39">
        <f t="array" ref="C667">NPV(B667,FCFF!$C$9:$I$9)+FCFF!$B$9+FCFF!$I$9*(1+Inputs!$B$6)/(B667-Inputs!$B$6)/(1+B667)^7</f>
        <v>-1975.956546</v>
      </c>
    </row>
    <row r="668" ht="14.25" customHeight="1">
      <c r="A668" s="7">
        <v>655.0</v>
      </c>
      <c r="B668" s="14">
        <f t="shared" si="1"/>
        <v>0.09474325653</v>
      </c>
      <c r="C668" s="39">
        <f t="array" ref="C668">NPV(B668,FCFF!$C$9:$I$9)+FCFF!$B$9+FCFF!$I$9*(1+Inputs!$B$6)/(B668-Inputs!$B$6)/(1+B668)^7</f>
        <v>-1222.750166</v>
      </c>
    </row>
    <row r="669" ht="14.25" customHeight="1">
      <c r="A669" s="7">
        <v>656.0</v>
      </c>
      <c r="B669" s="14">
        <f t="shared" si="1"/>
        <v>0.1223879057</v>
      </c>
      <c r="C669" s="39">
        <f t="array" ref="C669">NPV(B669,FCFF!$C$9:$I$9)+FCFF!$B$9+FCFF!$I$9*(1+Inputs!$B$6)/(B669-Inputs!$B$6)/(1+B669)^7</f>
        <v>-1860.89579</v>
      </c>
    </row>
    <row r="670" ht="14.25" customHeight="1">
      <c r="A670" s="7">
        <v>657.0</v>
      </c>
      <c r="B670" s="14">
        <f t="shared" si="1"/>
        <v>0.1193591125</v>
      </c>
      <c r="C670" s="39">
        <f t="array" ref="C670">NPV(B670,FCFF!$C$9:$I$9)+FCFF!$B$9+FCFF!$I$9*(1+Inputs!$B$6)/(B670-Inputs!$B$6)/(1+B670)^7</f>
        <v>-1810.857058</v>
      </c>
    </row>
    <row r="671" ht="14.25" customHeight="1">
      <c r="A671" s="7">
        <v>658.0</v>
      </c>
      <c r="B671" s="14">
        <f t="shared" si="1"/>
        <v>0.0955085651</v>
      </c>
      <c r="C671" s="39">
        <f t="array" ref="C671">NPV(B671,FCFF!$C$9:$I$9)+FCFF!$B$9+FCFF!$I$9*(1+Inputs!$B$6)/(B671-Inputs!$B$6)/(1+B671)^7</f>
        <v>-1247.783968</v>
      </c>
    </row>
    <row r="672" ht="14.25" customHeight="1">
      <c r="A672" s="7">
        <v>659.0</v>
      </c>
      <c r="B672" s="14">
        <f t="shared" si="1"/>
        <v>0.1183720342</v>
      </c>
      <c r="C672" s="39">
        <f t="array" ref="C672">NPV(B672,FCFF!$C$9:$I$9)+FCFF!$B$9+FCFF!$I$9*(1+Inputs!$B$6)/(B672-Inputs!$B$6)/(1+B672)^7</f>
        <v>-1793.763992</v>
      </c>
    </row>
    <row r="673" ht="14.25" customHeight="1">
      <c r="A673" s="7">
        <v>660.0</v>
      </c>
      <c r="B673" s="14">
        <f t="shared" si="1"/>
        <v>0.1150643509</v>
      </c>
      <c r="C673" s="39">
        <f t="array" ref="C673">NPV(B673,FCFF!$C$9:$I$9)+FCFF!$B$9+FCFF!$I$9*(1+Inputs!$B$6)/(B673-Inputs!$B$6)/(1+B673)^7</f>
        <v>-1733.437082</v>
      </c>
    </row>
    <row r="674" ht="14.25" customHeight="1">
      <c r="A674" s="7">
        <v>661.0</v>
      </c>
      <c r="B674" s="14">
        <f t="shared" si="1"/>
        <v>0.09450237061</v>
      </c>
      <c r="C674" s="39">
        <f t="array" ref="C674">NPV(B674,FCFF!$C$9:$I$9)+FCFF!$B$9+FCFF!$I$9*(1+Inputs!$B$6)/(B674-Inputs!$B$6)/(1+B674)^7</f>
        <v>-1214.748569</v>
      </c>
    </row>
    <row r="675" ht="14.25" customHeight="1">
      <c r="A675" s="7">
        <v>662.0</v>
      </c>
      <c r="B675" s="14">
        <f t="shared" si="1"/>
        <v>0.1305520051</v>
      </c>
      <c r="C675" s="39">
        <f t="array" ref="C675">NPV(B675,FCFF!$C$9:$I$9)+FCFF!$B$9+FCFF!$I$9*(1+Inputs!$B$6)/(B675-Inputs!$B$6)/(1+B675)^7</f>
        <v>-1979.794225</v>
      </c>
    </row>
    <row r="676" ht="14.25" customHeight="1">
      <c r="A676" s="7">
        <v>663.0</v>
      </c>
      <c r="B676" s="14">
        <f t="shared" si="1"/>
        <v>0.09764960756</v>
      </c>
      <c r="C676" s="39">
        <f t="array" ref="C676">NPV(B676,FCFF!$C$9:$I$9)+FCFF!$B$9+FCFF!$I$9*(1+Inputs!$B$6)/(B676-Inputs!$B$6)/(1+B676)^7</f>
        <v>-1314.822706</v>
      </c>
    </row>
    <row r="677" ht="14.25" customHeight="1">
      <c r="A677" s="7">
        <v>664.0</v>
      </c>
      <c r="B677" s="14">
        <f t="shared" si="1"/>
        <v>0.1321077025</v>
      </c>
      <c r="C677" s="39">
        <f t="array" ref="C677">NPV(B677,FCFF!$C$9:$I$9)+FCFF!$B$9+FCFF!$I$9*(1+Inputs!$B$6)/(B677-Inputs!$B$6)/(1+B677)^7</f>
        <v>-2000.12745</v>
      </c>
    </row>
    <row r="678" ht="14.25" customHeight="1">
      <c r="A678" s="7">
        <v>665.0</v>
      </c>
      <c r="B678" s="14">
        <f t="shared" si="1"/>
        <v>0.09422030337</v>
      </c>
      <c r="C678" s="39">
        <f t="array" ref="C678">NPV(B678,FCFF!$C$9:$I$9)+FCFF!$B$9+FCFF!$I$9*(1+Inputs!$B$6)/(B678-Inputs!$B$6)/(1+B678)^7</f>
        <v>-1205.303369</v>
      </c>
    </row>
    <row r="679" ht="14.25" customHeight="1">
      <c r="A679" s="7">
        <v>666.0</v>
      </c>
      <c r="B679" s="14">
        <f t="shared" si="1"/>
        <v>0.1324955862</v>
      </c>
      <c r="C679" s="39">
        <f t="array" ref="C679">NPV(B679,FCFF!$C$9:$I$9)+FCFF!$B$9+FCFF!$I$9*(1+Inputs!$B$6)/(B679-Inputs!$B$6)/(1+B679)^7</f>
        <v>-2005.092461</v>
      </c>
    </row>
    <row r="680" ht="14.25" customHeight="1">
      <c r="A680" s="7">
        <v>667.0</v>
      </c>
      <c r="B680" s="14">
        <f t="shared" si="1"/>
        <v>0.1064944494</v>
      </c>
      <c r="C680" s="39">
        <f t="array" ref="C680">NPV(B680,FCFF!$C$9:$I$9)+FCFF!$B$9+FCFF!$I$9*(1+Inputs!$B$6)/(B680-Inputs!$B$6)/(1+B680)^7</f>
        <v>-1551.783738</v>
      </c>
    </row>
    <row r="681" ht="14.25" customHeight="1">
      <c r="A681" s="7">
        <v>668.0</v>
      </c>
      <c r="B681" s="14">
        <f t="shared" si="1"/>
        <v>0.1102656802</v>
      </c>
      <c r="C681" s="39">
        <f t="array" ref="C681">NPV(B681,FCFF!$C$9:$I$9)+FCFF!$B$9+FCFF!$I$9*(1+Inputs!$B$6)/(B681-Inputs!$B$6)/(1+B681)^7</f>
        <v>-1636.663684</v>
      </c>
    </row>
    <row r="682" ht="14.25" customHeight="1">
      <c r="A682" s="7">
        <v>669.0</v>
      </c>
      <c r="B682" s="14">
        <f t="shared" si="1"/>
        <v>0.1271378148</v>
      </c>
      <c r="C682" s="39">
        <f t="array" ref="C682">NPV(B682,FCFF!$C$9:$I$9)+FCFF!$B$9+FCFF!$I$9*(1+Inputs!$B$6)/(B682-Inputs!$B$6)/(1+B682)^7</f>
        <v>-1932.68711</v>
      </c>
    </row>
    <row r="683" ht="14.25" customHeight="1">
      <c r="A683" s="7">
        <v>670.0</v>
      </c>
      <c r="B683" s="14">
        <f t="shared" si="1"/>
        <v>0.1256908817</v>
      </c>
      <c r="C683" s="39">
        <f t="array" ref="C683">NPV(B683,FCFF!$C$9:$I$9)+FCFF!$B$9+FCFF!$I$9*(1+Inputs!$B$6)/(B683-Inputs!$B$6)/(1+B683)^7</f>
        <v>-1911.626673</v>
      </c>
    </row>
    <row r="684" ht="14.25" customHeight="1">
      <c r="A684" s="7">
        <v>671.0</v>
      </c>
      <c r="B684" s="14">
        <f t="shared" si="1"/>
        <v>0.1287036807</v>
      </c>
      <c r="C684" s="39">
        <f t="array" ref="C684">NPV(B684,FCFF!$C$9:$I$9)+FCFF!$B$9+FCFF!$I$9*(1+Inputs!$B$6)/(B684-Inputs!$B$6)/(1+B684)^7</f>
        <v>-1954.72983</v>
      </c>
    </row>
    <row r="685" ht="14.25" customHeight="1">
      <c r="A685" s="7">
        <v>672.0</v>
      </c>
      <c r="B685" s="14">
        <f t="shared" si="1"/>
        <v>0.1321872378</v>
      </c>
      <c r="C685" s="39">
        <f t="array" ref="C685">NPV(B685,FCFF!$C$9:$I$9)+FCFF!$B$9+FCFF!$I$9*(1+Inputs!$B$6)/(B685-Inputs!$B$6)/(1+B685)^7</f>
        <v>-2001.148874</v>
      </c>
    </row>
    <row r="686" ht="14.25" customHeight="1">
      <c r="A686" s="7">
        <v>673.0</v>
      </c>
      <c r="B686" s="14">
        <f t="shared" si="1"/>
        <v>0.1148443676</v>
      </c>
      <c r="C686" s="39">
        <f t="array" ref="C686">NPV(B686,FCFF!$C$9:$I$9)+FCFF!$B$9+FCFF!$I$9*(1+Inputs!$B$6)/(B686-Inputs!$B$6)/(1+B686)^7</f>
        <v>-1729.249897</v>
      </c>
    </row>
    <row r="687" ht="14.25" customHeight="1">
      <c r="A687" s="7">
        <v>674.0</v>
      </c>
      <c r="B687" s="14">
        <f t="shared" si="1"/>
        <v>0.1130831274</v>
      </c>
      <c r="C687" s="39">
        <f t="array" ref="C687">NPV(B687,FCFF!$C$9:$I$9)+FCFF!$B$9+FCFF!$I$9*(1+Inputs!$B$6)/(B687-Inputs!$B$6)/(1+B687)^7</f>
        <v>-1694.891148</v>
      </c>
    </row>
    <row r="688" ht="14.25" customHeight="1">
      <c r="A688" s="7">
        <v>675.0</v>
      </c>
      <c r="B688" s="14">
        <f t="shared" si="1"/>
        <v>0.105103865</v>
      </c>
      <c r="C688" s="39">
        <f t="array" ref="C688">NPV(B688,FCFF!$C$9:$I$9)+FCFF!$B$9+FCFF!$I$9*(1+Inputs!$B$6)/(B688-Inputs!$B$6)/(1+B688)^7</f>
        <v>-1518.27788</v>
      </c>
    </row>
    <row r="689" ht="14.25" customHeight="1">
      <c r="A689" s="7">
        <v>676.0</v>
      </c>
      <c r="B689" s="14">
        <f t="shared" si="1"/>
        <v>0.1207765807</v>
      </c>
      <c r="C689" s="39">
        <f t="array" ref="C689">NPV(B689,FCFF!$C$9:$I$9)+FCFF!$B$9+FCFF!$I$9*(1+Inputs!$B$6)/(B689-Inputs!$B$6)/(1+B689)^7</f>
        <v>-1834.71611</v>
      </c>
    </row>
    <row r="690" ht="14.25" customHeight="1">
      <c r="A690" s="7">
        <v>677.0</v>
      </c>
      <c r="B690" s="14">
        <f t="shared" si="1"/>
        <v>0.1228455247</v>
      </c>
      <c r="C690" s="39">
        <f t="array" ref="C690">NPV(B690,FCFF!$C$9:$I$9)+FCFF!$B$9+FCFF!$I$9*(1+Inputs!$B$6)/(B690-Inputs!$B$6)/(1+B690)^7</f>
        <v>-1868.154675</v>
      </c>
    </row>
    <row r="691" ht="14.25" customHeight="1">
      <c r="A691" s="7">
        <v>678.0</v>
      </c>
      <c r="B691" s="14">
        <f t="shared" si="1"/>
        <v>0.1195761028</v>
      </c>
      <c r="C691" s="39">
        <f t="array" ref="C691">NPV(B691,FCFF!$C$9:$I$9)+FCFF!$B$9+FCFF!$I$9*(1+Inputs!$B$6)/(B691-Inputs!$B$6)/(1+B691)^7</f>
        <v>-1814.5613</v>
      </c>
    </row>
    <row r="692" ht="14.25" customHeight="1">
      <c r="A692" s="7">
        <v>679.0</v>
      </c>
      <c r="B692" s="14">
        <f t="shared" si="1"/>
        <v>0.1184659621</v>
      </c>
      <c r="C692" s="39">
        <f t="array" ref="C692">NPV(B692,FCFF!$C$9:$I$9)+FCFF!$B$9+FCFF!$I$9*(1+Inputs!$B$6)/(B692-Inputs!$B$6)/(1+B692)^7</f>
        <v>-1795.407862</v>
      </c>
    </row>
    <row r="693" ht="14.25" customHeight="1">
      <c r="A693" s="7">
        <v>680.0</v>
      </c>
      <c r="B693" s="14">
        <f t="shared" si="1"/>
        <v>0.1150543292</v>
      </c>
      <c r="C693" s="39">
        <f t="array" ref="C693">NPV(B693,FCFF!$C$9:$I$9)+FCFF!$B$9+FCFF!$I$9*(1+Inputs!$B$6)/(B693-Inputs!$B$6)/(1+B693)^7</f>
        <v>-1733.246819</v>
      </c>
    </row>
    <row r="694" ht="14.25" customHeight="1">
      <c r="A694" s="7">
        <v>681.0</v>
      </c>
      <c r="B694" s="14">
        <f t="shared" si="1"/>
        <v>0.1080658964</v>
      </c>
      <c r="C694" s="39">
        <f t="array" ref="C694">NPV(B694,FCFF!$C$9:$I$9)+FCFF!$B$9+FCFF!$I$9*(1+Inputs!$B$6)/(B694-Inputs!$B$6)/(1+B694)^7</f>
        <v>-1588.177437</v>
      </c>
    </row>
    <row r="695" ht="14.25" customHeight="1">
      <c r="A695" s="7">
        <v>682.0</v>
      </c>
      <c r="B695" s="14">
        <f t="shared" si="1"/>
        <v>0.1248759674</v>
      </c>
      <c r="C695" s="39">
        <f t="array" ref="C695">NPV(B695,FCFF!$C$9:$I$9)+FCFF!$B$9+FCFF!$I$9*(1+Inputs!$B$6)/(B695-Inputs!$B$6)/(1+B695)^7</f>
        <v>-1899.461384</v>
      </c>
    </row>
    <row r="696" ht="14.25" customHeight="1">
      <c r="A696" s="7">
        <v>683.0</v>
      </c>
      <c r="B696" s="14">
        <f t="shared" si="1"/>
        <v>0.1198233711</v>
      </c>
      <c r="C696" s="39">
        <f t="array" ref="C696">NPV(B696,FCFF!$C$9:$I$9)+FCFF!$B$9+FCFF!$I$9*(1+Inputs!$B$6)/(B696-Inputs!$B$6)/(1+B696)^7</f>
        <v>-1818.759343</v>
      </c>
    </row>
    <row r="697" ht="14.25" customHeight="1">
      <c r="A697" s="7">
        <v>684.0</v>
      </c>
      <c r="B697" s="14">
        <f t="shared" si="1"/>
        <v>0.1052370148</v>
      </c>
      <c r="C697" s="39">
        <f t="array" ref="C697">NPV(B697,FCFF!$C$9:$I$9)+FCFF!$B$9+FCFF!$I$9*(1+Inputs!$B$6)/(B697-Inputs!$B$6)/(1+B697)^7</f>
        <v>-1521.540863</v>
      </c>
    </row>
    <row r="698" ht="14.25" customHeight="1">
      <c r="A698" s="7">
        <v>685.0</v>
      </c>
      <c r="B698" s="14">
        <f t="shared" si="1"/>
        <v>0.1032025507</v>
      </c>
      <c r="C698" s="39">
        <f t="array" ref="C698">NPV(B698,FCFF!$C$9:$I$9)+FCFF!$B$9+FCFF!$I$9*(1+Inputs!$B$6)/(B698-Inputs!$B$6)/(1+B698)^7</f>
        <v>-1470.364921</v>
      </c>
    </row>
    <row r="699" ht="14.25" customHeight="1">
      <c r="A699" s="7">
        <v>686.0</v>
      </c>
      <c r="B699" s="14">
        <f t="shared" si="1"/>
        <v>0.1228416321</v>
      </c>
      <c r="C699" s="39">
        <f t="array" ref="C699">NPV(B699,FCFF!$C$9:$I$9)+FCFF!$B$9+FCFF!$I$9*(1+Inputs!$B$6)/(B699-Inputs!$B$6)/(1+B699)^7</f>
        <v>-1868.093251</v>
      </c>
    </row>
    <row r="700" ht="14.25" customHeight="1">
      <c r="A700" s="7">
        <v>687.0</v>
      </c>
      <c r="B700" s="14">
        <f t="shared" si="1"/>
        <v>0.1147147833</v>
      </c>
      <c r="C700" s="39">
        <f t="array" ref="C700">NPV(B700,FCFF!$C$9:$I$9)+FCFF!$B$9+FCFF!$I$9*(1+Inputs!$B$6)/(B700-Inputs!$B$6)/(1+B700)^7</f>
        <v>-1726.772734</v>
      </c>
    </row>
    <row r="701" ht="14.25" customHeight="1">
      <c r="A701" s="7">
        <v>688.0</v>
      </c>
      <c r="B701" s="14">
        <f t="shared" si="1"/>
        <v>0.1274413981</v>
      </c>
      <c r="C701" s="39">
        <f t="array" ref="C701">NPV(B701,FCFF!$C$9:$I$9)+FCFF!$B$9+FCFF!$I$9*(1+Inputs!$B$6)/(B701-Inputs!$B$6)/(1+B701)^7</f>
        <v>-1937.02042</v>
      </c>
    </row>
    <row r="702" ht="14.25" customHeight="1">
      <c r="A702" s="7">
        <v>689.0</v>
      </c>
      <c r="B702" s="14">
        <f t="shared" si="1"/>
        <v>0.1012357888</v>
      </c>
      <c r="C702" s="39">
        <f t="array" ref="C702">NPV(B702,FCFF!$C$9:$I$9)+FCFF!$B$9+FCFF!$I$9*(1+Inputs!$B$6)/(B702-Inputs!$B$6)/(1+B702)^7</f>
        <v>-1418.070456</v>
      </c>
    </row>
    <row r="703" ht="14.25" customHeight="1">
      <c r="A703" s="7">
        <v>690.0</v>
      </c>
      <c r="B703" s="14">
        <f t="shared" si="1"/>
        <v>0.1001895708</v>
      </c>
      <c r="C703" s="39">
        <f t="array" ref="C703">NPV(B703,FCFF!$C$9:$I$9)+FCFF!$B$9+FCFF!$I$9*(1+Inputs!$B$6)/(B703-Inputs!$B$6)/(1+B703)^7</f>
        <v>-1389.04548</v>
      </c>
    </row>
    <row r="704" ht="14.25" customHeight="1">
      <c r="A704" s="7">
        <v>691.0</v>
      </c>
      <c r="B704" s="14">
        <f t="shared" si="1"/>
        <v>0.1090063871</v>
      </c>
      <c r="C704" s="39">
        <f t="array" ref="C704">NPV(B704,FCFF!$C$9:$I$9)+FCFF!$B$9+FCFF!$I$9*(1+Inputs!$B$6)/(B704-Inputs!$B$6)/(1+B704)^7</f>
        <v>-1609.247603</v>
      </c>
    </row>
    <row r="705" ht="14.25" customHeight="1">
      <c r="A705" s="7">
        <v>692.0</v>
      </c>
      <c r="B705" s="14">
        <f t="shared" si="1"/>
        <v>0.1173654186</v>
      </c>
      <c r="C705" s="39">
        <f t="array" ref="C705">NPV(B705,FCFF!$C$9:$I$9)+FCFF!$B$9+FCFF!$I$9*(1+Inputs!$B$6)/(B705-Inputs!$B$6)/(1+B705)^7</f>
        <v>-1775.912871</v>
      </c>
    </row>
    <row r="706" ht="14.25" customHeight="1">
      <c r="A706" s="7">
        <v>693.0</v>
      </c>
      <c r="B706" s="14">
        <f t="shared" si="1"/>
        <v>0.132661966</v>
      </c>
      <c r="C706" s="39">
        <f t="array" ref="C706">NPV(B706,FCFF!$C$9:$I$9)+FCFF!$B$9+FCFF!$I$9*(1+Inputs!$B$6)/(B706-Inputs!$B$6)/(1+B706)^7</f>
        <v>-2007.209615</v>
      </c>
    </row>
    <row r="707" ht="14.25" customHeight="1">
      <c r="A707" s="7">
        <v>694.0</v>
      </c>
      <c r="B707" s="14">
        <f t="shared" si="1"/>
        <v>0.09947128551</v>
      </c>
      <c r="C707" s="39">
        <f t="array" ref="C707">NPV(B707,FCFF!$C$9:$I$9)+FCFF!$B$9+FCFF!$I$9*(1+Inputs!$B$6)/(B707-Inputs!$B$6)/(1+B707)^7</f>
        <v>-1368.608397</v>
      </c>
    </row>
    <row r="708" ht="14.25" customHeight="1">
      <c r="A708" s="7">
        <v>695.0</v>
      </c>
      <c r="B708" s="14">
        <f t="shared" si="1"/>
        <v>0.121330786</v>
      </c>
      <c r="C708" s="39">
        <f t="array" ref="C708">NPV(B708,FCFF!$C$9:$I$9)+FCFF!$B$9+FCFF!$I$9*(1+Inputs!$B$6)/(B708-Inputs!$B$6)/(1+B708)^7</f>
        <v>-1843.83122</v>
      </c>
    </row>
    <row r="709" ht="14.25" customHeight="1">
      <c r="A709" s="7">
        <v>696.0</v>
      </c>
      <c r="B709" s="14">
        <f t="shared" si="1"/>
        <v>0.09749289754</v>
      </c>
      <c r="C709" s="39">
        <f t="array" ref="C709">NPV(B709,FCFF!$C$9:$I$9)+FCFF!$B$9+FCFF!$I$9*(1+Inputs!$B$6)/(B709-Inputs!$B$6)/(1+B709)^7</f>
        <v>-1310.059923</v>
      </c>
    </row>
    <row r="710" ht="14.25" customHeight="1">
      <c r="A710" s="7">
        <v>697.0</v>
      </c>
      <c r="B710" s="14">
        <f t="shared" si="1"/>
        <v>0.1035208828</v>
      </c>
      <c r="C710" s="39">
        <f t="array" ref="C710">NPV(B710,FCFF!$C$9:$I$9)+FCFF!$B$9+FCFF!$I$9*(1+Inputs!$B$6)/(B710-Inputs!$B$6)/(1+B710)^7</f>
        <v>-1478.562516</v>
      </c>
    </row>
    <row r="711" ht="14.25" customHeight="1">
      <c r="A711" s="7">
        <v>698.0</v>
      </c>
      <c r="B711" s="14">
        <f t="shared" si="1"/>
        <v>0.119561941</v>
      </c>
      <c r="C711" s="39">
        <f t="array" ref="C711">NPV(B711,FCFF!$C$9:$I$9)+FCFF!$B$9+FCFF!$I$9*(1+Inputs!$B$6)/(B711-Inputs!$B$6)/(1+B711)^7</f>
        <v>-1814.320122</v>
      </c>
    </row>
    <row r="712" ht="14.25" customHeight="1">
      <c r="A712" s="7">
        <v>699.0</v>
      </c>
      <c r="B712" s="14">
        <f t="shared" si="1"/>
        <v>0.1228127801</v>
      </c>
      <c r="C712" s="39">
        <f t="array" ref="C712">NPV(B712,FCFF!$C$9:$I$9)+FCFF!$B$9+FCFF!$I$9*(1+Inputs!$B$6)/(B712-Inputs!$B$6)/(1+B712)^7</f>
        <v>-1867.637805</v>
      </c>
    </row>
    <row r="713" ht="14.25" customHeight="1">
      <c r="A713" s="7">
        <v>700.0</v>
      </c>
      <c r="B713" s="14">
        <f t="shared" si="1"/>
        <v>0.1038144185</v>
      </c>
      <c r="C713" s="39">
        <f t="array" ref="C713">NPV(B713,FCFF!$C$9:$I$9)+FCFF!$B$9+FCFF!$I$9*(1+Inputs!$B$6)/(B713-Inputs!$B$6)/(1+B713)^7</f>
        <v>-1486.057918</v>
      </c>
    </row>
    <row r="714" ht="14.25" customHeight="1">
      <c r="A714" s="7">
        <v>701.0</v>
      </c>
      <c r="B714" s="14">
        <f t="shared" si="1"/>
        <v>0.1240480536</v>
      </c>
      <c r="C714" s="39">
        <f t="array" ref="C714">NPV(B714,FCFF!$C$9:$I$9)+FCFF!$B$9+FCFF!$I$9*(1+Inputs!$B$6)/(B714-Inputs!$B$6)/(1+B714)^7</f>
        <v>-1886.870543</v>
      </c>
    </row>
    <row r="715" ht="14.25" customHeight="1">
      <c r="A715" s="7">
        <v>702.0</v>
      </c>
      <c r="B715" s="14">
        <f t="shared" si="1"/>
        <v>0.1314690263</v>
      </c>
      <c r="C715" s="39">
        <f t="array" ref="C715">NPV(B715,FCFF!$C$9:$I$9)+FCFF!$B$9+FCFF!$I$9*(1+Inputs!$B$6)/(B715-Inputs!$B$6)/(1+B715)^7</f>
        <v>-1991.861983</v>
      </c>
    </row>
    <row r="716" ht="14.25" customHeight="1">
      <c r="A716" s="7">
        <v>703.0</v>
      </c>
      <c r="B716" s="14">
        <f t="shared" si="1"/>
        <v>0.1046350079</v>
      </c>
      <c r="C716" s="39">
        <f t="array" ref="C716">NPV(B716,FCFF!$C$9:$I$9)+FCFF!$B$9+FCFF!$I$9*(1+Inputs!$B$6)/(B716-Inputs!$B$6)/(1+B716)^7</f>
        <v>-1506.693515</v>
      </c>
    </row>
    <row r="717" ht="14.25" customHeight="1">
      <c r="A717" s="7">
        <v>704.0</v>
      </c>
      <c r="B717" s="14">
        <f t="shared" si="1"/>
        <v>0.1257521371</v>
      </c>
      <c r="C717" s="39">
        <f t="array" ref="C717">NPV(B717,FCFF!$C$9:$I$9)+FCFF!$B$9+FCFF!$I$9*(1+Inputs!$B$6)/(B717-Inputs!$B$6)/(1+B717)^7</f>
        <v>-1912.532135</v>
      </c>
    </row>
    <row r="718" ht="14.25" customHeight="1">
      <c r="A718" s="7">
        <v>705.0</v>
      </c>
      <c r="B718" s="14">
        <f t="shared" si="1"/>
        <v>0.105790007</v>
      </c>
      <c r="C718" s="39">
        <f t="array" ref="C718">NPV(B718,FCFF!$C$9:$I$9)+FCFF!$B$9+FCFF!$I$9*(1+Inputs!$B$6)/(B718-Inputs!$B$6)/(1+B718)^7</f>
        <v>-1534.967338</v>
      </c>
    </row>
    <row r="719" ht="14.25" customHeight="1">
      <c r="A719" s="7">
        <v>706.0</v>
      </c>
      <c r="B719" s="14">
        <f t="shared" si="1"/>
        <v>0.1080901693</v>
      </c>
      <c r="C719" s="39">
        <f t="array" ref="C719">NPV(B719,FCFF!$C$9:$I$9)+FCFF!$B$9+FCFF!$I$9*(1+Inputs!$B$6)/(B719-Inputs!$B$6)/(1+B719)^7</f>
        <v>-1588.727794</v>
      </c>
    </row>
    <row r="720" ht="14.25" customHeight="1">
      <c r="A720" s="7">
        <v>707.0</v>
      </c>
      <c r="B720" s="14">
        <f t="shared" si="1"/>
        <v>0.1201292238</v>
      </c>
      <c r="C720" s="39">
        <f t="array" ref="C720">NPV(B720,FCFF!$C$9:$I$9)+FCFF!$B$9+FCFF!$I$9*(1+Inputs!$B$6)/(B720-Inputs!$B$6)/(1+B720)^7</f>
        <v>-1823.918292</v>
      </c>
    </row>
    <row r="721" ht="14.25" customHeight="1">
      <c r="A721" s="7">
        <v>708.0</v>
      </c>
      <c r="B721" s="14">
        <f t="shared" si="1"/>
        <v>0.1169215722</v>
      </c>
      <c r="C721" s="39">
        <f t="array" ref="C721">NPV(B721,FCFF!$C$9:$I$9)+FCFF!$B$9+FCFF!$I$9*(1+Inputs!$B$6)/(B721-Inputs!$B$6)/(1+B721)^7</f>
        <v>-1767.90351</v>
      </c>
    </row>
    <row r="722" ht="14.25" customHeight="1">
      <c r="A722" s="7">
        <v>709.0</v>
      </c>
      <c r="B722" s="14">
        <f t="shared" si="1"/>
        <v>0.09927853933</v>
      </c>
      <c r="C722" s="39">
        <f t="array" ref="C722">NPV(B722,FCFF!$C$9:$I$9)+FCFF!$B$9+FCFF!$I$9*(1+Inputs!$B$6)/(B722-Inputs!$B$6)/(1+B722)^7</f>
        <v>-1363.051746</v>
      </c>
    </row>
    <row r="723" ht="14.25" customHeight="1">
      <c r="A723" s="7">
        <v>710.0</v>
      </c>
      <c r="B723" s="14">
        <f t="shared" si="1"/>
        <v>0.1236195897</v>
      </c>
      <c r="C723" s="39">
        <f t="array" ref="C723">NPV(B723,FCFF!$C$9:$I$9)+FCFF!$B$9+FCFF!$I$9*(1+Inputs!$B$6)/(B723-Inputs!$B$6)/(1+B723)^7</f>
        <v>-1880.260915</v>
      </c>
    </row>
    <row r="724" ht="14.25" customHeight="1">
      <c r="A724" s="7">
        <v>711.0</v>
      </c>
      <c r="B724" s="14">
        <f t="shared" si="1"/>
        <v>0.1004618242</v>
      </c>
      <c r="C724" s="39">
        <f t="array" ref="C724">NPV(B724,FCFF!$C$9:$I$9)+FCFF!$B$9+FCFF!$I$9*(1+Inputs!$B$6)/(B724-Inputs!$B$6)/(1+B724)^7</f>
        <v>-1396.682182</v>
      </c>
    </row>
    <row r="725" ht="14.25" customHeight="1">
      <c r="A725" s="7">
        <v>712.0</v>
      </c>
      <c r="B725" s="14">
        <f t="shared" si="1"/>
        <v>0.1145587508</v>
      </c>
      <c r="C725" s="39">
        <f t="array" ref="C725">NPV(B725,FCFF!$C$9:$I$9)+FCFF!$B$9+FCFF!$I$9*(1+Inputs!$B$6)/(B725-Inputs!$B$6)/(1+B725)^7</f>
        <v>-1723.779452</v>
      </c>
    </row>
    <row r="726" ht="14.25" customHeight="1">
      <c r="A726" s="7">
        <v>713.0</v>
      </c>
      <c r="B726" s="14">
        <f t="shared" si="1"/>
        <v>0.1048677125</v>
      </c>
      <c r="C726" s="39">
        <f t="array" ref="C726">NPV(B726,FCFF!$C$9:$I$9)+FCFF!$B$9+FCFF!$I$9*(1+Inputs!$B$6)/(B726-Inputs!$B$6)/(1+B726)^7</f>
        <v>-1512.461587</v>
      </c>
    </row>
    <row r="727" ht="14.25" customHeight="1">
      <c r="A727" s="7">
        <v>714.0</v>
      </c>
      <c r="B727" s="14">
        <f t="shared" si="1"/>
        <v>0.1116229501</v>
      </c>
      <c r="C727" s="39">
        <f t="array" ref="C727">NPV(B727,FCFF!$C$9:$I$9)+FCFF!$B$9+FCFF!$I$9*(1+Inputs!$B$6)/(B727-Inputs!$B$6)/(1+B727)^7</f>
        <v>-1665.234407</v>
      </c>
    </row>
    <row r="728" ht="14.25" customHeight="1">
      <c r="A728" s="7">
        <v>715.0</v>
      </c>
      <c r="B728" s="14">
        <f t="shared" si="1"/>
        <v>0.1016150387</v>
      </c>
      <c r="C728" s="39">
        <f t="array" ref="C728">NPV(B728,FCFF!$C$9:$I$9)+FCFF!$B$9+FCFF!$I$9*(1+Inputs!$B$6)/(B728-Inputs!$B$6)/(1+B728)^7</f>
        <v>-1428.380565</v>
      </c>
    </row>
    <row r="729" ht="14.25" customHeight="1">
      <c r="A729" s="7">
        <v>716.0</v>
      </c>
      <c r="B729" s="14">
        <f t="shared" si="1"/>
        <v>0.1218863803</v>
      </c>
      <c r="C729" s="39">
        <f t="array" ref="C729">NPV(B729,FCFF!$C$9:$I$9)+FCFF!$B$9+FCFF!$I$9*(1+Inputs!$B$6)/(B729-Inputs!$B$6)/(1+B729)^7</f>
        <v>-1852.851979</v>
      </c>
    </row>
    <row r="730" ht="14.25" customHeight="1">
      <c r="A730" s="7">
        <v>717.0</v>
      </c>
      <c r="B730" s="14">
        <f t="shared" si="1"/>
        <v>0.1160951331</v>
      </c>
      <c r="C730" s="39">
        <f t="array" ref="C730">NPV(B730,FCFF!$C$9:$I$9)+FCFF!$B$9+FCFF!$I$9*(1+Inputs!$B$6)/(B730-Inputs!$B$6)/(1+B730)^7</f>
        <v>-1752.758907</v>
      </c>
    </row>
    <row r="731" ht="14.25" customHeight="1">
      <c r="A731" s="7">
        <v>718.0</v>
      </c>
      <c r="B731" s="14">
        <f t="shared" si="1"/>
        <v>0.1003706977</v>
      </c>
      <c r="C731" s="39">
        <f t="array" ref="C731">NPV(B731,FCFF!$C$9:$I$9)+FCFF!$B$9+FCFF!$I$9*(1+Inputs!$B$6)/(B731-Inputs!$B$6)/(1+B731)^7</f>
        <v>-1394.132713</v>
      </c>
    </row>
    <row r="732" ht="14.25" customHeight="1">
      <c r="A732" s="7">
        <v>719.0</v>
      </c>
      <c r="B732" s="14">
        <f t="shared" si="1"/>
        <v>0.1252480057</v>
      </c>
      <c r="C732" s="39">
        <f t="array" ref="C732">NPV(B732,FCFF!$C$9:$I$9)+FCFF!$B$9+FCFF!$I$9*(1+Inputs!$B$6)/(B732-Inputs!$B$6)/(1+B732)^7</f>
        <v>-1905.042986</v>
      </c>
    </row>
    <row r="733" ht="14.25" customHeight="1">
      <c r="A733" s="7">
        <v>720.0</v>
      </c>
      <c r="B733" s="14">
        <f t="shared" si="1"/>
        <v>0.1003880602</v>
      </c>
      <c r="C733" s="39">
        <f t="array" ref="C733">NPV(B733,FCFF!$C$9:$I$9)+FCFF!$B$9+FCFF!$I$9*(1+Inputs!$B$6)/(B733-Inputs!$B$6)/(1+B733)^7</f>
        <v>-1394.618981</v>
      </c>
    </row>
    <row r="734" ht="14.25" customHeight="1">
      <c r="A734" s="7">
        <v>721.0</v>
      </c>
      <c r="B734" s="14">
        <f t="shared" si="1"/>
        <v>0.1079369313</v>
      </c>
      <c r="C734" s="39">
        <f t="array" ref="C734">NPV(B734,FCFF!$C$9:$I$9)+FCFF!$B$9+FCFF!$I$9*(1+Inputs!$B$6)/(B734-Inputs!$B$6)/(1+B734)^7</f>
        <v>-1585.247407</v>
      </c>
    </row>
    <row r="735" ht="14.25" customHeight="1">
      <c r="A735" s="7">
        <v>722.0</v>
      </c>
      <c r="B735" s="14">
        <f t="shared" si="1"/>
        <v>0.1098403021</v>
      </c>
      <c r="C735" s="39">
        <f t="array" ref="C735">NPV(B735,FCFF!$C$9:$I$9)+FCFF!$B$9+FCFF!$I$9*(1+Inputs!$B$6)/(B735-Inputs!$B$6)/(1+B735)^7</f>
        <v>-1627.502584</v>
      </c>
    </row>
    <row r="736" ht="14.25" customHeight="1">
      <c r="A736" s="7">
        <v>723.0</v>
      </c>
      <c r="B736" s="14">
        <f t="shared" si="1"/>
        <v>0.1271547821</v>
      </c>
      <c r="C736" s="39">
        <f t="array" ref="C736">NPV(B736,FCFF!$C$9:$I$9)+FCFF!$B$9+FCFF!$I$9*(1+Inputs!$B$6)/(B736-Inputs!$B$6)/(1+B736)^7</f>
        <v>-1932.93007</v>
      </c>
    </row>
    <row r="737" ht="14.25" customHeight="1">
      <c r="A737" s="7">
        <v>724.0</v>
      </c>
      <c r="B737" s="14">
        <f t="shared" si="1"/>
        <v>0.1079048139</v>
      </c>
      <c r="C737" s="39">
        <f t="array" ref="C737">NPV(B737,FCFF!$C$9:$I$9)+FCFF!$B$9+FCFF!$I$9*(1+Inputs!$B$6)/(B737-Inputs!$B$6)/(1+B737)^7</f>
        <v>-1584.516163</v>
      </c>
    </row>
    <row r="738" ht="14.25" customHeight="1">
      <c r="A738" s="7">
        <v>725.0</v>
      </c>
      <c r="B738" s="14">
        <f t="shared" si="1"/>
        <v>0.1215836133</v>
      </c>
      <c r="C738" s="39">
        <f t="array" ref="C738">NPV(B738,FCFF!$C$9:$I$9)+FCFF!$B$9+FCFF!$I$9*(1+Inputs!$B$6)/(B738-Inputs!$B$6)/(1+B738)^7</f>
        <v>-1847.950609</v>
      </c>
    </row>
    <row r="739" ht="14.25" customHeight="1">
      <c r="A739" s="7">
        <v>726.0</v>
      </c>
      <c r="B739" s="14">
        <f t="shared" si="1"/>
        <v>0.1168680948</v>
      </c>
      <c r="C739" s="39">
        <f t="array" ref="C739">NPV(B739,FCFF!$C$9:$I$9)+FCFF!$B$9+FCFF!$I$9*(1+Inputs!$B$6)/(B739-Inputs!$B$6)/(1+B739)^7</f>
        <v>-1766.932683</v>
      </c>
    </row>
    <row r="740" ht="14.25" customHeight="1">
      <c r="A740" s="7">
        <v>727.0</v>
      </c>
      <c r="B740" s="14">
        <f t="shared" si="1"/>
        <v>0.1244191402</v>
      </c>
      <c r="C740" s="39">
        <f t="array" ref="C740">NPV(B740,FCFF!$C$9:$I$9)+FCFF!$B$9+FCFF!$I$9*(1+Inputs!$B$6)/(B740-Inputs!$B$6)/(1+B740)^7</f>
        <v>-1892.543225</v>
      </c>
    </row>
    <row r="741" ht="14.25" customHeight="1">
      <c r="A741" s="7">
        <v>728.0</v>
      </c>
      <c r="B741" s="14">
        <f t="shared" si="1"/>
        <v>0.1036635846</v>
      </c>
      <c r="C741" s="39">
        <f t="array" ref="C741">NPV(B741,FCFF!$C$9:$I$9)+FCFF!$B$9+FCFF!$I$9*(1+Inputs!$B$6)/(B741-Inputs!$B$6)/(1+B741)^7</f>
        <v>-1482.213972</v>
      </c>
    </row>
    <row r="742" ht="14.25" customHeight="1">
      <c r="A742" s="7">
        <v>729.0</v>
      </c>
      <c r="B742" s="14">
        <f t="shared" si="1"/>
        <v>0.1228718064</v>
      </c>
      <c r="C742" s="39">
        <f t="array" ref="C742">NPV(B742,FCFF!$C$9:$I$9)+FCFF!$B$9+FCFF!$I$9*(1+Inputs!$B$6)/(B742-Inputs!$B$6)/(1+B742)^7</f>
        <v>-1868.569249</v>
      </c>
    </row>
    <row r="743" ht="14.25" customHeight="1">
      <c r="A743" s="7">
        <v>730.0</v>
      </c>
      <c r="B743" s="14">
        <f t="shared" si="1"/>
        <v>0.09325174165</v>
      </c>
      <c r="C743" s="39">
        <f t="array" ref="C743">NPV(B743,FCFF!$C$9:$I$9)+FCFF!$B$9+FCFF!$I$9*(1+Inputs!$B$6)/(B743-Inputs!$B$6)/(1+B743)^7</f>
        <v>-1172.235397</v>
      </c>
    </row>
    <row r="744" ht="14.25" customHeight="1">
      <c r="A744" s="7">
        <v>731.0</v>
      </c>
      <c r="B744" s="14">
        <f t="shared" si="1"/>
        <v>0.1159988136</v>
      </c>
      <c r="C744" s="39">
        <f t="array" ref="C744">NPV(B744,FCFF!$C$9:$I$9)+FCFF!$B$9+FCFF!$I$9*(1+Inputs!$B$6)/(B744-Inputs!$B$6)/(1+B744)^7</f>
        <v>-1750.973963</v>
      </c>
    </row>
    <row r="745" ht="14.25" customHeight="1">
      <c r="A745" s="7">
        <v>732.0</v>
      </c>
      <c r="B745" s="14">
        <f t="shared" si="1"/>
        <v>0.1027926117</v>
      </c>
      <c r="C745" s="39">
        <f t="array" ref="C745">NPV(B745,FCFF!$C$9:$I$9)+FCFF!$B$9+FCFF!$I$9*(1+Inputs!$B$6)/(B745-Inputs!$B$6)/(1+B745)^7</f>
        <v>-1459.701102</v>
      </c>
    </row>
    <row r="746" ht="14.25" customHeight="1">
      <c r="A746" s="7">
        <v>733.0</v>
      </c>
      <c r="B746" s="14">
        <f t="shared" si="1"/>
        <v>0.1232647193</v>
      </c>
      <c r="C746" s="39">
        <f t="array" ref="C746">NPV(B746,FCFF!$C$9:$I$9)+FCFF!$B$9+FCFF!$I$9*(1+Inputs!$B$6)/(B746-Inputs!$B$6)/(1+B746)^7</f>
        <v>-1874.73743</v>
      </c>
    </row>
    <row r="747" ht="14.25" customHeight="1">
      <c r="A747" s="7">
        <v>734.0</v>
      </c>
      <c r="B747" s="14">
        <f t="shared" si="1"/>
        <v>0.09617467813</v>
      </c>
      <c r="C747" s="39">
        <f t="array" ref="C747">NPV(B747,FCFF!$C$9:$I$9)+FCFF!$B$9+FCFF!$I$9*(1+Inputs!$B$6)/(B747-Inputs!$B$6)/(1+B747)^7</f>
        <v>-1269.104287</v>
      </c>
    </row>
    <row r="748" ht="14.25" customHeight="1">
      <c r="A748" s="7">
        <v>735.0</v>
      </c>
      <c r="B748" s="14">
        <f t="shared" si="1"/>
        <v>0.1213546693</v>
      </c>
      <c r="C748" s="39">
        <f t="array" ref="C748">NPV(B748,FCFF!$C$9:$I$9)+FCFF!$B$9+FCFF!$I$9*(1+Inputs!$B$6)/(B748-Inputs!$B$6)/(1+B748)^7</f>
        <v>-1844.221394</v>
      </c>
    </row>
    <row r="749" ht="14.25" customHeight="1">
      <c r="A749" s="7">
        <v>736.0</v>
      </c>
      <c r="B749" s="14">
        <f t="shared" si="1"/>
        <v>0.1205739388</v>
      </c>
      <c r="C749" s="39">
        <f t="array" ref="C749">NPV(B749,FCFF!$C$9:$I$9)+FCFF!$B$9+FCFF!$I$9*(1+Inputs!$B$6)/(B749-Inputs!$B$6)/(1+B749)^7</f>
        <v>-1831.353665</v>
      </c>
    </row>
    <row r="750" ht="14.25" customHeight="1">
      <c r="A750" s="7">
        <v>737.0</v>
      </c>
      <c r="B750" s="14">
        <f t="shared" si="1"/>
        <v>0.110281951</v>
      </c>
      <c r="C750" s="39">
        <f t="array" ref="C750">NPV(B750,FCFF!$C$9:$I$9)+FCFF!$B$9+FCFF!$I$9*(1+Inputs!$B$6)/(B750-Inputs!$B$6)/(1+B750)^7</f>
        <v>-1637.012106</v>
      </c>
    </row>
    <row r="751" ht="14.25" customHeight="1">
      <c r="A751" s="7">
        <v>738.0</v>
      </c>
      <c r="B751" s="14">
        <f t="shared" si="1"/>
        <v>0.1011441703</v>
      </c>
      <c r="C751" s="39">
        <f t="array" ref="C751">NPV(B751,FCFF!$C$9:$I$9)+FCFF!$B$9+FCFF!$I$9*(1+Inputs!$B$6)/(B751-Inputs!$B$6)/(1+B751)^7</f>
        <v>-1415.563108</v>
      </c>
    </row>
    <row r="752" ht="14.25" customHeight="1">
      <c r="A752" s="7">
        <v>739.0</v>
      </c>
      <c r="B752" s="14">
        <f t="shared" si="1"/>
        <v>0.09787310812</v>
      </c>
      <c r="C752" s="39">
        <f t="array" ref="C752">NPV(B752,FCFF!$C$9:$I$9)+FCFF!$B$9+FCFF!$I$9*(1+Inputs!$B$6)/(B752-Inputs!$B$6)/(1+B752)^7</f>
        <v>-1321.577345</v>
      </c>
    </row>
    <row r="753" ht="14.25" customHeight="1">
      <c r="A753" s="7">
        <v>740.0</v>
      </c>
      <c r="B753" s="14">
        <f t="shared" si="1"/>
        <v>0.1006286015</v>
      </c>
      <c r="C753" s="39">
        <f t="array" ref="C753">NPV(B753,FCFF!$C$9:$I$9)+FCFF!$B$9+FCFF!$I$9*(1+Inputs!$B$6)/(B753-Inputs!$B$6)/(1+B753)^7</f>
        <v>-1401.330982</v>
      </c>
    </row>
    <row r="754" ht="14.25" customHeight="1">
      <c r="A754" s="7">
        <v>741.0</v>
      </c>
      <c r="B754" s="14">
        <f t="shared" si="1"/>
        <v>0.1185370909</v>
      </c>
      <c r="C754" s="39">
        <f t="array" ref="C754">NPV(B754,FCFF!$C$9:$I$9)+FCFF!$B$9+FCFF!$I$9*(1+Inputs!$B$6)/(B754-Inputs!$B$6)/(1+B754)^7</f>
        <v>-1796.650267</v>
      </c>
    </row>
    <row r="755" ht="14.25" customHeight="1">
      <c r="A755" s="7">
        <v>742.0</v>
      </c>
      <c r="B755" s="14">
        <f t="shared" si="1"/>
        <v>0.1147049497</v>
      </c>
      <c r="C755" s="39">
        <f t="array" ref="C755">NPV(B755,FCFF!$C$9:$I$9)+FCFF!$B$9+FCFF!$I$9*(1+Inputs!$B$6)/(B755-Inputs!$B$6)/(1+B755)^7</f>
        <v>-1726.584429</v>
      </c>
    </row>
    <row r="756" ht="14.25" customHeight="1">
      <c r="A756" s="7">
        <v>743.0</v>
      </c>
      <c r="B756" s="14">
        <f t="shared" si="1"/>
        <v>0.1002127818</v>
      </c>
      <c r="C756" s="39">
        <f t="array" ref="C756">NPV(B756,FCFF!$C$9:$I$9)+FCFF!$B$9+FCFF!$I$9*(1+Inputs!$B$6)/(B756-Inputs!$B$6)/(1+B756)^7</f>
        <v>-1389.698874</v>
      </c>
    </row>
    <row r="757" ht="14.25" customHeight="1">
      <c r="A757" s="7">
        <v>744.0</v>
      </c>
      <c r="B757" s="14">
        <f t="shared" si="1"/>
        <v>0.1314253822</v>
      </c>
      <c r="C757" s="39">
        <f t="array" ref="C757">NPV(B757,FCFF!$C$9:$I$9)+FCFF!$B$9+FCFF!$I$9*(1+Inputs!$B$6)/(B757-Inputs!$B$6)/(1+B757)^7</f>
        <v>-1991.29302</v>
      </c>
    </row>
    <row r="758" ht="14.25" customHeight="1">
      <c r="A758" s="7">
        <v>745.0</v>
      </c>
      <c r="B758" s="14">
        <f t="shared" si="1"/>
        <v>0.1230493823</v>
      </c>
      <c r="C758" s="39">
        <f t="array" ref="C758">NPV(B758,FCFF!$C$9:$I$9)+FCFF!$B$9+FCFF!$I$9*(1+Inputs!$B$6)/(B758-Inputs!$B$6)/(1+B758)^7</f>
        <v>-1871.363823</v>
      </c>
    </row>
    <row r="759" ht="14.25" customHeight="1">
      <c r="A759" s="7">
        <v>746.0</v>
      </c>
      <c r="B759" s="14">
        <f t="shared" si="1"/>
        <v>0.127510711</v>
      </c>
      <c r="C759" s="39">
        <f t="array" ref="C759">NPV(B759,FCFF!$C$9:$I$9)+FCFF!$B$9+FCFF!$I$9*(1+Inputs!$B$6)/(B759-Inputs!$B$6)/(1+B759)^7</f>
        <v>-1938.005704</v>
      </c>
    </row>
    <row r="760" ht="14.25" customHeight="1">
      <c r="A760" s="7">
        <v>747.0</v>
      </c>
      <c r="B760" s="14">
        <f t="shared" si="1"/>
        <v>0.113339553</v>
      </c>
      <c r="C760" s="39">
        <f t="array" ref="C760">NPV(B760,FCFF!$C$9:$I$9)+FCFF!$B$9+FCFF!$I$9*(1+Inputs!$B$6)/(B760-Inputs!$B$6)/(1+B760)^7</f>
        <v>-1699.987749</v>
      </c>
    </row>
    <row r="761" ht="14.25" customHeight="1">
      <c r="A761" s="7">
        <v>748.0</v>
      </c>
      <c r="B761" s="14">
        <f t="shared" si="1"/>
        <v>0.1219492861</v>
      </c>
      <c r="C761" s="39">
        <f t="array" ref="C761">NPV(B761,FCFF!$C$9:$I$9)+FCFF!$B$9+FCFF!$I$9*(1+Inputs!$B$6)/(B761-Inputs!$B$6)/(1+B761)^7</f>
        <v>-1853.866027</v>
      </c>
    </row>
    <row r="762" ht="14.25" customHeight="1">
      <c r="A762" s="7">
        <v>749.0</v>
      </c>
      <c r="B762" s="14">
        <f t="shared" si="1"/>
        <v>0.1132535052</v>
      </c>
      <c r="C762" s="39">
        <f t="array" ref="C762">NPV(B762,FCFF!$C$9:$I$9)+FCFF!$B$9+FCFF!$I$9*(1+Inputs!$B$6)/(B762-Inputs!$B$6)/(1+B762)^7</f>
        <v>-1698.281146</v>
      </c>
    </row>
    <row r="763" ht="14.25" customHeight="1">
      <c r="A763" s="7">
        <v>750.0</v>
      </c>
      <c r="B763" s="14">
        <f t="shared" si="1"/>
        <v>0.1079060524</v>
      </c>
      <c r="C763" s="39">
        <f t="array" ref="C763">NPV(B763,FCFF!$C$9:$I$9)+FCFF!$B$9+FCFF!$I$9*(1+Inputs!$B$6)/(B763-Inputs!$B$6)/(1+B763)^7</f>
        <v>-1584.544374</v>
      </c>
    </row>
    <row r="764" ht="14.25" customHeight="1">
      <c r="A764" s="7">
        <v>751.0</v>
      </c>
      <c r="B764" s="14">
        <f t="shared" si="1"/>
        <v>0.1258964272</v>
      </c>
      <c r="C764" s="39">
        <f t="array" ref="C764">NPV(B764,FCFF!$C$9:$I$9)+FCFF!$B$9+FCFF!$I$9*(1+Inputs!$B$6)/(B764-Inputs!$B$6)/(1+B764)^7</f>
        <v>-1914.660086</v>
      </c>
    </row>
    <row r="765" ht="14.25" customHeight="1">
      <c r="A765" s="7">
        <v>752.0</v>
      </c>
      <c r="B765" s="14">
        <f t="shared" si="1"/>
        <v>0.1300612614</v>
      </c>
      <c r="C765" s="39">
        <f t="array" ref="C765">NPV(B765,FCFF!$C$9:$I$9)+FCFF!$B$9+FCFF!$I$9*(1+Inputs!$B$6)/(B765-Inputs!$B$6)/(1+B765)^7</f>
        <v>-1973.237345</v>
      </c>
    </row>
    <row r="766" ht="14.25" customHeight="1">
      <c r="A766" s="7">
        <v>753.0</v>
      </c>
      <c r="B766" s="14">
        <f t="shared" si="1"/>
        <v>0.1091393802</v>
      </c>
      <c r="C766" s="39">
        <f t="array" ref="C766">NPV(B766,FCFF!$C$9:$I$9)+FCFF!$B$9+FCFF!$I$9*(1+Inputs!$B$6)/(B766-Inputs!$B$6)/(1+B766)^7</f>
        <v>-1612.185499</v>
      </c>
    </row>
    <row r="767" ht="14.25" customHeight="1">
      <c r="A767" s="7">
        <v>754.0</v>
      </c>
      <c r="B767" s="14">
        <f t="shared" si="1"/>
        <v>0.1319917593</v>
      </c>
      <c r="C767" s="39">
        <f t="array" ref="C767">NPV(B767,FCFF!$C$9:$I$9)+FCFF!$B$9+FCFF!$I$9*(1+Inputs!$B$6)/(B767-Inputs!$B$6)/(1+B767)^7</f>
        <v>-1998.635346</v>
      </c>
    </row>
    <row r="768" ht="14.25" customHeight="1">
      <c r="A768" s="7">
        <v>755.0</v>
      </c>
      <c r="B768" s="14">
        <f t="shared" si="1"/>
        <v>0.1316879862</v>
      </c>
      <c r="C768" s="39">
        <f t="array" ref="C768">NPV(B768,FCFF!$C$9:$I$9)+FCFF!$B$9+FCFF!$I$9*(1+Inputs!$B$6)/(B768-Inputs!$B$6)/(1+B768)^7</f>
        <v>-1994.708414</v>
      </c>
    </row>
    <row r="769" ht="14.25" customHeight="1">
      <c r="A769" s="7">
        <v>756.0</v>
      </c>
      <c r="B769" s="14">
        <f t="shared" si="1"/>
        <v>0.1160259489</v>
      </c>
      <c r="C769" s="39">
        <f t="array" ref="C769">NPV(B769,FCFF!$C$9:$I$9)+FCFF!$B$9+FCFF!$I$9*(1+Inputs!$B$6)/(B769-Inputs!$B$6)/(1+B769)^7</f>
        <v>-1751.477245</v>
      </c>
    </row>
    <row r="770" ht="14.25" customHeight="1">
      <c r="A770" s="7">
        <v>757.0</v>
      </c>
      <c r="B770" s="14">
        <f t="shared" si="1"/>
        <v>0.1302116725</v>
      </c>
      <c r="C770" s="39">
        <f t="array" ref="C770">NPV(B770,FCFF!$C$9:$I$9)+FCFF!$B$9+FCFF!$I$9*(1+Inputs!$B$6)/(B770-Inputs!$B$6)/(1+B770)^7</f>
        <v>-1975.254417</v>
      </c>
    </row>
    <row r="771" ht="14.25" customHeight="1">
      <c r="A771" s="7">
        <v>758.0</v>
      </c>
      <c r="B771" s="14">
        <f t="shared" si="1"/>
        <v>0.09821664651</v>
      </c>
      <c r="C771" s="39">
        <f t="array" ref="C771">NPV(B771,FCFF!$C$9:$I$9)+FCFF!$B$9+FCFF!$I$9*(1+Inputs!$B$6)/(B771-Inputs!$B$6)/(1+B771)^7</f>
        <v>-1331.873385</v>
      </c>
    </row>
    <row r="772" ht="14.25" customHeight="1">
      <c r="A772" s="7">
        <v>759.0</v>
      </c>
      <c r="B772" s="14">
        <f t="shared" si="1"/>
        <v>0.09444169325</v>
      </c>
      <c r="C772" s="39">
        <f t="array" ref="C772">NPV(B772,FCFF!$C$9:$I$9)+FCFF!$B$9+FCFF!$I$9*(1+Inputs!$B$6)/(B772-Inputs!$B$6)/(1+B772)^7</f>
        <v>-1212.72367</v>
      </c>
    </row>
    <row r="773" ht="14.25" customHeight="1">
      <c r="A773" s="7">
        <v>760.0</v>
      </c>
      <c r="B773" s="14">
        <f t="shared" si="1"/>
        <v>0.1088795921</v>
      </c>
      <c r="C773" s="39">
        <f t="array" ref="C773">NPV(B773,FCFF!$C$9:$I$9)+FCFF!$B$9+FCFF!$I$9*(1+Inputs!$B$6)/(B773-Inputs!$B$6)/(1+B773)^7</f>
        <v>-1606.437122</v>
      </c>
    </row>
    <row r="774" ht="14.25" customHeight="1">
      <c r="A774" s="7">
        <v>761.0</v>
      </c>
      <c r="B774" s="14">
        <f t="shared" si="1"/>
        <v>0.103466524</v>
      </c>
      <c r="C774" s="39">
        <f t="array" ref="C774">NPV(B774,FCFF!$C$9:$I$9)+FCFF!$B$9+FCFF!$I$9*(1+Inputs!$B$6)/(B774-Inputs!$B$6)/(1+B774)^7</f>
        <v>-1477.167792</v>
      </c>
    </row>
    <row r="775" ht="14.25" customHeight="1">
      <c r="A775" s="7">
        <v>762.0</v>
      </c>
      <c r="B775" s="14">
        <f t="shared" si="1"/>
        <v>0.1228594861</v>
      </c>
      <c r="C775" s="39">
        <f t="array" ref="C775">NPV(B775,FCFF!$C$9:$I$9)+FCFF!$B$9+FCFF!$I$9*(1+Inputs!$B$6)/(B775-Inputs!$B$6)/(1+B775)^7</f>
        <v>-1868.374937</v>
      </c>
    </row>
    <row r="776" ht="14.25" customHeight="1">
      <c r="A776" s="7">
        <v>763.0</v>
      </c>
      <c r="B776" s="14">
        <f t="shared" si="1"/>
        <v>0.1246412191</v>
      </c>
      <c r="C776" s="39">
        <f t="array" ref="C776">NPV(B776,FCFF!$C$9:$I$9)+FCFF!$B$9+FCFF!$I$9*(1+Inputs!$B$6)/(B776-Inputs!$B$6)/(1+B776)^7</f>
        <v>-1895.915306</v>
      </c>
    </row>
    <row r="777" ht="14.25" customHeight="1">
      <c r="A777" s="7">
        <v>764.0</v>
      </c>
      <c r="B777" s="14">
        <f t="shared" si="1"/>
        <v>0.1047555343</v>
      </c>
      <c r="C777" s="39">
        <f t="array" ref="C777">NPV(B777,FCFF!$C$9:$I$9)+FCFF!$B$9+FCFF!$I$9*(1+Inputs!$B$6)/(B777-Inputs!$B$6)/(1+B777)^7</f>
        <v>-1509.685584</v>
      </c>
    </row>
    <row r="778" ht="14.25" customHeight="1">
      <c r="A778" s="7">
        <v>765.0</v>
      </c>
      <c r="B778" s="14">
        <f t="shared" si="1"/>
        <v>0.1183408242</v>
      </c>
      <c r="C778" s="39">
        <f t="array" ref="C778">NPV(B778,FCFF!$C$9:$I$9)+FCFF!$B$9+FCFF!$I$9*(1+Inputs!$B$6)/(B778-Inputs!$B$6)/(1+B778)^7</f>
        <v>-1793.216957</v>
      </c>
    </row>
    <row r="779" ht="14.25" customHeight="1">
      <c r="A779" s="7">
        <v>766.0</v>
      </c>
      <c r="B779" s="14">
        <f t="shared" si="1"/>
        <v>0.09733485403</v>
      </c>
      <c r="C779" s="39">
        <f t="array" ref="C779">NPV(B779,FCFF!$C$9:$I$9)+FCFF!$B$9+FCFF!$I$9*(1+Inputs!$B$6)/(B779-Inputs!$B$6)/(1+B779)^7</f>
        <v>-1305.234163</v>
      </c>
    </row>
    <row r="780" ht="14.25" customHeight="1">
      <c r="A780" s="7">
        <v>767.0</v>
      </c>
      <c r="B780" s="14">
        <f t="shared" si="1"/>
        <v>0.117109785</v>
      </c>
      <c r="C780" s="39">
        <f t="array" ref="C780">NPV(B780,FCFF!$C$9:$I$9)+FCFF!$B$9+FCFF!$I$9*(1+Inputs!$B$6)/(B780-Inputs!$B$6)/(1+B780)^7</f>
        <v>-1771.310353</v>
      </c>
    </row>
    <row r="781" ht="14.25" customHeight="1">
      <c r="A781" s="7">
        <v>768.0</v>
      </c>
      <c r="B781" s="14">
        <f t="shared" si="1"/>
        <v>0.1039800443</v>
      </c>
      <c r="C781" s="39">
        <f t="array" ref="C781">NPV(B781,FCFF!$C$9:$I$9)+FCFF!$B$9+FCFF!$I$9*(1+Inputs!$B$6)/(B781-Inputs!$B$6)/(1+B781)^7</f>
        <v>-1490.260474</v>
      </c>
    </row>
    <row r="782" ht="14.25" customHeight="1">
      <c r="A782" s="7">
        <v>769.0</v>
      </c>
      <c r="B782" s="14">
        <f t="shared" si="1"/>
        <v>0.1045971547</v>
      </c>
      <c r="C782" s="39">
        <f t="array" ref="C782">NPV(B782,FCFF!$C$9:$I$9)+FCFF!$B$9+FCFF!$I$9*(1+Inputs!$B$6)/(B782-Inputs!$B$6)/(1+B782)^7</f>
        <v>-1505.751776</v>
      </c>
    </row>
    <row r="783" ht="14.25" customHeight="1">
      <c r="A783" s="7">
        <v>770.0</v>
      </c>
      <c r="B783" s="14">
        <f t="shared" si="1"/>
        <v>0.1290770503</v>
      </c>
      <c r="C783" s="39">
        <f t="array" ref="C783">NPV(B783,FCFF!$C$9:$I$9)+FCFF!$B$9+FCFF!$I$9*(1+Inputs!$B$6)/(B783-Inputs!$B$6)/(1+B783)^7</f>
        <v>-1959.874656</v>
      </c>
    </row>
    <row r="784" ht="14.25" customHeight="1">
      <c r="A784" s="7">
        <v>771.0</v>
      </c>
      <c r="B784" s="14">
        <f t="shared" si="1"/>
        <v>0.1241542987</v>
      </c>
      <c r="C784" s="39">
        <f t="array" ref="C784">NPV(B784,FCFF!$C$9:$I$9)+FCFF!$B$9+FCFF!$I$9*(1+Inputs!$B$6)/(B784-Inputs!$B$6)/(1+B784)^7</f>
        <v>-1888.499566</v>
      </c>
    </row>
    <row r="785" ht="14.25" customHeight="1">
      <c r="A785" s="7">
        <v>772.0</v>
      </c>
      <c r="B785" s="14">
        <f t="shared" si="1"/>
        <v>0.09769654138</v>
      </c>
      <c r="C785" s="39">
        <f t="array" ref="C785">NPV(B785,FCFF!$C$9:$I$9)+FCFF!$B$9+FCFF!$I$9*(1+Inputs!$B$6)/(B785-Inputs!$B$6)/(1+B785)^7</f>
        <v>-1316.244843</v>
      </c>
    </row>
    <row r="786" ht="14.25" customHeight="1">
      <c r="A786" s="7">
        <v>773.0</v>
      </c>
      <c r="B786" s="14">
        <f t="shared" si="1"/>
        <v>0.1233653606</v>
      </c>
      <c r="C786" s="39">
        <f t="array" ref="C786">NPV(B786,FCFF!$C$9:$I$9)+FCFF!$B$9+FCFF!$I$9*(1+Inputs!$B$6)/(B786-Inputs!$B$6)/(1+B786)^7</f>
        <v>-1876.308445</v>
      </c>
    </row>
    <row r="787" ht="14.25" customHeight="1">
      <c r="A787" s="7">
        <v>774.0</v>
      </c>
      <c r="B787" s="14">
        <f t="shared" si="1"/>
        <v>0.12482655</v>
      </c>
      <c r="C787" s="39">
        <f t="array" ref="C787">NPV(B787,FCFF!$C$9:$I$9)+FCFF!$B$9+FCFF!$I$9*(1+Inputs!$B$6)/(B787-Inputs!$B$6)/(1+B787)^7</f>
        <v>-1898.716455</v>
      </c>
    </row>
    <row r="788" ht="14.25" customHeight="1">
      <c r="A788" s="7">
        <v>775.0</v>
      </c>
      <c r="B788" s="14">
        <f t="shared" si="1"/>
        <v>0.1114638865</v>
      </c>
      <c r="C788" s="39">
        <f t="array" ref="C788">NPV(B788,FCFF!$C$9:$I$9)+FCFF!$B$9+FCFF!$I$9*(1+Inputs!$B$6)/(B788-Inputs!$B$6)/(1+B788)^7</f>
        <v>-1661.937089</v>
      </c>
    </row>
    <row r="789" ht="14.25" customHeight="1">
      <c r="A789" s="7">
        <v>776.0</v>
      </c>
      <c r="B789" s="14">
        <f t="shared" si="1"/>
        <v>0.09497156364</v>
      </c>
      <c r="C789" s="39">
        <f t="array" ref="C789">NPV(B789,FCFF!$C$9:$I$9)+FCFF!$B$9+FCFF!$I$9*(1+Inputs!$B$6)/(B789-Inputs!$B$6)/(1+B789)^7</f>
        <v>-1230.279574</v>
      </c>
    </row>
    <row r="790" ht="14.25" customHeight="1">
      <c r="A790" s="7">
        <v>777.0</v>
      </c>
      <c r="B790" s="14">
        <f t="shared" si="1"/>
        <v>0.1020695075</v>
      </c>
      <c r="C790" s="39">
        <f t="array" ref="C790">NPV(B790,FCFF!$C$9:$I$9)+FCFF!$B$9+FCFF!$I$9*(1+Inputs!$B$6)/(B790-Inputs!$B$6)/(1+B790)^7</f>
        <v>-1440.591078</v>
      </c>
    </row>
    <row r="791" ht="14.25" customHeight="1">
      <c r="A791" s="7">
        <v>778.0</v>
      </c>
      <c r="B791" s="14">
        <f t="shared" si="1"/>
        <v>0.1284637682</v>
      </c>
      <c r="C791" s="39">
        <f t="array" ref="C791">NPV(B791,FCFF!$C$9:$I$9)+FCFF!$B$9+FCFF!$I$9*(1+Inputs!$B$6)/(B791-Inputs!$B$6)/(1+B791)^7</f>
        <v>-1951.401687</v>
      </c>
    </row>
    <row r="792" ht="14.25" customHeight="1">
      <c r="A792" s="7">
        <v>779.0</v>
      </c>
      <c r="B792" s="14">
        <f t="shared" si="1"/>
        <v>0.1025892613</v>
      </c>
      <c r="C792" s="39">
        <f t="array" ref="C792">NPV(B792,FCFF!$C$9:$I$9)+FCFF!$B$9+FCFF!$I$9*(1+Inputs!$B$6)/(B792-Inputs!$B$6)/(1+B792)^7</f>
        <v>-1454.365986</v>
      </c>
    </row>
    <row r="793" ht="14.25" customHeight="1">
      <c r="A793" s="7">
        <v>780.0</v>
      </c>
      <c r="B793" s="14">
        <f t="shared" si="1"/>
        <v>0.1177811901</v>
      </c>
      <c r="C793" s="39">
        <f t="array" ref="C793">NPV(B793,FCFF!$C$9:$I$9)+FCFF!$B$9+FCFF!$I$9*(1+Inputs!$B$6)/(B793-Inputs!$B$6)/(1+B793)^7</f>
        <v>-1783.338348</v>
      </c>
    </row>
    <row r="794" ht="14.25" customHeight="1">
      <c r="A794" s="7">
        <v>781.0</v>
      </c>
      <c r="B794" s="14">
        <f t="shared" si="1"/>
        <v>0.1307267896</v>
      </c>
      <c r="C794" s="39">
        <f t="array" ref="C794">NPV(B794,FCFF!$C$9:$I$9)+FCFF!$B$9+FCFF!$I$9*(1+Inputs!$B$6)/(B794-Inputs!$B$6)/(1+B794)^7</f>
        <v>-1982.112781</v>
      </c>
    </row>
    <row r="795" ht="14.25" customHeight="1">
      <c r="A795" s="7">
        <v>782.0</v>
      </c>
      <c r="B795" s="14">
        <f t="shared" si="1"/>
        <v>0.1151052206</v>
      </c>
      <c r="C795" s="39">
        <f t="array" ref="C795">NPV(B795,FCFF!$C$9:$I$9)+FCFF!$B$9+FCFF!$I$9*(1+Inputs!$B$6)/(B795-Inputs!$B$6)/(1+B795)^7</f>
        <v>-1734.212507</v>
      </c>
    </row>
    <row r="796" ht="14.25" customHeight="1">
      <c r="A796" s="7">
        <v>783.0</v>
      </c>
      <c r="B796" s="14">
        <f t="shared" si="1"/>
        <v>0.1027121158</v>
      </c>
      <c r="C796" s="39">
        <f t="array" ref="C796">NPV(B796,FCFF!$C$9:$I$9)+FCFF!$B$9+FCFF!$I$9*(1+Inputs!$B$6)/(B796-Inputs!$B$6)/(1+B796)^7</f>
        <v>-1457.592823</v>
      </c>
    </row>
    <row r="797" ht="14.25" customHeight="1">
      <c r="A797" s="7">
        <v>784.0</v>
      </c>
      <c r="B797" s="14">
        <f t="shared" si="1"/>
        <v>0.123971889</v>
      </c>
      <c r="C797" s="39">
        <f t="array" ref="C797">NPV(B797,FCFF!$C$9:$I$9)+FCFF!$B$9+FCFF!$I$9*(1+Inputs!$B$6)/(B797-Inputs!$B$6)/(1+B797)^7</f>
        <v>-1885.70031</v>
      </c>
    </row>
    <row r="798" ht="14.25" customHeight="1">
      <c r="A798" s="7">
        <v>785.0</v>
      </c>
      <c r="B798" s="14">
        <f t="shared" si="1"/>
        <v>0.1301127807</v>
      </c>
      <c r="C798" s="39">
        <f t="array" ref="C798">NPV(B798,FCFF!$C$9:$I$9)+FCFF!$B$9+FCFF!$I$9*(1+Inputs!$B$6)/(B798-Inputs!$B$6)/(1+B798)^7</f>
        <v>-1973.928981</v>
      </c>
    </row>
    <row r="799" ht="14.25" customHeight="1">
      <c r="A799" s="7">
        <v>786.0</v>
      </c>
      <c r="B799" s="14">
        <f t="shared" si="1"/>
        <v>0.1289974858</v>
      </c>
      <c r="C799" s="39">
        <f t="array" ref="C799">NPV(B799,FCFF!$C$9:$I$9)+FCFF!$B$9+FCFF!$I$9*(1+Inputs!$B$6)/(B799-Inputs!$B$6)/(1+B799)^7</f>
        <v>-1958.781823</v>
      </c>
    </row>
    <row r="800" ht="14.25" customHeight="1">
      <c r="A800" s="7">
        <v>787.0</v>
      </c>
      <c r="B800" s="14">
        <f t="shared" si="1"/>
        <v>0.1235466217</v>
      </c>
      <c r="C800" s="39">
        <f t="array" ref="C800">NPV(B800,FCFF!$C$9:$I$9)+FCFF!$B$9+FCFF!$I$9*(1+Inputs!$B$6)/(B800-Inputs!$B$6)/(1+B800)^7</f>
        <v>-1879.128837</v>
      </c>
    </row>
    <row r="801" ht="14.25" customHeight="1">
      <c r="A801" s="7">
        <v>788.0</v>
      </c>
      <c r="B801" s="14">
        <f t="shared" si="1"/>
        <v>0.1272351082</v>
      </c>
      <c r="C801" s="39">
        <f t="array" ref="C801">NPV(B801,FCFF!$C$9:$I$9)+FCFF!$B$9+FCFF!$I$9*(1+Inputs!$B$6)/(B801-Inputs!$B$6)/(1+B801)^7</f>
        <v>-1934.07904</v>
      </c>
    </row>
    <row r="802" ht="14.25" customHeight="1">
      <c r="A802" s="7">
        <v>789.0</v>
      </c>
      <c r="B802" s="14">
        <f t="shared" si="1"/>
        <v>0.1215452239</v>
      </c>
      <c r="C802" s="39">
        <f t="array" ref="C802">NPV(B802,FCFF!$C$9:$I$9)+FCFF!$B$9+FCFF!$I$9*(1+Inputs!$B$6)/(B802-Inputs!$B$6)/(1+B802)^7</f>
        <v>-1847.326676</v>
      </c>
    </row>
    <row r="803" ht="14.25" customHeight="1">
      <c r="A803" s="7">
        <v>790.0</v>
      </c>
      <c r="B803" s="14">
        <f t="shared" si="1"/>
        <v>0.09481466901</v>
      </c>
      <c r="C803" s="39">
        <f t="array" ref="C803">NPV(B803,FCFF!$C$9:$I$9)+FCFF!$B$9+FCFF!$I$9*(1+Inputs!$B$6)/(B803-Inputs!$B$6)/(1+B803)^7</f>
        <v>-1225.110959</v>
      </c>
    </row>
    <row r="804" ht="14.25" customHeight="1">
      <c r="A804" s="7">
        <v>791.0</v>
      </c>
      <c r="B804" s="14">
        <f t="shared" si="1"/>
        <v>0.1085978567</v>
      </c>
      <c r="C804" s="39">
        <f t="array" ref="C804">NPV(B804,FCFF!$C$9:$I$9)+FCFF!$B$9+FCFF!$I$9*(1+Inputs!$B$6)/(B804-Inputs!$B$6)/(1+B804)^7</f>
        <v>-1600.158879</v>
      </c>
    </row>
    <row r="805" ht="14.25" customHeight="1">
      <c r="A805" s="7">
        <v>792.0</v>
      </c>
      <c r="B805" s="14">
        <f t="shared" si="1"/>
        <v>0.1283302229</v>
      </c>
      <c r="C805" s="39">
        <f t="array" ref="C805">NPV(B805,FCFF!$C$9:$I$9)+FCFF!$B$9+FCFF!$I$9*(1+Inputs!$B$6)/(B805-Inputs!$B$6)/(1+B805)^7</f>
        <v>-1949.541496</v>
      </c>
    </row>
    <row r="806" ht="14.25" customHeight="1">
      <c r="A806" s="7">
        <v>793.0</v>
      </c>
      <c r="B806" s="14">
        <f t="shared" si="1"/>
        <v>0.1135463684</v>
      </c>
      <c r="C806" s="39">
        <f t="array" ref="C806">NPV(B806,FCFF!$C$9:$I$9)+FCFF!$B$9+FCFF!$I$9*(1+Inputs!$B$6)/(B806-Inputs!$B$6)/(1+B806)^7</f>
        <v>-1704.074589</v>
      </c>
    </row>
    <row r="807" ht="14.25" customHeight="1">
      <c r="A807" s="7">
        <v>794.0</v>
      </c>
      <c r="B807" s="14">
        <f t="shared" si="1"/>
        <v>0.1302854163</v>
      </c>
      <c r="C807" s="39">
        <f t="array" ref="C807">NPV(B807,FCFF!$C$9:$I$9)+FCFF!$B$9+FCFF!$I$9*(1+Inputs!$B$6)/(B807-Inputs!$B$6)/(1+B807)^7</f>
        <v>-1976.24095</v>
      </c>
    </row>
    <row r="808" ht="14.25" customHeight="1">
      <c r="A808" s="7">
        <v>795.0</v>
      </c>
      <c r="B808" s="14">
        <f t="shared" si="1"/>
        <v>0.1016348488</v>
      </c>
      <c r="C808" s="39">
        <f t="array" ref="C808">NPV(B808,FCFF!$C$9:$I$9)+FCFF!$B$9+FCFF!$I$9*(1+Inputs!$B$6)/(B808-Inputs!$B$6)/(1+B808)^7</f>
        <v>-1428.916084</v>
      </c>
    </row>
    <row r="809" ht="14.25" customHeight="1">
      <c r="A809" s="7">
        <v>796.0</v>
      </c>
      <c r="B809" s="14">
        <f t="shared" si="1"/>
        <v>0.09323578288</v>
      </c>
      <c r="C809" s="39">
        <f t="array" ref="C809">NPV(B809,FCFF!$C$9:$I$9)+FCFF!$B$9+FCFF!$I$9*(1+Inputs!$B$6)/(B809-Inputs!$B$6)/(1+B809)^7</f>
        <v>-1171.682152</v>
      </c>
    </row>
    <row r="810" ht="14.25" customHeight="1">
      <c r="A810" s="7">
        <v>797.0</v>
      </c>
      <c r="B810" s="14">
        <f t="shared" si="1"/>
        <v>0.1324016763</v>
      </c>
      <c r="C810" s="39">
        <f t="array" ref="C810">NPV(B810,FCFF!$C$9:$I$9)+FCFF!$B$9+FCFF!$I$9*(1+Inputs!$B$6)/(B810-Inputs!$B$6)/(1+B810)^7</f>
        <v>-2003.894156</v>
      </c>
    </row>
    <row r="811" ht="14.25" customHeight="1">
      <c r="A811" s="7">
        <v>798.0</v>
      </c>
      <c r="B811" s="14">
        <f t="shared" si="1"/>
        <v>0.1026457899</v>
      </c>
      <c r="C811" s="39">
        <f t="array" ref="C811">NPV(B811,FCFF!$C$9:$I$9)+FCFF!$B$9+FCFF!$I$9*(1+Inputs!$B$6)/(B811-Inputs!$B$6)/(1+B811)^7</f>
        <v>-1455.852114</v>
      </c>
    </row>
    <row r="812" ht="14.25" customHeight="1">
      <c r="A812" s="7">
        <v>799.0</v>
      </c>
      <c r="B812" s="14">
        <f t="shared" si="1"/>
        <v>0.1311186993</v>
      </c>
      <c r="C812" s="39">
        <f t="array" ref="C812">NPV(B812,FCFF!$C$9:$I$9)+FCFF!$B$9+FCFF!$I$9*(1+Inputs!$B$6)/(B812-Inputs!$B$6)/(1+B812)^7</f>
        <v>-1987.279881</v>
      </c>
    </row>
    <row r="813" ht="14.25" customHeight="1">
      <c r="A813" s="7">
        <v>800.0</v>
      </c>
      <c r="B813" s="14">
        <f t="shared" si="1"/>
        <v>0.111604285</v>
      </c>
      <c r="C813" s="39">
        <f t="array" ref="C813">NPV(B813,FCFF!$C$9:$I$9)+FCFF!$B$9+FCFF!$I$9*(1+Inputs!$B$6)/(B813-Inputs!$B$6)/(1+B813)^7</f>
        <v>-1664.848179</v>
      </c>
    </row>
    <row r="814" ht="14.25" customHeight="1">
      <c r="A814" s="7">
        <v>801.0</v>
      </c>
      <c r="B814" s="14">
        <f t="shared" si="1"/>
        <v>0.1216405308</v>
      </c>
      <c r="C814" s="39">
        <f t="array" ref="C814">NPV(B814,FCFF!$C$9:$I$9)+FCFF!$B$9+FCFF!$I$9*(1+Inputs!$B$6)/(B814-Inputs!$B$6)/(1+B814)^7</f>
        <v>-1848.87465</v>
      </c>
    </row>
    <row r="815" ht="14.25" customHeight="1">
      <c r="A815" s="7">
        <v>802.0</v>
      </c>
      <c r="B815" s="14">
        <f t="shared" si="1"/>
        <v>0.1022346777</v>
      </c>
      <c r="C815" s="39">
        <f t="array" ref="C815">NPV(B815,FCFF!$C$9:$I$9)+FCFF!$B$9+FCFF!$I$9*(1+Inputs!$B$6)/(B815-Inputs!$B$6)/(1+B815)^7</f>
        <v>-1444.990302</v>
      </c>
    </row>
    <row r="816" ht="14.25" customHeight="1">
      <c r="A816" s="7">
        <v>803.0</v>
      </c>
      <c r="B816" s="14">
        <f t="shared" si="1"/>
        <v>0.1194590856</v>
      </c>
      <c r="C816" s="39">
        <f t="array" ref="C816">NPV(B816,FCFF!$C$9:$I$9)+FCFF!$B$9+FCFF!$I$9*(1+Inputs!$B$6)/(B816-Inputs!$B$6)/(1+B816)^7</f>
        <v>-1812.566059</v>
      </c>
    </row>
    <row r="817" ht="14.25" customHeight="1">
      <c r="A817" s="7">
        <v>804.0</v>
      </c>
      <c r="B817" s="14">
        <f t="shared" si="1"/>
        <v>0.1228410408</v>
      </c>
      <c r="C817" s="39">
        <f t="array" ref="C817">NPV(B817,FCFF!$C$9:$I$9)+FCFF!$B$9+FCFF!$I$9*(1+Inputs!$B$6)/(B817-Inputs!$B$6)/(1+B817)^7</f>
        <v>-1868.083921</v>
      </c>
    </row>
    <row r="818" ht="14.25" customHeight="1">
      <c r="A818" s="7">
        <v>805.0</v>
      </c>
      <c r="B818" s="14">
        <f t="shared" si="1"/>
        <v>0.1197224045</v>
      </c>
      <c r="C818" s="39">
        <f t="array" ref="C818">NPV(B818,FCFF!$C$9:$I$9)+FCFF!$B$9+FCFF!$I$9*(1+Inputs!$B$6)/(B818-Inputs!$B$6)/(1+B818)^7</f>
        <v>-1817.048121</v>
      </c>
    </row>
    <row r="819" ht="14.25" customHeight="1">
      <c r="A819" s="7">
        <v>806.0</v>
      </c>
      <c r="B819" s="14">
        <f t="shared" si="1"/>
        <v>0.09361868436</v>
      </c>
      <c r="C819" s="39">
        <f t="array" ref="C819">NPV(B819,FCFF!$C$9:$I$9)+FCFF!$B$9+FCFF!$I$9*(1+Inputs!$B$6)/(B819-Inputs!$B$6)/(1+B819)^7</f>
        <v>-1184.880547</v>
      </c>
    </row>
    <row r="820" ht="14.25" customHeight="1">
      <c r="A820" s="7">
        <v>807.0</v>
      </c>
      <c r="B820" s="14">
        <f t="shared" si="1"/>
        <v>0.1083552443</v>
      </c>
      <c r="C820" s="39">
        <f t="array" ref="C820">NPV(B820,FCFF!$C$9:$I$9)+FCFF!$B$9+FCFF!$I$9*(1+Inputs!$B$6)/(B820-Inputs!$B$6)/(1+B820)^7</f>
        <v>-1594.715225</v>
      </c>
    </row>
    <row r="821" ht="14.25" customHeight="1">
      <c r="A821" s="7">
        <v>808.0</v>
      </c>
      <c r="B821" s="14">
        <f t="shared" si="1"/>
        <v>0.127323013</v>
      </c>
      <c r="C821" s="39">
        <f t="array" ref="C821">NPV(B821,FCFF!$C$9:$I$9)+FCFF!$B$9+FCFF!$I$9*(1+Inputs!$B$6)/(B821-Inputs!$B$6)/(1+B821)^7</f>
        <v>-1935.334072</v>
      </c>
    </row>
    <row r="822" ht="14.25" customHeight="1">
      <c r="A822" s="7">
        <v>809.0</v>
      </c>
      <c r="B822" s="14">
        <f t="shared" si="1"/>
        <v>0.09571972931</v>
      </c>
      <c r="C822" s="39">
        <f t="array" ref="C822">NPV(B822,FCFF!$C$9:$I$9)+FCFF!$B$9+FCFF!$I$9*(1+Inputs!$B$6)/(B822-Inputs!$B$6)/(1+B822)^7</f>
        <v>-1254.589282</v>
      </c>
    </row>
    <row r="823" ht="14.25" customHeight="1">
      <c r="A823" s="7">
        <v>810.0</v>
      </c>
      <c r="B823" s="14">
        <f t="shared" si="1"/>
        <v>0.1279537894</v>
      </c>
      <c r="C823" s="39">
        <f t="array" ref="C823">NPV(B823,FCFF!$C$9:$I$9)+FCFF!$B$9+FCFF!$I$9*(1+Inputs!$B$6)/(B823-Inputs!$B$6)/(1+B823)^7</f>
        <v>-1944.268539</v>
      </c>
    </row>
    <row r="824" ht="14.25" customHeight="1">
      <c r="A824" s="7">
        <v>811.0</v>
      </c>
      <c r="B824" s="14">
        <f t="shared" si="1"/>
        <v>0.1001103491</v>
      </c>
      <c r="C824" s="39">
        <f t="array" ref="C824">NPV(B824,FCFF!$C$9:$I$9)+FCFF!$B$9+FCFF!$I$9*(1+Inputs!$B$6)/(B824-Inputs!$B$6)/(1+B824)^7</f>
        <v>-1386.812092</v>
      </c>
    </row>
    <row r="825" ht="14.25" customHeight="1">
      <c r="A825" s="7">
        <v>812.0</v>
      </c>
      <c r="B825" s="14">
        <f t="shared" si="1"/>
        <v>0.1267187842</v>
      </c>
      <c r="C825" s="39">
        <f t="array" ref="C825">NPV(B825,FCFF!$C$9:$I$9)+FCFF!$B$9+FCFF!$I$9*(1+Inputs!$B$6)/(B825-Inputs!$B$6)/(1+B825)^7</f>
        <v>-1926.657755</v>
      </c>
    </row>
    <row r="826" ht="14.25" customHeight="1">
      <c r="A826" s="7">
        <v>813.0</v>
      </c>
      <c r="B826" s="14">
        <f t="shared" si="1"/>
        <v>0.1195465585</v>
      </c>
      <c r="C826" s="39">
        <f t="array" ref="C826">NPV(B826,FCFF!$C$9:$I$9)+FCFF!$B$9+FCFF!$I$9*(1+Inputs!$B$6)/(B826-Inputs!$B$6)/(1+B826)^7</f>
        <v>-1814.058065</v>
      </c>
    </row>
    <row r="827" ht="14.25" customHeight="1">
      <c r="A827" s="7">
        <v>814.0</v>
      </c>
      <c r="B827" s="14">
        <f t="shared" si="1"/>
        <v>0.1198613533</v>
      </c>
      <c r="C827" s="39">
        <f t="array" ref="C827">NPV(B827,FCFF!$C$9:$I$9)+FCFF!$B$9+FCFF!$I$9*(1+Inputs!$B$6)/(B827-Inputs!$B$6)/(1+B827)^7</f>
        <v>-1819.402028</v>
      </c>
    </row>
    <row r="828" ht="14.25" customHeight="1">
      <c r="A828" s="7">
        <v>815.0</v>
      </c>
      <c r="B828" s="14">
        <f t="shared" si="1"/>
        <v>0.1296910171</v>
      </c>
      <c r="C828" s="39">
        <f t="array" ref="C828">NPV(B828,FCFF!$C$9:$I$9)+FCFF!$B$9+FCFF!$I$9*(1+Inputs!$B$6)/(B828-Inputs!$B$6)/(1+B828)^7</f>
        <v>-1968.24408</v>
      </c>
    </row>
    <row r="829" ht="14.25" customHeight="1">
      <c r="A829" s="7">
        <v>816.0</v>
      </c>
      <c r="B829" s="14">
        <f t="shared" si="1"/>
        <v>0.1200661674</v>
      </c>
      <c r="C829" s="39">
        <f t="array" ref="C829">NPV(B829,FCFF!$C$9:$I$9)+FCFF!$B$9+FCFF!$I$9*(1+Inputs!$B$6)/(B829-Inputs!$B$6)/(1+B829)^7</f>
        <v>-1822.857729</v>
      </c>
    </row>
    <row r="830" ht="14.25" customHeight="1">
      <c r="A830" s="7">
        <v>817.0</v>
      </c>
      <c r="B830" s="14">
        <f t="shared" si="1"/>
        <v>0.1262898934</v>
      </c>
      <c r="C830" s="39">
        <f t="array" ref="C830">NPV(B830,FCFF!$C$9:$I$9)+FCFF!$B$9+FCFF!$I$9*(1+Inputs!$B$6)/(B830-Inputs!$B$6)/(1+B830)^7</f>
        <v>-1920.428006</v>
      </c>
    </row>
    <row r="831" ht="14.25" customHeight="1">
      <c r="A831" s="7">
        <v>818.0</v>
      </c>
      <c r="B831" s="14">
        <f t="shared" si="1"/>
        <v>0.1079163762</v>
      </c>
      <c r="C831" s="39">
        <f t="array" ref="C831">NPV(B831,FCFF!$C$9:$I$9)+FCFF!$B$9+FCFF!$I$9*(1+Inputs!$B$6)/(B831-Inputs!$B$6)/(1+B831)^7</f>
        <v>-1584.779484</v>
      </c>
    </row>
    <row r="832" ht="14.25" customHeight="1">
      <c r="A832" s="7">
        <v>819.0</v>
      </c>
      <c r="B832" s="14">
        <f t="shared" si="1"/>
        <v>0.1234364755</v>
      </c>
      <c r="C832" s="39">
        <f t="array" ref="C832">NPV(B832,FCFF!$C$9:$I$9)+FCFF!$B$9+FCFF!$I$9*(1+Inputs!$B$6)/(B832-Inputs!$B$6)/(1+B832)^7</f>
        <v>-1877.416373</v>
      </c>
    </row>
    <row r="833" ht="14.25" customHeight="1">
      <c r="A833" s="7">
        <v>820.0</v>
      </c>
      <c r="B833" s="14">
        <f t="shared" si="1"/>
        <v>0.1212092615</v>
      </c>
      <c r="C833" s="39">
        <f t="array" ref="C833">NPV(B833,FCFF!$C$9:$I$9)+FCFF!$B$9+FCFF!$I$9*(1+Inputs!$B$6)/(B833-Inputs!$B$6)/(1+B833)^7</f>
        <v>-1841.842551</v>
      </c>
    </row>
    <row r="834" ht="14.25" customHeight="1">
      <c r="A834" s="7">
        <v>821.0</v>
      </c>
      <c r="B834" s="14">
        <f t="shared" si="1"/>
        <v>0.1234583787</v>
      </c>
      <c r="C834" s="39">
        <f t="array" ref="C834">NPV(B834,FCFF!$C$9:$I$9)+FCFF!$B$9+FCFF!$I$9*(1+Inputs!$B$6)/(B834-Inputs!$B$6)/(1+B834)^7</f>
        <v>-1877.757251</v>
      </c>
    </row>
    <row r="835" ht="14.25" customHeight="1">
      <c r="A835" s="7">
        <v>822.0</v>
      </c>
      <c r="B835" s="14">
        <f t="shared" si="1"/>
        <v>0.1299162225</v>
      </c>
      <c r="C835" s="39">
        <f t="array" ref="C835">NPV(B835,FCFF!$C$9:$I$9)+FCFF!$B$9+FCFF!$I$9*(1+Inputs!$B$6)/(B835-Inputs!$B$6)/(1+B835)^7</f>
        <v>-1971.286075</v>
      </c>
    </row>
    <row r="836" ht="14.25" customHeight="1">
      <c r="A836" s="7">
        <v>823.0</v>
      </c>
      <c r="B836" s="14">
        <f t="shared" si="1"/>
        <v>0.1077047534</v>
      </c>
      <c r="C836" s="39">
        <f t="array" ref="C836">NPV(B836,FCFF!$C$9:$I$9)+FCFF!$B$9+FCFF!$I$9*(1+Inputs!$B$6)/(B836-Inputs!$B$6)/(1+B836)^7</f>
        <v>-1579.947242</v>
      </c>
    </row>
    <row r="837" ht="14.25" customHeight="1">
      <c r="A837" s="7">
        <v>824.0</v>
      </c>
      <c r="B837" s="14">
        <f t="shared" si="1"/>
        <v>0.1183920667</v>
      </c>
      <c r="C837" s="39">
        <f t="array" ref="C837">NPV(B837,FCFF!$C$9:$I$9)+FCFF!$B$9+FCFF!$I$9*(1+Inputs!$B$6)/(B837-Inputs!$B$6)/(1+B837)^7</f>
        <v>-1794.114898</v>
      </c>
    </row>
    <row r="838" ht="14.25" customHeight="1">
      <c r="A838" s="7">
        <v>825.0</v>
      </c>
      <c r="B838" s="14">
        <f t="shared" si="1"/>
        <v>0.1254708666</v>
      </c>
      <c r="C838" s="39">
        <f t="array" ref="C838">NPV(B838,FCFF!$C$9:$I$9)+FCFF!$B$9+FCFF!$I$9*(1+Inputs!$B$6)/(B838-Inputs!$B$6)/(1+B838)^7</f>
        <v>-1908.364175</v>
      </c>
    </row>
    <row r="839" ht="14.25" customHeight="1">
      <c r="A839" s="7">
        <v>826.0</v>
      </c>
      <c r="B839" s="14">
        <f t="shared" si="1"/>
        <v>0.1124183304</v>
      </c>
      <c r="C839" s="39">
        <f t="array" ref="C839">NPV(B839,FCFF!$C$9:$I$9)+FCFF!$B$9+FCFF!$I$9*(1+Inputs!$B$6)/(B839-Inputs!$B$6)/(1+B839)^7</f>
        <v>-1681.524243</v>
      </c>
    </row>
    <row r="840" ht="14.25" customHeight="1">
      <c r="A840" s="7">
        <v>827.0</v>
      </c>
      <c r="B840" s="14">
        <f t="shared" si="1"/>
        <v>0.1243760525</v>
      </c>
      <c r="C840" s="39">
        <f t="array" ref="C840">NPV(B840,FCFF!$C$9:$I$9)+FCFF!$B$9+FCFF!$I$9*(1+Inputs!$B$6)/(B840-Inputs!$B$6)/(1+B840)^7</f>
        <v>-1891.887007</v>
      </c>
    </row>
    <row r="841" ht="14.25" customHeight="1">
      <c r="A841" s="7">
        <v>828.0</v>
      </c>
      <c r="B841" s="14">
        <f t="shared" si="1"/>
        <v>0.1282510966</v>
      </c>
      <c r="C841" s="39">
        <f t="array" ref="C841">NPV(B841,FCFF!$C$9:$I$9)+FCFF!$B$9+FCFF!$I$9*(1+Inputs!$B$6)/(B841-Inputs!$B$6)/(1+B841)^7</f>
        <v>-1948.436743</v>
      </c>
    </row>
    <row r="842" ht="14.25" customHeight="1">
      <c r="A842" s="7">
        <v>829.0</v>
      </c>
      <c r="B842" s="14">
        <f t="shared" si="1"/>
        <v>0.1014651917</v>
      </c>
      <c r="C842" s="39">
        <f t="array" ref="C842">NPV(B842,FCFF!$C$9:$I$9)+FCFF!$B$9+FCFF!$I$9*(1+Inputs!$B$6)/(B842-Inputs!$B$6)/(1+B842)^7</f>
        <v>-1424.320108</v>
      </c>
    </row>
    <row r="843" ht="14.25" customHeight="1">
      <c r="A843" s="7">
        <v>830.0</v>
      </c>
      <c r="B843" s="14">
        <f t="shared" si="1"/>
        <v>0.0986057536</v>
      </c>
      <c r="C843" s="39">
        <f t="array" ref="C843">NPV(B843,FCFF!$C$9:$I$9)+FCFF!$B$9+FCFF!$I$9*(1+Inputs!$B$6)/(B843-Inputs!$B$6)/(1+B843)^7</f>
        <v>-1343.410384</v>
      </c>
    </row>
    <row r="844" ht="14.25" customHeight="1">
      <c r="A844" s="7">
        <v>831.0</v>
      </c>
      <c r="B844" s="14">
        <f t="shared" si="1"/>
        <v>0.1100162891</v>
      </c>
      <c r="C844" s="39">
        <f t="array" ref="C844">NPV(B844,FCFF!$C$9:$I$9)+FCFF!$B$9+FCFF!$I$9*(1+Inputs!$B$6)/(B844-Inputs!$B$6)/(1+B844)^7</f>
        <v>-1631.304905</v>
      </c>
    </row>
    <row r="845" ht="14.25" customHeight="1">
      <c r="A845" s="7">
        <v>832.0</v>
      </c>
      <c r="B845" s="14">
        <f t="shared" si="1"/>
        <v>0.1241447269</v>
      </c>
      <c r="C845" s="39">
        <f t="array" ref="C845">NPV(B845,FCFF!$C$9:$I$9)+FCFF!$B$9+FCFF!$I$9*(1+Inputs!$B$6)/(B845-Inputs!$B$6)/(1+B845)^7</f>
        <v>-1888.352966</v>
      </c>
    </row>
    <row r="846" ht="14.25" customHeight="1">
      <c r="A846" s="7">
        <v>833.0</v>
      </c>
      <c r="B846" s="14">
        <f t="shared" si="1"/>
        <v>0.1105152677</v>
      </c>
      <c r="C846" s="39">
        <f t="array" ref="C846">NPV(B846,FCFF!$C$9:$I$9)+FCFF!$B$9+FCFF!$I$9*(1+Inputs!$B$6)/(B846-Inputs!$B$6)/(1+B846)^7</f>
        <v>-1641.992338</v>
      </c>
    </row>
    <row r="847" ht="14.25" customHeight="1">
      <c r="A847" s="7">
        <v>834.0</v>
      </c>
      <c r="B847" s="14">
        <f t="shared" si="1"/>
        <v>0.1193596782</v>
      </c>
      <c r="C847" s="39">
        <f t="array" ref="C847">NPV(B847,FCFF!$C$9:$I$9)+FCFF!$B$9+FCFF!$I$9*(1+Inputs!$B$6)/(B847-Inputs!$B$6)/(1+B847)^7</f>
        <v>-1810.86674</v>
      </c>
    </row>
    <row r="848" ht="14.25" customHeight="1">
      <c r="A848" s="7">
        <v>835.0</v>
      </c>
      <c r="B848" s="14">
        <f t="shared" si="1"/>
        <v>0.1216365843</v>
      </c>
      <c r="C848" s="39">
        <f t="array" ref="C848">NPV(B848,FCFF!$C$9:$I$9)+FCFF!$B$9+FCFF!$I$9*(1+Inputs!$B$6)/(B848-Inputs!$B$6)/(1+B848)^7</f>
        <v>-1848.81062</v>
      </c>
    </row>
    <row r="849" ht="14.25" customHeight="1">
      <c r="A849" s="7">
        <v>836.0</v>
      </c>
      <c r="B849" s="14">
        <f t="shared" si="1"/>
        <v>0.1227023423</v>
      </c>
      <c r="C849" s="39">
        <f t="array" ref="C849">NPV(B849,FCFF!$C$9:$I$9)+FCFF!$B$9+FCFF!$I$9*(1+Inputs!$B$6)/(B849-Inputs!$B$6)/(1+B849)^7</f>
        <v>-1865.891684</v>
      </c>
    </row>
    <row r="850" ht="14.25" customHeight="1">
      <c r="A850" s="7">
        <v>837.0</v>
      </c>
      <c r="B850" s="14">
        <f t="shared" si="1"/>
        <v>0.1326024655</v>
      </c>
      <c r="C850" s="39">
        <f t="array" ref="C850">NPV(B850,FCFF!$C$9:$I$9)+FCFF!$B$9+FCFF!$I$9*(1+Inputs!$B$6)/(B850-Inputs!$B$6)/(1+B850)^7</f>
        <v>-2006.453343</v>
      </c>
    </row>
    <row r="851" ht="14.25" customHeight="1">
      <c r="A851" s="7">
        <v>838.0</v>
      </c>
      <c r="B851" s="14">
        <f t="shared" si="1"/>
        <v>0.1294883814</v>
      </c>
      <c r="C851" s="39">
        <f t="array" ref="C851">NPV(B851,FCFF!$C$9:$I$9)+FCFF!$B$9+FCFF!$I$9*(1+Inputs!$B$6)/(B851-Inputs!$B$6)/(1+B851)^7</f>
        <v>-1965.494182</v>
      </c>
    </row>
    <row r="852" ht="14.25" customHeight="1">
      <c r="A852" s="7">
        <v>839.0</v>
      </c>
      <c r="B852" s="14">
        <f t="shared" si="1"/>
        <v>0.124367319</v>
      </c>
      <c r="C852" s="39">
        <f t="array" ref="C852">NPV(B852,FCFF!$C$9:$I$9)+FCFF!$B$9+FCFF!$I$9*(1+Inputs!$B$6)/(B852-Inputs!$B$6)/(1+B852)^7</f>
        <v>-1891.753919</v>
      </c>
    </row>
    <row r="853" ht="14.25" customHeight="1">
      <c r="A853" s="7">
        <v>840.0</v>
      </c>
      <c r="B853" s="14">
        <f t="shared" si="1"/>
        <v>0.1326716437</v>
      </c>
      <c r="C853" s="39">
        <f t="array" ref="C853">NPV(B853,FCFF!$C$9:$I$9)+FCFF!$B$9+FCFF!$I$9*(1+Inputs!$B$6)/(B853-Inputs!$B$6)/(1+B853)^7</f>
        <v>-2007.332532</v>
      </c>
    </row>
    <row r="854" ht="14.25" customHeight="1">
      <c r="A854" s="7">
        <v>841.0</v>
      </c>
      <c r="B854" s="14">
        <f t="shared" si="1"/>
        <v>0.1241950379</v>
      </c>
      <c r="C854" s="39">
        <f t="array" ref="C854">NPV(B854,FCFF!$C$9:$I$9)+FCFF!$B$9+FCFF!$I$9*(1+Inputs!$B$6)/(B854-Inputs!$B$6)/(1+B854)^7</f>
        <v>-1889.123163</v>
      </c>
    </row>
    <row r="855" ht="14.25" customHeight="1">
      <c r="A855" s="7">
        <v>842.0</v>
      </c>
      <c r="B855" s="14">
        <f t="shared" si="1"/>
        <v>0.1243824058</v>
      </c>
      <c r="C855" s="39">
        <f t="array" ref="C855">NPV(B855,FCFF!$C$9:$I$9)+FCFF!$B$9+FCFF!$I$9*(1+Inputs!$B$6)/(B855-Inputs!$B$6)/(1+B855)^7</f>
        <v>-1891.983807</v>
      </c>
    </row>
    <row r="856" ht="14.25" customHeight="1">
      <c r="A856" s="7">
        <v>843.0</v>
      </c>
      <c r="B856" s="14">
        <f t="shared" si="1"/>
        <v>0.09499815488</v>
      </c>
      <c r="C856" s="39">
        <f t="array" ref="C856">NPV(B856,FCFF!$C$9:$I$9)+FCFF!$B$9+FCFF!$I$9*(1+Inputs!$B$6)/(B856-Inputs!$B$6)/(1+B856)^7</f>
        <v>-1231.153119</v>
      </c>
    </row>
    <row r="857" ht="14.25" customHeight="1">
      <c r="A857" s="7">
        <v>844.0</v>
      </c>
      <c r="B857" s="14">
        <f t="shared" si="1"/>
        <v>0.1265878034</v>
      </c>
      <c r="C857" s="39">
        <f t="array" ref="C857">NPV(B857,FCFF!$C$9:$I$9)+FCFF!$B$9+FCFF!$I$9*(1+Inputs!$B$6)/(B857-Inputs!$B$6)/(1+B857)^7</f>
        <v>-1924.761539</v>
      </c>
    </row>
    <row r="858" ht="14.25" customHeight="1">
      <c r="A858" s="7">
        <v>845.0</v>
      </c>
      <c r="B858" s="14">
        <f t="shared" si="1"/>
        <v>0.09404715044</v>
      </c>
      <c r="C858" s="39">
        <f t="array" ref="C858">NPV(B858,FCFF!$C$9:$I$9)+FCFF!$B$9+FCFF!$I$9*(1+Inputs!$B$6)/(B858-Inputs!$B$6)/(1+B858)^7</f>
        <v>-1199.464388</v>
      </c>
    </row>
    <row r="859" ht="14.25" customHeight="1">
      <c r="A859" s="7">
        <v>846.0</v>
      </c>
      <c r="B859" s="14">
        <f t="shared" si="1"/>
        <v>0.1019360385</v>
      </c>
      <c r="C859" s="39">
        <f t="array" ref="C859">NPV(B859,FCFF!$C$9:$I$9)+FCFF!$B$9+FCFF!$I$9*(1+Inputs!$B$6)/(B859-Inputs!$B$6)/(1+B859)^7</f>
        <v>-1437.021262</v>
      </c>
    </row>
    <row r="860" ht="14.25" customHeight="1">
      <c r="A860" s="7">
        <v>847.0</v>
      </c>
      <c r="B860" s="14">
        <f t="shared" si="1"/>
        <v>0.1202182675</v>
      </c>
      <c r="C860" s="39">
        <f t="array" ref="C860">NPV(B860,FCFF!$C$9:$I$9)+FCFF!$B$9+FCFF!$I$9*(1+Inputs!$B$6)/(B860-Inputs!$B$6)/(1+B860)^7</f>
        <v>-1825.413271</v>
      </c>
    </row>
    <row r="861" ht="14.25" customHeight="1">
      <c r="A861" s="7">
        <v>848.0</v>
      </c>
      <c r="B861" s="14">
        <f t="shared" si="1"/>
        <v>0.128483464</v>
      </c>
      <c r="C861" s="39">
        <f t="array" ref="C861">NPV(B861,FCFF!$C$9:$I$9)+FCFF!$B$9+FCFF!$I$9*(1+Inputs!$B$6)/(B861-Inputs!$B$6)/(1+B861)^7</f>
        <v>-1951.675574</v>
      </c>
    </row>
    <row r="862" ht="14.25" customHeight="1">
      <c r="A862" s="7">
        <v>849.0</v>
      </c>
      <c r="B862" s="14">
        <f t="shared" si="1"/>
        <v>0.10783691</v>
      </c>
      <c r="C862" s="39">
        <f t="array" ref="C862">NPV(B862,FCFF!$C$9:$I$9)+FCFF!$B$9+FCFF!$I$9*(1+Inputs!$B$6)/(B862-Inputs!$B$6)/(1+B862)^7</f>
        <v>-1582.968098</v>
      </c>
    </row>
    <row r="863" ht="14.25" customHeight="1">
      <c r="A863" s="7">
        <v>850.0</v>
      </c>
      <c r="B863" s="14">
        <f t="shared" si="1"/>
        <v>0.100395492</v>
      </c>
      <c r="C863" s="39">
        <f t="array" ref="C863">NPV(B863,FCFF!$C$9:$I$9)+FCFF!$B$9+FCFF!$I$9*(1+Inputs!$B$6)/(B863-Inputs!$B$6)/(1+B863)^7</f>
        <v>-1394.827049</v>
      </c>
    </row>
    <row r="864" ht="14.25" customHeight="1">
      <c r="A864" s="7">
        <v>851.0</v>
      </c>
      <c r="B864" s="14">
        <f t="shared" si="1"/>
        <v>0.1195238184</v>
      </c>
      <c r="C864" s="39">
        <f t="array" ref="C864">NPV(B864,FCFF!$C$9:$I$9)+FCFF!$B$9+FCFF!$I$9*(1+Inputs!$B$6)/(B864-Inputs!$B$6)/(1+B864)^7</f>
        <v>-1813.670488</v>
      </c>
    </row>
    <row r="865" ht="14.25" customHeight="1">
      <c r="A865" s="7">
        <v>852.0</v>
      </c>
      <c r="B865" s="14">
        <f t="shared" si="1"/>
        <v>0.119803876</v>
      </c>
      <c r="C865" s="39">
        <f t="array" ref="C865">NPV(B865,FCFF!$C$9:$I$9)+FCFF!$B$9+FCFF!$I$9*(1+Inputs!$B$6)/(B865-Inputs!$B$6)/(1+B865)^7</f>
        <v>-1818.429249</v>
      </c>
    </row>
    <row r="866" ht="14.25" customHeight="1">
      <c r="A866" s="7">
        <v>853.0</v>
      </c>
      <c r="B866" s="14">
        <f t="shared" si="1"/>
        <v>0.1295205889</v>
      </c>
      <c r="C866" s="39">
        <f t="array" ref="C866">NPV(B866,FCFF!$C$9:$I$9)+FCFF!$B$9+FCFF!$I$9*(1+Inputs!$B$6)/(B866-Inputs!$B$6)/(1+B866)^7</f>
        <v>-1965.93207</v>
      </c>
    </row>
    <row r="867" ht="14.25" customHeight="1">
      <c r="A867" s="7">
        <v>854.0</v>
      </c>
      <c r="B867" s="14">
        <f t="shared" si="1"/>
        <v>0.1248645069</v>
      </c>
      <c r="C867" s="39">
        <f t="array" ref="C867">NPV(B867,FCFF!$C$9:$I$9)+FCFF!$B$9+FCFF!$I$9*(1+Inputs!$B$6)/(B867-Inputs!$B$6)/(1+B867)^7</f>
        <v>-1899.2887</v>
      </c>
    </row>
    <row r="868" ht="14.25" customHeight="1">
      <c r="A868" s="7">
        <v>855.0</v>
      </c>
      <c r="B868" s="14">
        <f t="shared" si="1"/>
        <v>0.1201425213</v>
      </c>
      <c r="C868" s="39">
        <f t="array" ref="C868">NPV(B868,FCFF!$C$9:$I$9)+FCFF!$B$9+FCFF!$I$9*(1+Inputs!$B$6)/(B868-Inputs!$B$6)/(1+B868)^7</f>
        <v>-1824.141747</v>
      </c>
    </row>
    <row r="869" ht="14.25" customHeight="1">
      <c r="A869" s="7">
        <v>856.0</v>
      </c>
      <c r="B869" s="14">
        <f t="shared" si="1"/>
        <v>0.1108868101</v>
      </c>
      <c r="C869" s="39">
        <f t="array" ref="C869">NPV(B869,FCFF!$C$9:$I$9)+FCFF!$B$9+FCFF!$I$9*(1+Inputs!$B$6)/(B869-Inputs!$B$6)/(1+B869)^7</f>
        <v>-1649.861727</v>
      </c>
    </row>
    <row r="870" ht="14.25" customHeight="1">
      <c r="A870" s="7">
        <v>857.0</v>
      </c>
      <c r="B870" s="14">
        <f t="shared" si="1"/>
        <v>0.1327880514</v>
      </c>
      <c r="C870" s="39">
        <f t="array" ref="C870">NPV(B870,FCFF!$C$9:$I$9)+FCFF!$B$9+FCFF!$I$9*(1+Inputs!$B$6)/(B870-Inputs!$B$6)/(1+B870)^7</f>
        <v>-2008.809044</v>
      </c>
    </row>
    <row r="871" ht="14.25" customHeight="1">
      <c r="A871" s="7">
        <v>858.0</v>
      </c>
      <c r="B871" s="14">
        <f t="shared" si="1"/>
        <v>0.09351839453</v>
      </c>
      <c r="C871" s="39">
        <f t="array" ref="C871">NPV(B871,FCFF!$C$9:$I$9)+FCFF!$B$9+FCFF!$I$9*(1+Inputs!$B$6)/(B871-Inputs!$B$6)/(1+B871)^7</f>
        <v>-1181.438826</v>
      </c>
    </row>
    <row r="872" ht="14.25" customHeight="1">
      <c r="A872" s="7">
        <v>859.0</v>
      </c>
      <c r="B872" s="14">
        <f t="shared" si="1"/>
        <v>0.09495798515</v>
      </c>
      <c r="C872" s="39">
        <f t="array" ref="C872">NPV(B872,FCFF!$C$9:$I$9)+FCFF!$B$9+FCFF!$I$9*(1+Inputs!$B$6)/(B872-Inputs!$B$6)/(1+B872)^7</f>
        <v>-1229.833234</v>
      </c>
    </row>
    <row r="873" ht="14.25" customHeight="1">
      <c r="A873" s="7">
        <v>860.0</v>
      </c>
      <c r="B873" s="14">
        <f t="shared" si="1"/>
        <v>0.1268121601</v>
      </c>
      <c r="C873" s="39">
        <f t="array" ref="C873">NPV(B873,FCFF!$C$9:$I$9)+FCFF!$B$9+FCFF!$I$9*(1+Inputs!$B$6)/(B873-Inputs!$B$6)/(1+B873)^7</f>
        <v>-1928.006191</v>
      </c>
    </row>
    <row r="874" ht="14.25" customHeight="1">
      <c r="A874" s="7">
        <v>861.0</v>
      </c>
      <c r="B874" s="14">
        <f t="shared" si="1"/>
        <v>0.1277622096</v>
      </c>
      <c r="C874" s="39">
        <f t="array" ref="C874">NPV(B874,FCFF!$C$9:$I$9)+FCFF!$B$9+FCFF!$I$9*(1+Inputs!$B$6)/(B874-Inputs!$B$6)/(1+B874)^7</f>
        <v>-1941.568111</v>
      </c>
    </row>
    <row r="875" ht="14.25" customHeight="1">
      <c r="A875" s="7">
        <v>862.0</v>
      </c>
      <c r="B875" s="14">
        <f t="shared" si="1"/>
        <v>0.1091478584</v>
      </c>
      <c r="C875" s="39">
        <f t="array" ref="C875">NPV(B875,FCFF!$C$9:$I$9)+FCFF!$B$9+FCFF!$I$9*(1+Inputs!$B$6)/(B875-Inputs!$B$6)/(1+B875)^7</f>
        <v>-1612.372443</v>
      </c>
    </row>
    <row r="876" ht="14.25" customHeight="1">
      <c r="A876" s="7">
        <v>863.0</v>
      </c>
      <c r="B876" s="14">
        <f t="shared" si="1"/>
        <v>0.1242992776</v>
      </c>
      <c r="C876" s="39">
        <f t="array" ref="C876">NPV(B876,FCFF!$C$9:$I$9)+FCFF!$B$9+FCFF!$I$9*(1+Inputs!$B$6)/(B876-Inputs!$B$6)/(1+B876)^7</f>
        <v>-1890.716147</v>
      </c>
    </row>
    <row r="877" ht="14.25" customHeight="1">
      <c r="A877" s="7">
        <v>864.0</v>
      </c>
      <c r="B877" s="14">
        <f t="shared" si="1"/>
        <v>0.09412149298</v>
      </c>
      <c r="C877" s="39">
        <f t="array" ref="C877">NPV(B877,FCFF!$C$9:$I$9)+FCFF!$B$9+FCFF!$I$9*(1+Inputs!$B$6)/(B877-Inputs!$B$6)/(1+B877)^7</f>
        <v>-1201.975159</v>
      </c>
    </row>
    <row r="878" ht="14.25" customHeight="1">
      <c r="A878" s="7">
        <v>865.0</v>
      </c>
      <c r="B878" s="14">
        <f t="shared" si="1"/>
        <v>0.1260931358</v>
      </c>
      <c r="C878" s="39">
        <f t="array" ref="C878">NPV(B878,FCFF!$C$9:$I$9)+FCFF!$B$9+FCFF!$I$9*(1+Inputs!$B$6)/(B878-Inputs!$B$6)/(1+B878)^7</f>
        <v>-1917.550033</v>
      </c>
    </row>
    <row r="879" ht="14.25" customHeight="1">
      <c r="A879" s="7">
        <v>866.0</v>
      </c>
      <c r="B879" s="14">
        <f t="shared" si="1"/>
        <v>0.1124742499</v>
      </c>
      <c r="C879" s="39">
        <f t="array" ref="C879">NPV(B879,FCFF!$C$9:$I$9)+FCFF!$B$9+FCFF!$I$9*(1+Inputs!$B$6)/(B879-Inputs!$B$6)/(1+B879)^7</f>
        <v>-1682.657232</v>
      </c>
    </row>
    <row r="880" ht="14.25" customHeight="1">
      <c r="A880" s="7">
        <v>867.0</v>
      </c>
      <c r="B880" s="14">
        <f t="shared" si="1"/>
        <v>0.09859404556</v>
      </c>
      <c r="C880" s="39">
        <f t="array" ref="C880">NPV(B880,FCFF!$C$9:$I$9)+FCFF!$B$9+FCFF!$I$9*(1+Inputs!$B$6)/(B880-Inputs!$B$6)/(1+B880)^7</f>
        <v>-1343.065156</v>
      </c>
    </row>
    <row r="881" ht="14.25" customHeight="1">
      <c r="A881" s="7">
        <v>868.0</v>
      </c>
      <c r="B881" s="14">
        <f t="shared" si="1"/>
        <v>0.1288530919</v>
      </c>
      <c r="C881" s="39">
        <f t="array" ref="C881">NPV(B881,FCFF!$C$9:$I$9)+FCFF!$B$9+FCFF!$I$9*(1+Inputs!$B$6)/(B881-Inputs!$B$6)/(1+B881)^7</f>
        <v>-1956.793681</v>
      </c>
    </row>
    <row r="882" ht="14.25" customHeight="1">
      <c r="A882" s="7">
        <v>869.0</v>
      </c>
      <c r="B882" s="14">
        <f t="shared" si="1"/>
        <v>0.1318552845</v>
      </c>
      <c r="C882" s="39">
        <f t="array" ref="C882">NPV(B882,FCFF!$C$9:$I$9)+FCFF!$B$9+FCFF!$I$9*(1+Inputs!$B$6)/(B882-Inputs!$B$6)/(1+B882)^7</f>
        <v>-1996.87427</v>
      </c>
    </row>
    <row r="883" ht="14.25" customHeight="1">
      <c r="A883" s="7">
        <v>870.0</v>
      </c>
      <c r="B883" s="14">
        <f t="shared" si="1"/>
        <v>0.1007482174</v>
      </c>
      <c r="C883" s="39">
        <f t="array" ref="C883">NPV(B883,FCFF!$C$9:$I$9)+FCFF!$B$9+FCFF!$I$9*(1+Inputs!$B$6)/(B883-Inputs!$B$6)/(1+B883)^7</f>
        <v>-1404.651587</v>
      </c>
    </row>
    <row r="884" ht="14.25" customHeight="1">
      <c r="A884" s="7">
        <v>871.0</v>
      </c>
      <c r="B884" s="14">
        <f t="shared" si="1"/>
        <v>0.101266253</v>
      </c>
      <c r="C884" s="39">
        <f t="array" ref="C884">NPV(B884,FCFF!$C$9:$I$9)+FCFF!$B$9+FCFF!$I$9*(1+Inputs!$B$6)/(B884-Inputs!$B$6)/(1+B884)^7</f>
        <v>-1418.902735</v>
      </c>
    </row>
    <row r="885" ht="14.25" customHeight="1">
      <c r="A885" s="7">
        <v>872.0</v>
      </c>
      <c r="B885" s="14">
        <f t="shared" si="1"/>
        <v>0.1165333713</v>
      </c>
      <c r="C885" s="39">
        <f t="array" ref="C885">NPV(B885,FCFF!$C$9:$I$9)+FCFF!$B$9+FCFF!$I$9*(1+Inputs!$B$6)/(B885-Inputs!$B$6)/(1+B885)^7</f>
        <v>-1760.827494</v>
      </c>
    </row>
    <row r="886" ht="14.25" customHeight="1">
      <c r="A886" s="7">
        <v>873.0</v>
      </c>
      <c r="B886" s="14">
        <f t="shared" si="1"/>
        <v>0.1161640884</v>
      </c>
      <c r="C886" s="39">
        <f t="array" ref="C886">NPV(B886,FCFF!$C$9:$I$9)+FCFF!$B$9+FCFF!$I$9*(1+Inputs!$B$6)/(B886-Inputs!$B$6)/(1+B886)^7</f>
        <v>-1754.03418</v>
      </c>
    </row>
    <row r="887" ht="14.25" customHeight="1">
      <c r="A887" s="7">
        <v>874.0</v>
      </c>
      <c r="B887" s="14">
        <f t="shared" si="1"/>
        <v>0.118464023</v>
      </c>
      <c r="C887" s="39">
        <f t="array" ref="C887">NPV(B887,FCFF!$C$9:$I$9)+FCFF!$B$9+FCFF!$I$9*(1+Inputs!$B$6)/(B887-Inputs!$B$6)/(1+B887)^7</f>
        <v>-1795.373961</v>
      </c>
    </row>
    <row r="888" ht="14.25" customHeight="1">
      <c r="A888" s="7">
        <v>875.0</v>
      </c>
      <c r="B888" s="14">
        <f t="shared" si="1"/>
        <v>0.1198924814</v>
      </c>
      <c r="C888" s="39">
        <f t="array" ref="C888">NPV(B888,FCFF!$C$9:$I$9)+FCFF!$B$9+FCFF!$I$9*(1+Inputs!$B$6)/(B888-Inputs!$B$6)/(1+B888)^7</f>
        <v>-1819.928306</v>
      </c>
    </row>
    <row r="889" ht="14.25" customHeight="1">
      <c r="A889" s="7">
        <v>876.0</v>
      </c>
      <c r="B889" s="14">
        <f t="shared" si="1"/>
        <v>0.1012108397</v>
      </c>
      <c r="C889" s="39">
        <f t="array" ref="C889">NPV(B889,FCFF!$C$9:$I$9)+FCFF!$B$9+FCFF!$I$9*(1+Inputs!$B$6)/(B889-Inputs!$B$6)/(1+B889)^7</f>
        <v>-1417.388312</v>
      </c>
    </row>
    <row r="890" ht="14.25" customHeight="1">
      <c r="A890" s="7">
        <v>877.0</v>
      </c>
      <c r="B890" s="14">
        <f t="shared" si="1"/>
        <v>0.1301859815</v>
      </c>
      <c r="C890" s="39">
        <f t="array" ref="C890">NPV(B890,FCFF!$C$9:$I$9)+FCFF!$B$9+FCFF!$I$9*(1+Inputs!$B$6)/(B890-Inputs!$B$6)/(1+B890)^7</f>
        <v>-1974.910356</v>
      </c>
    </row>
    <row r="891" ht="14.25" customHeight="1">
      <c r="A891" s="7">
        <v>878.0</v>
      </c>
      <c r="B891" s="14">
        <f t="shared" si="1"/>
        <v>0.1065921171</v>
      </c>
      <c r="C891" s="39">
        <f t="array" ref="C891">NPV(B891,FCFF!$C$9:$I$9)+FCFF!$B$9+FCFF!$I$9*(1+Inputs!$B$6)/(B891-Inputs!$B$6)/(1+B891)^7</f>
        <v>-1554.090278</v>
      </c>
    </row>
    <row r="892" ht="14.25" customHeight="1">
      <c r="A892" s="7">
        <v>879.0</v>
      </c>
      <c r="B892" s="14">
        <f t="shared" si="1"/>
        <v>0.1085135077</v>
      </c>
      <c r="C892" s="39">
        <f t="array" ref="C892">NPV(B892,FCFF!$C$9:$I$9)+FCFF!$B$9+FCFF!$I$9*(1+Inputs!$B$6)/(B892-Inputs!$B$6)/(1+B892)^7</f>
        <v>-1598.270211</v>
      </c>
    </row>
    <row r="893" ht="14.25" customHeight="1">
      <c r="A893" s="7">
        <v>880.0</v>
      </c>
      <c r="B893" s="14">
        <f t="shared" si="1"/>
        <v>0.1033141051</v>
      </c>
      <c r="C893" s="39">
        <f t="array" ref="C893">NPV(B893,FCFF!$C$9:$I$9)+FCFF!$B$9+FCFF!$I$9*(1+Inputs!$B$6)/(B893-Inputs!$B$6)/(1+B893)^7</f>
        <v>-1473.245864</v>
      </c>
    </row>
    <row r="894" ht="14.25" customHeight="1">
      <c r="A894" s="7">
        <v>881.0</v>
      </c>
      <c r="B894" s="14">
        <f t="shared" si="1"/>
        <v>0.114223761</v>
      </c>
      <c r="C894" s="39">
        <f t="array" ref="C894">NPV(B894,FCFF!$C$9:$I$9)+FCFF!$B$9+FCFF!$I$9*(1+Inputs!$B$6)/(B894-Inputs!$B$6)/(1+B894)^7</f>
        <v>-1717.313974</v>
      </c>
    </row>
    <row r="895" ht="14.25" customHeight="1">
      <c r="A895" s="7">
        <v>882.0</v>
      </c>
      <c r="B895" s="14">
        <f t="shared" si="1"/>
        <v>0.1125528704</v>
      </c>
      <c r="C895" s="39">
        <f t="array" ref="C895">NPV(B895,FCFF!$C$9:$I$9)+FCFF!$B$9+FCFF!$I$9*(1+Inputs!$B$6)/(B895-Inputs!$B$6)/(1+B895)^7</f>
        <v>-1684.247471</v>
      </c>
    </row>
    <row r="896" ht="14.25" customHeight="1">
      <c r="A896" s="7">
        <v>883.0</v>
      </c>
      <c r="B896" s="14">
        <f t="shared" si="1"/>
        <v>0.1051307083</v>
      </c>
      <c r="C896" s="39">
        <f t="array" ref="C896">NPV(B896,FCFF!$C$9:$I$9)+FCFF!$B$9+FCFF!$I$9*(1+Inputs!$B$6)/(B896-Inputs!$B$6)/(1+B896)^7</f>
        <v>-1518.936654</v>
      </c>
    </row>
    <row r="897" ht="14.25" customHeight="1">
      <c r="A897" s="7">
        <v>884.0</v>
      </c>
      <c r="B897" s="14">
        <f t="shared" si="1"/>
        <v>0.1250607284</v>
      </c>
      <c r="C897" s="39">
        <f t="array" ref="C897">NPV(B897,FCFF!$C$9:$I$9)+FCFF!$B$9+FCFF!$I$9*(1+Inputs!$B$6)/(B897-Inputs!$B$6)/(1+B897)^7</f>
        <v>-1902.239163</v>
      </c>
    </row>
    <row r="898" ht="14.25" customHeight="1">
      <c r="A898" s="7">
        <v>885.0</v>
      </c>
      <c r="B898" s="14">
        <f t="shared" si="1"/>
        <v>0.129816964</v>
      </c>
      <c r="C898" s="39">
        <f t="array" ref="C898">NPV(B898,FCFF!$C$9:$I$9)+FCFF!$B$9+FCFF!$I$9*(1+Inputs!$B$6)/(B898-Inputs!$B$6)/(1+B898)^7</f>
        <v>-1969.947161</v>
      </c>
    </row>
    <row r="899" ht="14.25" customHeight="1">
      <c r="A899" s="7">
        <v>886.0</v>
      </c>
      <c r="B899" s="14">
        <f t="shared" si="1"/>
        <v>0.1152246783</v>
      </c>
      <c r="C899" s="39">
        <f t="array" ref="C899">NPV(B899,FCFF!$C$9:$I$9)+FCFF!$B$9+FCFF!$I$9*(1+Inputs!$B$6)/(B899-Inputs!$B$6)/(1+B899)^7</f>
        <v>-1736.47453</v>
      </c>
    </row>
    <row r="900" ht="14.25" customHeight="1">
      <c r="A900" s="7">
        <v>887.0</v>
      </c>
      <c r="B900" s="14">
        <f t="shared" si="1"/>
        <v>0.09579963273</v>
      </c>
      <c r="C900" s="39">
        <f t="array" ref="C900">NPV(B900,FCFF!$C$9:$I$9)+FCFF!$B$9+FCFF!$I$9*(1+Inputs!$B$6)/(B900-Inputs!$B$6)/(1+B900)^7</f>
        <v>-1257.153043</v>
      </c>
    </row>
    <row r="901" ht="14.25" customHeight="1">
      <c r="A901" s="7">
        <v>888.0</v>
      </c>
      <c r="B901" s="14">
        <f t="shared" si="1"/>
        <v>0.117339053</v>
      </c>
      <c r="C901" s="39">
        <f t="array" ref="C901">NPV(B901,FCFF!$C$9:$I$9)+FCFF!$B$9+FCFF!$I$9*(1+Inputs!$B$6)/(B901-Inputs!$B$6)/(1+B901)^7</f>
        <v>-1775.439486</v>
      </c>
    </row>
    <row r="902" ht="14.25" customHeight="1">
      <c r="A902" s="7">
        <v>889.0</v>
      </c>
      <c r="B902" s="14">
        <f t="shared" si="1"/>
        <v>0.1173047765</v>
      </c>
      <c r="C902" s="39">
        <f t="array" ref="C902">NPV(B902,FCFF!$C$9:$I$9)+FCFF!$B$9+FCFF!$I$9*(1+Inputs!$B$6)/(B902-Inputs!$B$6)/(1+B902)^7</f>
        <v>-1774.823615</v>
      </c>
    </row>
    <row r="903" ht="14.25" customHeight="1">
      <c r="A903" s="7">
        <v>890.0</v>
      </c>
      <c r="B903" s="14">
        <f t="shared" si="1"/>
        <v>0.1275999558</v>
      </c>
      <c r="C903" s="39">
        <f t="array" ref="C903">NPV(B903,FCFF!$C$9:$I$9)+FCFF!$B$9+FCFF!$I$9*(1+Inputs!$B$6)/(B903-Inputs!$B$6)/(1+B903)^7</f>
        <v>-1939.272099</v>
      </c>
    </row>
    <row r="904" ht="14.25" customHeight="1">
      <c r="A904" s="7">
        <v>891.0</v>
      </c>
      <c r="B904" s="14">
        <f t="shared" si="1"/>
        <v>0.1303659227</v>
      </c>
      <c r="C904" s="39">
        <f t="array" ref="C904">NPV(B904,FCFF!$C$9:$I$9)+FCFF!$B$9+FCFF!$I$9*(1+Inputs!$B$6)/(B904-Inputs!$B$6)/(1+B904)^7</f>
        <v>-1977.316155</v>
      </c>
    </row>
    <row r="905" ht="14.25" customHeight="1">
      <c r="A905" s="7">
        <v>892.0</v>
      </c>
      <c r="B905" s="14">
        <f t="shared" si="1"/>
        <v>0.09343042489</v>
      </c>
      <c r="C905" s="39">
        <f t="array" ref="C905">NPV(B905,FCFF!$C$9:$I$9)+FCFF!$B$9+FCFF!$I$9*(1+Inputs!$B$6)/(B905-Inputs!$B$6)/(1+B905)^7</f>
        <v>-1178.411043</v>
      </c>
    </row>
    <row r="906" ht="14.25" customHeight="1">
      <c r="A906" s="7">
        <v>893.0</v>
      </c>
      <c r="B906" s="14">
        <f t="shared" si="1"/>
        <v>0.1030568006</v>
      </c>
      <c r="C906" s="39">
        <f t="array" ref="C906">NPV(B906,FCFF!$C$9:$I$9)+FCFF!$B$9+FCFF!$I$9*(1+Inputs!$B$6)/(B906-Inputs!$B$6)/(1+B906)^7</f>
        <v>-1466.587407</v>
      </c>
    </row>
    <row r="907" ht="14.25" customHeight="1">
      <c r="A907" s="7">
        <v>894.0</v>
      </c>
      <c r="B907" s="14">
        <f t="shared" si="1"/>
        <v>0.1042728743</v>
      </c>
      <c r="C907" s="39">
        <f t="array" ref="C907">NPV(B907,FCFF!$C$9:$I$9)+FCFF!$B$9+FCFF!$I$9*(1+Inputs!$B$6)/(B907-Inputs!$B$6)/(1+B907)^7</f>
        <v>-1497.644042</v>
      </c>
    </row>
    <row r="908" ht="14.25" customHeight="1">
      <c r="A908" s="7">
        <v>895.0</v>
      </c>
      <c r="B908" s="14">
        <f t="shared" si="1"/>
        <v>0.1147715498</v>
      </c>
      <c r="C908" s="39">
        <f t="array" ref="C908">NPV(B908,FCFF!$C$9:$I$9)+FCFF!$B$9+FCFF!$I$9*(1+Inputs!$B$6)/(B908-Inputs!$B$6)/(1+B908)^7</f>
        <v>-1727.858869</v>
      </c>
    </row>
    <row r="909" ht="14.25" customHeight="1">
      <c r="A909" s="7">
        <v>896.0</v>
      </c>
      <c r="B909" s="14">
        <f t="shared" si="1"/>
        <v>0.1026345675</v>
      </c>
      <c r="C909" s="39">
        <f t="array" ref="C909">NPV(B909,FCFF!$C$9:$I$9)+FCFF!$B$9+FCFF!$I$9*(1+Inputs!$B$6)/(B909-Inputs!$B$6)/(1+B909)^7</f>
        <v>-1455.557266</v>
      </c>
    </row>
    <row r="910" ht="14.25" customHeight="1">
      <c r="A910" s="7">
        <v>897.0</v>
      </c>
      <c r="B910" s="14">
        <f t="shared" si="1"/>
        <v>0.1285848048</v>
      </c>
      <c r="C910" s="39">
        <f t="array" ref="C910">NPV(B910,FCFF!$C$9:$I$9)+FCFF!$B$9+FCFF!$I$9*(1+Inputs!$B$6)/(B910-Inputs!$B$6)/(1+B910)^7</f>
        <v>-1953.082935</v>
      </c>
    </row>
    <row r="911" ht="14.25" customHeight="1">
      <c r="A911" s="7">
        <v>898.0</v>
      </c>
      <c r="B911" s="14">
        <f t="shared" si="1"/>
        <v>0.1017629737</v>
      </c>
      <c r="C911" s="39">
        <f t="array" ref="C911">NPV(B911,FCFF!$C$9:$I$9)+FCFF!$B$9+FCFF!$I$9*(1+Inputs!$B$6)/(B911-Inputs!$B$6)/(1+B911)^7</f>
        <v>-1432.372401</v>
      </c>
    </row>
    <row r="912" ht="14.25" customHeight="1">
      <c r="A912" s="7">
        <v>899.0</v>
      </c>
      <c r="B912" s="14">
        <f t="shared" si="1"/>
        <v>0.1309921678</v>
      </c>
      <c r="C912" s="39">
        <f t="array" ref="C912">NPV(B912,FCFF!$C$9:$I$9)+FCFF!$B$9+FCFF!$I$9*(1+Inputs!$B$6)/(B912-Inputs!$B$6)/(1+B912)^7</f>
        <v>-1985.616406</v>
      </c>
    </row>
    <row r="913" ht="14.25" customHeight="1">
      <c r="A913" s="7">
        <v>900.0</v>
      </c>
      <c r="B913" s="14">
        <f t="shared" si="1"/>
        <v>0.1008061503</v>
      </c>
      <c r="C913" s="39">
        <f t="array" ref="C913">NPV(B913,FCFF!$C$9:$I$9)+FCFF!$B$9+FCFF!$I$9*(1+Inputs!$B$6)/(B913-Inputs!$B$6)/(1+B913)^7</f>
        <v>-1406.255768</v>
      </c>
    </row>
    <row r="914" ht="14.25" customHeight="1">
      <c r="A914" s="7">
        <v>901.0</v>
      </c>
      <c r="B914" s="14">
        <f t="shared" si="1"/>
        <v>0.1280064175</v>
      </c>
      <c r="C914" s="39">
        <f t="array" ref="C914">NPV(B914,FCFF!$C$9:$I$9)+FCFF!$B$9+FCFF!$I$9*(1+Inputs!$B$6)/(B914-Inputs!$B$6)/(1+B914)^7</f>
        <v>-1945.008367</v>
      </c>
    </row>
    <row r="915" ht="14.25" customHeight="1">
      <c r="A915" s="7">
        <v>902.0</v>
      </c>
      <c r="B915" s="14">
        <f t="shared" si="1"/>
        <v>0.1167491291</v>
      </c>
      <c r="C915" s="39">
        <f t="array" ref="C915">NPV(B915,FCFF!$C$9:$I$9)+FCFF!$B$9+FCFF!$I$9*(1+Inputs!$B$6)/(B915-Inputs!$B$6)/(1+B915)^7</f>
        <v>-1764.768478</v>
      </c>
    </row>
    <row r="916" ht="14.25" customHeight="1">
      <c r="A916" s="7">
        <v>903.0</v>
      </c>
      <c r="B916" s="14">
        <f t="shared" si="1"/>
        <v>0.1080491739</v>
      </c>
      <c r="C916" s="39">
        <f t="array" ref="C916">NPV(B916,FCFF!$C$9:$I$9)+FCFF!$B$9+FCFF!$I$9*(1+Inputs!$B$6)/(B916-Inputs!$B$6)/(1+B916)^7</f>
        <v>-1587.798071</v>
      </c>
    </row>
    <row r="917" ht="14.25" customHeight="1">
      <c r="A917" s="7">
        <v>904.0</v>
      </c>
      <c r="B917" s="14">
        <f t="shared" si="1"/>
        <v>0.1150059317</v>
      </c>
      <c r="C917" s="39">
        <f t="array" ref="C917">NPV(B917,FCFF!$C$9:$I$9)+FCFF!$B$9+FCFF!$I$9*(1+Inputs!$B$6)/(B917-Inputs!$B$6)/(1+B917)^7</f>
        <v>-1732.327334</v>
      </c>
    </row>
    <row r="918" ht="14.25" customHeight="1">
      <c r="A918" s="7">
        <v>905.0</v>
      </c>
      <c r="B918" s="14">
        <f t="shared" si="1"/>
        <v>0.1008395113</v>
      </c>
      <c r="C918" s="39">
        <f t="array" ref="C918">NPV(B918,FCFF!$C$9:$I$9)+FCFF!$B$9+FCFF!$I$9*(1+Inputs!$B$6)/(B918-Inputs!$B$6)/(1+B918)^7</f>
        <v>-1407.178346</v>
      </c>
    </row>
    <row r="919" ht="14.25" customHeight="1">
      <c r="A919" s="7">
        <v>906.0</v>
      </c>
      <c r="B919" s="14">
        <f t="shared" si="1"/>
        <v>0.1006086329</v>
      </c>
      <c r="C919" s="39">
        <f t="array" ref="C919">NPV(B919,FCFF!$C$9:$I$9)+FCFF!$B$9+FCFF!$I$9*(1+Inputs!$B$6)/(B919-Inputs!$B$6)/(1+B919)^7</f>
        <v>-1400.775541</v>
      </c>
    </row>
    <row r="920" ht="14.25" customHeight="1">
      <c r="A920" s="7">
        <v>907.0</v>
      </c>
      <c r="B920" s="14">
        <f t="shared" si="1"/>
        <v>0.1061729059</v>
      </c>
      <c r="C920" s="39">
        <f t="array" ref="C920">NPV(B920,FCFF!$C$9:$I$9)+FCFF!$B$9+FCFF!$I$9*(1+Inputs!$B$6)/(B920-Inputs!$B$6)/(1+B920)^7</f>
        <v>-1544.147333</v>
      </c>
    </row>
    <row r="921" ht="14.25" customHeight="1">
      <c r="A921" s="7">
        <v>908.0</v>
      </c>
      <c r="B921" s="14">
        <f t="shared" si="1"/>
        <v>0.09591515419</v>
      </c>
      <c r="C921" s="39">
        <f t="array" ref="C921">NPV(B921,FCFF!$C$9:$I$9)+FCFF!$B$9+FCFF!$I$9*(1+Inputs!$B$6)/(B921-Inputs!$B$6)/(1+B921)^7</f>
        <v>-1260.848696</v>
      </c>
    </row>
    <row r="922" ht="14.25" customHeight="1">
      <c r="A922" s="7">
        <v>909.0</v>
      </c>
      <c r="B922" s="14">
        <f t="shared" si="1"/>
        <v>0.09386385699</v>
      </c>
      <c r="C922" s="39">
        <f t="array" ref="C922">NPV(B922,FCFF!$C$9:$I$9)+FCFF!$B$9+FCFF!$I$9*(1+Inputs!$B$6)/(B922-Inputs!$B$6)/(1+B922)^7</f>
        <v>-1193.249281</v>
      </c>
    </row>
    <row r="923" ht="14.25" customHeight="1">
      <c r="A923" s="7">
        <v>910.0</v>
      </c>
      <c r="B923" s="14">
        <f t="shared" si="1"/>
        <v>0.09822649301</v>
      </c>
      <c r="C923" s="39">
        <f t="array" ref="C923">NPV(B923,FCFF!$C$9:$I$9)+FCFF!$B$9+FCFF!$I$9*(1+Inputs!$B$6)/(B923-Inputs!$B$6)/(1+B923)^7</f>
        <v>-1332.16696</v>
      </c>
    </row>
    <row r="924" ht="14.25" customHeight="1">
      <c r="A924" s="7">
        <v>911.0</v>
      </c>
      <c r="B924" s="14">
        <f t="shared" si="1"/>
        <v>0.1010761922</v>
      </c>
      <c r="C924" s="39">
        <f t="array" ref="C924">NPV(B924,FCFF!$C$9:$I$9)+FCFF!$B$9+FCFF!$I$9*(1+Inputs!$B$6)/(B924-Inputs!$B$6)/(1+B924)^7</f>
        <v>-1413.698517</v>
      </c>
    </row>
    <row r="925" ht="14.25" customHeight="1">
      <c r="A925" s="7">
        <v>912.0</v>
      </c>
      <c r="B925" s="14">
        <f t="shared" si="1"/>
        <v>0.1243571876</v>
      </c>
      <c r="C925" s="39">
        <f t="array" ref="C925">NPV(B925,FCFF!$C$9:$I$9)+FCFF!$B$9+FCFF!$I$9*(1+Inputs!$B$6)/(B925-Inputs!$B$6)/(1+B925)^7</f>
        <v>-1891.599496</v>
      </c>
    </row>
    <row r="926" ht="14.25" customHeight="1">
      <c r="A926" s="7">
        <v>913.0</v>
      </c>
      <c r="B926" s="14">
        <f t="shared" si="1"/>
        <v>0.1187944322</v>
      </c>
      <c r="C926" s="39">
        <f t="array" ref="C926">NPV(B926,FCFF!$C$9:$I$9)+FCFF!$B$9+FCFF!$I$9*(1+Inputs!$B$6)/(B926-Inputs!$B$6)/(1+B926)^7</f>
        <v>-1801.127698</v>
      </c>
    </row>
    <row r="927" ht="14.25" customHeight="1">
      <c r="A927" s="7">
        <v>914.0</v>
      </c>
      <c r="B927" s="14">
        <f t="shared" si="1"/>
        <v>0.1248603413</v>
      </c>
      <c r="C927" s="39">
        <f t="array" ref="C927">NPV(B927,FCFF!$C$9:$I$9)+FCFF!$B$9+FCFF!$I$9*(1+Inputs!$B$6)/(B927-Inputs!$B$6)/(1+B927)^7</f>
        <v>-1899.225923</v>
      </c>
    </row>
    <row r="928" ht="14.25" customHeight="1">
      <c r="A928" s="7">
        <v>915.0</v>
      </c>
      <c r="B928" s="14">
        <f t="shared" si="1"/>
        <v>0.1264303132</v>
      </c>
      <c r="C928" s="39">
        <f t="array" ref="C928">NPV(B928,FCFF!$C$9:$I$9)+FCFF!$B$9+FCFF!$I$9*(1+Inputs!$B$6)/(B928-Inputs!$B$6)/(1+B928)^7</f>
        <v>-1922.474204</v>
      </c>
    </row>
    <row r="929" ht="14.25" customHeight="1">
      <c r="A929" s="7">
        <v>916.0</v>
      </c>
      <c r="B929" s="14">
        <f t="shared" si="1"/>
        <v>0.1072157184</v>
      </c>
      <c r="C929" s="39">
        <f t="array" ref="C929">NPV(B929,FCFF!$C$9:$I$9)+FCFF!$B$9+FCFF!$I$9*(1+Inputs!$B$6)/(B929-Inputs!$B$6)/(1+B929)^7</f>
        <v>-1568.676483</v>
      </c>
    </row>
    <row r="930" ht="14.25" customHeight="1">
      <c r="A930" s="7">
        <v>917.0</v>
      </c>
      <c r="B930" s="14">
        <f t="shared" si="1"/>
        <v>0.1117685806</v>
      </c>
      <c r="C930" s="39">
        <f t="array" ref="C930">NPV(B930,FCFF!$C$9:$I$9)+FCFF!$B$9+FCFF!$I$9*(1+Inputs!$B$6)/(B930-Inputs!$B$6)/(1+B930)^7</f>
        <v>-1668.241598</v>
      </c>
    </row>
    <row r="931" ht="14.25" customHeight="1">
      <c r="A931" s="7">
        <v>918.0</v>
      </c>
      <c r="B931" s="14">
        <f t="shared" si="1"/>
        <v>0.1169166577</v>
      </c>
      <c r="C931" s="39">
        <f t="array" ref="C931">NPV(B931,FCFF!$C$9:$I$9)+FCFF!$B$9+FCFF!$I$9*(1+Inputs!$B$6)/(B931-Inputs!$B$6)/(1+B931)^7</f>
        <v>-1767.814345</v>
      </c>
    </row>
    <row r="932" ht="14.25" customHeight="1">
      <c r="A932" s="7">
        <v>919.0</v>
      </c>
      <c r="B932" s="14">
        <f t="shared" si="1"/>
        <v>0.1100182012</v>
      </c>
      <c r="C932" s="39">
        <f t="array" ref="C932">NPV(B932,FCFF!$C$9:$I$9)+FCFF!$B$9+FCFF!$I$9*(1+Inputs!$B$6)/(B932-Inputs!$B$6)/(1+B932)^7</f>
        <v>-1631.346122</v>
      </c>
    </row>
    <row r="933" ht="14.25" customHeight="1">
      <c r="A933" s="7">
        <v>920.0</v>
      </c>
      <c r="B933" s="14">
        <f t="shared" si="1"/>
        <v>0.1232341176</v>
      </c>
      <c r="C933" s="39">
        <f t="array" ref="C933">NPV(B933,FCFF!$C$9:$I$9)+FCFF!$B$9+FCFF!$I$9*(1+Inputs!$B$6)/(B933-Inputs!$B$6)/(1+B933)^7</f>
        <v>-1874.259018</v>
      </c>
    </row>
    <row r="934" ht="14.25" customHeight="1">
      <c r="A934" s="7">
        <v>921.0</v>
      </c>
      <c r="B934" s="14">
        <f t="shared" si="1"/>
        <v>0.1061570276</v>
      </c>
      <c r="C934" s="39">
        <f t="array" ref="C934">NPV(B934,FCFF!$C$9:$I$9)+FCFF!$B$9+FCFF!$I$9*(1+Inputs!$B$6)/(B934-Inputs!$B$6)/(1+B934)^7</f>
        <v>-1543.768526</v>
      </c>
    </row>
    <row r="935" ht="14.25" customHeight="1">
      <c r="A935" s="7">
        <v>922.0</v>
      </c>
      <c r="B935" s="14">
        <f t="shared" si="1"/>
        <v>0.1108143551</v>
      </c>
      <c r="C935" s="39">
        <f t="array" ref="C935">NPV(B935,FCFF!$C$9:$I$9)+FCFF!$B$9+FCFF!$I$9*(1+Inputs!$B$6)/(B935-Inputs!$B$6)/(1+B935)^7</f>
        <v>-1648.332983</v>
      </c>
    </row>
    <row r="936" ht="14.25" customHeight="1">
      <c r="A936" s="7">
        <v>923.0</v>
      </c>
      <c r="B936" s="14">
        <f t="shared" si="1"/>
        <v>0.1226725745</v>
      </c>
      <c r="C936" s="39">
        <f t="array" ref="C936">NPV(B936,FCFF!$C$9:$I$9)+FCFF!$B$9+FCFF!$I$9*(1+Inputs!$B$6)/(B936-Inputs!$B$6)/(1+B936)^7</f>
        <v>-1865.42027</v>
      </c>
    </row>
    <row r="937" ht="14.25" customHeight="1">
      <c r="A937" s="7">
        <v>924.0</v>
      </c>
      <c r="B937" s="14">
        <f t="shared" si="1"/>
        <v>0.1206259165</v>
      </c>
      <c r="C937" s="39">
        <f t="array" ref="C937">NPV(B937,FCFF!$C$9:$I$9)+FCFF!$B$9+FCFF!$I$9*(1+Inputs!$B$6)/(B937-Inputs!$B$6)/(1+B937)^7</f>
        <v>-1832.217654</v>
      </c>
    </row>
    <row r="938" ht="14.25" customHeight="1">
      <c r="A938" s="7">
        <v>925.0</v>
      </c>
      <c r="B938" s="14">
        <f t="shared" si="1"/>
        <v>0.101966582</v>
      </c>
      <c r="C938" s="39">
        <f t="array" ref="C938">NPV(B938,FCFF!$C$9:$I$9)+FCFF!$B$9+FCFF!$I$9*(1+Inputs!$B$6)/(B938-Inputs!$B$6)/(1+B938)^7</f>
        <v>-1437.839372</v>
      </c>
    </row>
    <row r="939" ht="14.25" customHeight="1">
      <c r="A939" s="7">
        <v>926.0</v>
      </c>
      <c r="B939" s="14">
        <f t="shared" si="1"/>
        <v>0.1186820434</v>
      </c>
      <c r="C939" s="39">
        <f t="array" ref="C939">NPV(B939,FCFF!$C$9:$I$9)+FCFF!$B$9+FCFF!$I$9*(1+Inputs!$B$6)/(B939-Inputs!$B$6)/(1+B939)^7</f>
        <v>-1799.17564</v>
      </c>
    </row>
    <row r="940" ht="14.25" customHeight="1">
      <c r="A940" s="7">
        <v>927.0</v>
      </c>
      <c r="B940" s="14">
        <f t="shared" si="1"/>
        <v>0.1289894605</v>
      </c>
      <c r="C940" s="39">
        <f t="array" ref="C940">NPV(B940,FCFF!$C$9:$I$9)+FCFF!$B$9+FCFF!$I$9*(1+Inputs!$B$6)/(B940-Inputs!$B$6)/(1+B940)^7</f>
        <v>-1958.671488</v>
      </c>
    </row>
    <row r="941" ht="14.25" customHeight="1">
      <c r="A941" s="7">
        <v>928.0</v>
      </c>
      <c r="B941" s="14">
        <f t="shared" si="1"/>
        <v>0.1261216138</v>
      </c>
      <c r="C941" s="39">
        <f t="array" ref="C941">NPV(B941,FCFF!$C$9:$I$9)+FCFF!$B$9+FCFF!$I$9*(1+Inputs!$B$6)/(B941-Inputs!$B$6)/(1+B941)^7</f>
        <v>-1917.967364</v>
      </c>
    </row>
    <row r="942" ht="14.25" customHeight="1">
      <c r="A942" s="7">
        <v>929.0</v>
      </c>
      <c r="B942" s="14">
        <f t="shared" si="1"/>
        <v>0.113110155</v>
      </c>
      <c r="C942" s="39">
        <f t="array" ref="C942">NPV(B942,FCFF!$C$9:$I$9)+FCFF!$B$9+FCFF!$I$9*(1+Inputs!$B$6)/(B942-Inputs!$B$6)/(1+B942)^7</f>
        <v>-1695.429879</v>
      </c>
    </row>
    <row r="943" ht="14.25" customHeight="1">
      <c r="A943" s="7">
        <v>930.0</v>
      </c>
      <c r="B943" s="14">
        <f t="shared" si="1"/>
        <v>0.1004556295</v>
      </c>
      <c r="C943" s="39">
        <f t="array" ref="C943">NPV(B943,FCFF!$C$9:$I$9)+FCFF!$B$9+FCFF!$I$9*(1+Inputs!$B$6)/(B943-Inputs!$B$6)/(1+B943)^7</f>
        <v>-1396.509082</v>
      </c>
    </row>
    <row r="944" ht="14.25" customHeight="1">
      <c r="A944" s="7">
        <v>931.0</v>
      </c>
      <c r="B944" s="14">
        <f t="shared" si="1"/>
        <v>0.1249404119</v>
      </c>
      <c r="C944" s="39">
        <f t="array" ref="C944">NPV(B944,FCFF!$C$9:$I$9)+FCFF!$B$9+FCFF!$I$9*(1+Inputs!$B$6)/(B944-Inputs!$B$6)/(1+B944)^7</f>
        <v>-1900.431588</v>
      </c>
    </row>
    <row r="945" ht="14.25" customHeight="1">
      <c r="A945" s="7">
        <v>932.0</v>
      </c>
      <c r="B945" s="14">
        <f t="shared" si="1"/>
        <v>0.09902240715</v>
      </c>
      <c r="C945" s="39">
        <f t="array" ref="C945">NPV(B945,FCFF!$C$9:$I$9)+FCFF!$B$9+FCFF!$I$9*(1+Inputs!$B$6)/(B945-Inputs!$B$6)/(1+B945)^7</f>
        <v>-1355.619511</v>
      </c>
    </row>
    <row r="946" ht="14.25" customHeight="1">
      <c r="A946" s="7">
        <v>933.0</v>
      </c>
      <c r="B946" s="14">
        <f t="shared" si="1"/>
        <v>0.1180775409</v>
      </c>
      <c r="C946" s="39">
        <f t="array" ref="C946">NPV(B946,FCFF!$C$9:$I$9)+FCFF!$B$9+FCFF!$I$9*(1+Inputs!$B$6)/(B946-Inputs!$B$6)/(1+B946)^7</f>
        <v>-1788.585983</v>
      </c>
    </row>
    <row r="947" ht="14.25" customHeight="1">
      <c r="A947" s="7">
        <v>934.0</v>
      </c>
      <c r="B947" s="14">
        <f t="shared" si="1"/>
        <v>0.09901322674</v>
      </c>
      <c r="C947" s="39">
        <f t="array" ref="C947">NPV(B947,FCFF!$C$9:$I$9)+FCFF!$B$9+FCFF!$I$9*(1+Inputs!$B$6)/(B947-Inputs!$B$6)/(1+B947)^7</f>
        <v>-1355.352093</v>
      </c>
    </row>
    <row r="948" ht="14.25" customHeight="1">
      <c r="A948" s="7">
        <v>935.0</v>
      </c>
      <c r="B948" s="14">
        <f t="shared" si="1"/>
        <v>0.1298895121</v>
      </c>
      <c r="C948" s="39">
        <f t="array" ref="C948">NPV(B948,FCFF!$C$9:$I$9)+FCFF!$B$9+FCFF!$I$9*(1+Inputs!$B$6)/(B948-Inputs!$B$6)/(1+B948)^7</f>
        <v>-1970.926057</v>
      </c>
    </row>
    <row r="949" ht="14.25" customHeight="1">
      <c r="A949" s="7">
        <v>936.0</v>
      </c>
      <c r="B949" s="14">
        <f t="shared" si="1"/>
        <v>0.09402668864</v>
      </c>
      <c r="C949" s="39">
        <f t="array" ref="C949">NPV(B949,FCFF!$C$9:$I$9)+FCFF!$B$9+FCFF!$I$9*(1+Inputs!$B$6)/(B949-Inputs!$B$6)/(1+B949)^7</f>
        <v>-1198.772317</v>
      </c>
    </row>
    <row r="950" ht="14.25" customHeight="1">
      <c r="A950" s="7">
        <v>937.0</v>
      </c>
      <c r="B950" s="14">
        <f t="shared" si="1"/>
        <v>0.1300482251</v>
      </c>
      <c r="C950" s="39">
        <f t="array" ref="C950">NPV(B950,FCFF!$C$9:$I$9)+FCFF!$B$9+FCFF!$I$9*(1+Inputs!$B$6)/(B950-Inputs!$B$6)/(1+B950)^7</f>
        <v>-1973.062213</v>
      </c>
    </row>
    <row r="951" ht="14.25" customHeight="1">
      <c r="A951" s="7">
        <v>938.0</v>
      </c>
      <c r="B951" s="14">
        <f t="shared" si="1"/>
        <v>0.1283046269</v>
      </c>
      <c r="C951" s="39">
        <f t="array" ref="C951">NPV(B951,FCFF!$C$9:$I$9)+FCFF!$B$9+FCFF!$I$9*(1+Inputs!$B$6)/(B951-Inputs!$B$6)/(1+B951)^7</f>
        <v>-1949.184338</v>
      </c>
    </row>
    <row r="952" ht="14.25" customHeight="1">
      <c r="A952" s="7">
        <v>939.0</v>
      </c>
      <c r="B952" s="14">
        <f t="shared" si="1"/>
        <v>0.1091540972</v>
      </c>
      <c r="C952" s="39">
        <f t="array" ref="C952">NPV(B952,FCFF!$C$9:$I$9)+FCFF!$B$9+FCFF!$I$9*(1+Inputs!$B$6)/(B952-Inputs!$B$6)/(1+B952)^7</f>
        <v>-1612.509982</v>
      </c>
    </row>
    <row r="953" ht="14.25" customHeight="1">
      <c r="A953" s="7">
        <v>940.0</v>
      </c>
      <c r="B953" s="14">
        <f t="shared" si="1"/>
        <v>0.1230404902</v>
      </c>
      <c r="C953" s="39">
        <f t="array" ref="C953">NPV(B953,FCFF!$C$9:$I$9)+FCFF!$B$9+FCFF!$I$9*(1+Inputs!$B$6)/(B953-Inputs!$B$6)/(1+B953)^7</f>
        <v>-1871.224156</v>
      </c>
    </row>
    <row r="954" ht="14.25" customHeight="1">
      <c r="A954" s="7">
        <v>941.0</v>
      </c>
      <c r="B954" s="14">
        <f t="shared" si="1"/>
        <v>0.09924528461</v>
      </c>
      <c r="C954" s="39">
        <f t="array" ref="C954">NPV(B954,FCFF!$C$9:$I$9)+FCFF!$B$9+FCFF!$I$9*(1+Inputs!$B$6)/(B954-Inputs!$B$6)/(1+B954)^7</f>
        <v>-1362.089907</v>
      </c>
    </row>
    <row r="955" ht="14.25" customHeight="1">
      <c r="A955" s="7">
        <v>942.0</v>
      </c>
      <c r="B955" s="14">
        <f t="shared" si="1"/>
        <v>0.1040029476</v>
      </c>
      <c r="C955" s="39">
        <f t="array" ref="C955">NPV(B955,FCFF!$C$9:$I$9)+FCFF!$B$9+FCFF!$I$9*(1+Inputs!$B$6)/(B955-Inputs!$B$6)/(1+B955)^7</f>
        <v>-1490.840114</v>
      </c>
    </row>
    <row r="956" ht="14.25" customHeight="1">
      <c r="A956" s="7">
        <v>943.0</v>
      </c>
      <c r="B956" s="14">
        <f t="shared" si="1"/>
        <v>0.09813090656</v>
      </c>
      <c r="C956" s="39">
        <f t="array" ref="C956">NPV(B956,FCFF!$C$9:$I$9)+FCFF!$B$9+FCFF!$I$9*(1+Inputs!$B$6)/(B956-Inputs!$B$6)/(1+B956)^7</f>
        <v>-1329.313448</v>
      </c>
    </row>
    <row r="957" ht="14.25" customHeight="1">
      <c r="A957" s="7">
        <v>944.0</v>
      </c>
      <c r="B957" s="14">
        <f t="shared" si="1"/>
        <v>0.108878393</v>
      </c>
      <c r="C957" s="39">
        <f t="array" ref="C957">NPV(B957,FCFF!$C$9:$I$9)+FCFF!$B$9+FCFF!$I$9*(1+Inputs!$B$6)/(B957-Inputs!$B$6)/(1+B957)^7</f>
        <v>-1606.4105</v>
      </c>
    </row>
    <row r="958" ht="14.25" customHeight="1">
      <c r="A958" s="7">
        <v>945.0</v>
      </c>
      <c r="B958" s="14">
        <f t="shared" si="1"/>
        <v>0.1033372767</v>
      </c>
      <c r="C958" s="39">
        <f t="array" ref="C958">NPV(B958,FCFF!$C$9:$I$9)+FCFF!$B$9+FCFF!$I$9*(1+Inputs!$B$6)/(B958-Inputs!$B$6)/(1+B958)^7</f>
        <v>-1473.843165</v>
      </c>
    </row>
    <row r="959" ht="14.25" customHeight="1">
      <c r="A959" s="7">
        <v>946.0</v>
      </c>
      <c r="B959" s="14">
        <f t="shared" si="1"/>
        <v>0.1020263346</v>
      </c>
      <c r="C959" s="39">
        <f t="array" ref="C959">NPV(B959,FCFF!$C$9:$I$9)+FCFF!$B$9+FCFF!$I$9*(1+Inputs!$B$6)/(B959-Inputs!$B$6)/(1+B959)^7</f>
        <v>-1439.437823</v>
      </c>
    </row>
    <row r="960" ht="14.25" customHeight="1">
      <c r="A960" s="7">
        <v>947.0</v>
      </c>
      <c r="B960" s="14">
        <f t="shared" si="1"/>
        <v>0.1001422145</v>
      </c>
      <c r="C960" s="39">
        <f t="array" ref="C960">NPV(B960,FCFF!$C$9:$I$9)+FCFF!$B$9+FCFF!$I$9*(1+Inputs!$B$6)/(B960-Inputs!$B$6)/(1+B960)^7</f>
        <v>-1387.711038</v>
      </c>
    </row>
    <row r="961" ht="14.25" customHeight="1">
      <c r="A961" s="7">
        <v>948.0</v>
      </c>
      <c r="B961" s="14">
        <f t="shared" si="1"/>
        <v>0.1227066787</v>
      </c>
      <c r="C961" s="39">
        <f t="array" ref="C961">NPV(B961,FCFF!$C$9:$I$9)+FCFF!$B$9+FCFF!$I$9*(1+Inputs!$B$6)/(B961-Inputs!$B$6)/(1+B961)^7</f>
        <v>-1865.960331</v>
      </c>
    </row>
    <row r="962" ht="14.25" customHeight="1">
      <c r="A962" s="7">
        <v>949.0</v>
      </c>
      <c r="B962" s="14">
        <f t="shared" si="1"/>
        <v>0.1109527971</v>
      </c>
      <c r="C962" s="39">
        <f t="array" ref="C962">NPV(B962,FCFF!$C$9:$I$9)+FCFF!$B$9+FCFF!$I$9*(1+Inputs!$B$6)/(B962-Inputs!$B$6)/(1+B962)^7</f>
        <v>-1651.251539</v>
      </c>
    </row>
    <row r="963" ht="14.25" customHeight="1">
      <c r="A963" s="7">
        <v>950.0</v>
      </c>
      <c r="B963" s="14">
        <f t="shared" si="1"/>
        <v>0.122347947</v>
      </c>
      <c r="C963" s="39">
        <f t="array" ref="C963">NPV(B963,FCFF!$C$9:$I$9)+FCFF!$B$9+FCFF!$I$9*(1+Inputs!$B$6)/(B963-Inputs!$B$6)/(1+B963)^7</f>
        <v>-1860.258314</v>
      </c>
    </row>
    <row r="964" ht="14.25" customHeight="1">
      <c r="A964" s="7">
        <v>951.0</v>
      </c>
      <c r="B964" s="14">
        <f t="shared" si="1"/>
        <v>0.09753929767</v>
      </c>
      <c r="C964" s="39">
        <f t="array" ref="C964">NPV(B964,FCFF!$C$9:$I$9)+FCFF!$B$9+FCFF!$I$9*(1+Inputs!$B$6)/(B964-Inputs!$B$6)/(1+B964)^7</f>
        <v>-1311.472435</v>
      </c>
    </row>
    <row r="965" ht="14.25" customHeight="1">
      <c r="A965" s="7">
        <v>952.0</v>
      </c>
      <c r="B965" s="14">
        <f t="shared" si="1"/>
        <v>0.1322758652</v>
      </c>
      <c r="C965" s="39">
        <f t="array" ref="C965">NPV(B965,FCFF!$C$9:$I$9)+FCFF!$B$9+FCFF!$I$9*(1+Inputs!$B$6)/(B965-Inputs!$B$6)/(1+B965)^7</f>
        <v>-2002.285022</v>
      </c>
    </row>
    <row r="966" ht="14.25" customHeight="1">
      <c r="A966" s="7">
        <v>953.0</v>
      </c>
      <c r="B966" s="14">
        <f t="shared" si="1"/>
        <v>0.1188802352</v>
      </c>
      <c r="C966" s="39">
        <f t="array" ref="C966">NPV(B966,FCFF!$C$9:$I$9)+FCFF!$B$9+FCFF!$I$9*(1+Inputs!$B$6)/(B966-Inputs!$B$6)/(1+B966)^7</f>
        <v>-1802.614486</v>
      </c>
    </row>
    <row r="967" ht="14.25" customHeight="1">
      <c r="A967" s="7">
        <v>954.0</v>
      </c>
      <c r="B967" s="14">
        <f t="shared" si="1"/>
        <v>0.1238327391</v>
      </c>
      <c r="C967" s="39">
        <f t="array" ref="C967">NPV(B967,FCFF!$C$9:$I$9)+FCFF!$B$9+FCFF!$I$9*(1+Inputs!$B$6)/(B967-Inputs!$B$6)/(1+B967)^7</f>
        <v>-1883.557093</v>
      </c>
    </row>
    <row r="968" ht="14.25" customHeight="1">
      <c r="A968" s="7">
        <v>955.0</v>
      </c>
      <c r="B968" s="14">
        <f t="shared" si="1"/>
        <v>0.1092333959</v>
      </c>
      <c r="C968" s="39">
        <f t="array" ref="C968">NPV(B968,FCFF!$C$9:$I$9)+FCFF!$B$9+FCFF!$I$9*(1+Inputs!$B$6)/(B968-Inputs!$B$6)/(1+B968)^7</f>
        <v>-1614.256231</v>
      </c>
    </row>
    <row r="969" ht="14.25" customHeight="1">
      <c r="A969" s="7">
        <v>956.0</v>
      </c>
      <c r="B969" s="14">
        <f t="shared" si="1"/>
        <v>0.1194350463</v>
      </c>
      <c r="C969" s="39">
        <f t="array" ref="C969">NPV(B969,FCFF!$C$9:$I$9)+FCFF!$B$9+FCFF!$I$9*(1+Inputs!$B$6)/(B969-Inputs!$B$6)/(1+B969)^7</f>
        <v>-1812.155486</v>
      </c>
    </row>
    <row r="970" ht="14.25" customHeight="1">
      <c r="A970" s="7">
        <v>957.0</v>
      </c>
      <c r="B970" s="14">
        <f t="shared" si="1"/>
        <v>0.1052830314</v>
      </c>
      <c r="C970" s="39">
        <f t="array" ref="C970">NPV(B970,FCFF!$C$9:$I$9)+FCFF!$B$9+FCFF!$I$9*(1+Inputs!$B$6)/(B970-Inputs!$B$6)/(1+B970)^7</f>
        <v>-1522.66581</v>
      </c>
    </row>
    <row r="971" ht="14.25" customHeight="1">
      <c r="A971" s="7">
        <v>958.0</v>
      </c>
      <c r="B971" s="14">
        <f t="shared" si="1"/>
        <v>0.1004098868</v>
      </c>
      <c r="C971" s="39">
        <f t="array" ref="C971">NPV(B971,FCFF!$C$9:$I$9)+FCFF!$B$9+FCFF!$I$9*(1+Inputs!$B$6)/(B971-Inputs!$B$6)/(1+B971)^7</f>
        <v>-1395.229934</v>
      </c>
    </row>
    <row r="972" ht="14.25" customHeight="1">
      <c r="A972" s="7">
        <v>959.0</v>
      </c>
      <c r="B972" s="14">
        <f t="shared" si="1"/>
        <v>0.1277071503</v>
      </c>
      <c r="C972" s="39">
        <f t="array" ref="C972">NPV(B972,FCFF!$C$9:$I$9)+FCFF!$B$9+FCFF!$I$9*(1+Inputs!$B$6)/(B972-Inputs!$B$6)/(1+B972)^7</f>
        <v>-1940.789903</v>
      </c>
    </row>
    <row r="973" ht="14.25" customHeight="1">
      <c r="A973" s="7">
        <v>960.0</v>
      </c>
      <c r="B973" s="14">
        <f t="shared" si="1"/>
        <v>0.09311578128</v>
      </c>
      <c r="C973" s="39">
        <f t="array" ref="C973">NPV(B973,FCFF!$C$9:$I$9)+FCFF!$B$9+FCFF!$I$9*(1+Inputs!$B$6)/(B973-Inputs!$B$6)/(1+B973)^7</f>
        <v>-1167.513183</v>
      </c>
    </row>
    <row r="974" ht="14.25" customHeight="1">
      <c r="A974" s="7">
        <v>961.0</v>
      </c>
      <c r="B974" s="14">
        <f t="shared" si="1"/>
        <v>0.1292685901</v>
      </c>
      <c r="C974" s="39">
        <f t="array" ref="C974">NPV(B974,FCFF!$C$9:$I$9)+FCFF!$B$9+FCFF!$I$9*(1+Inputs!$B$6)/(B974-Inputs!$B$6)/(1+B974)^7</f>
        <v>-1962.497712</v>
      </c>
    </row>
    <row r="975" ht="14.25" customHeight="1">
      <c r="A975" s="7">
        <v>962.0</v>
      </c>
      <c r="B975" s="14">
        <f t="shared" si="1"/>
        <v>0.109710004</v>
      </c>
      <c r="C975" s="39">
        <f t="array" ref="C975">NPV(B975,FCFF!$C$9:$I$9)+FCFF!$B$9+FCFF!$I$9*(1+Inputs!$B$6)/(B975-Inputs!$B$6)/(1+B975)^7</f>
        <v>-1624.676235</v>
      </c>
    </row>
    <row r="976" ht="14.25" customHeight="1">
      <c r="A976" s="7">
        <v>963.0</v>
      </c>
      <c r="B976" s="14">
        <f t="shared" si="1"/>
        <v>0.09469230887</v>
      </c>
      <c r="C976" s="39">
        <f t="array" ref="C976">NPV(B976,FCFF!$C$9:$I$9)+FCFF!$B$9+FCFF!$I$9*(1+Inputs!$B$6)/(B976-Inputs!$B$6)/(1+B976)^7</f>
        <v>-1221.062749</v>
      </c>
    </row>
    <row r="977" ht="14.25" customHeight="1">
      <c r="A977" s="7">
        <v>964.0</v>
      </c>
      <c r="B977" s="14">
        <f t="shared" si="1"/>
        <v>0.1079185943</v>
      </c>
      <c r="C977" s="39">
        <f t="array" ref="C977">NPV(B977,FCFF!$C$9:$I$9)+FCFF!$B$9+FCFF!$I$9*(1+Inputs!$B$6)/(B977-Inputs!$B$6)/(1+B977)^7</f>
        <v>-1584.829988</v>
      </c>
    </row>
    <row r="978" ht="14.25" customHeight="1">
      <c r="A978" s="7">
        <v>965.0</v>
      </c>
      <c r="B978" s="14">
        <f t="shared" si="1"/>
        <v>0.1214067707</v>
      </c>
      <c r="C978" s="39">
        <f t="array" ref="C978">NPV(B978,FCFF!$C$9:$I$9)+FCFF!$B$9+FCFF!$I$9*(1+Inputs!$B$6)/(B978-Inputs!$B$6)/(1+B978)^7</f>
        <v>-1845.071807</v>
      </c>
    </row>
    <row r="979" ht="14.25" customHeight="1">
      <c r="A979" s="7">
        <v>966.0</v>
      </c>
      <c r="B979" s="14">
        <f t="shared" si="1"/>
        <v>0.1223666054</v>
      </c>
      <c r="C979" s="39">
        <f t="array" ref="C979">NPV(B979,FCFF!$C$9:$I$9)+FCFF!$B$9+FCFF!$I$9*(1+Inputs!$B$6)/(B979-Inputs!$B$6)/(1+B979)^7</f>
        <v>-1860.556051</v>
      </c>
    </row>
    <row r="980" ht="14.25" customHeight="1">
      <c r="A980" s="7">
        <v>967.0</v>
      </c>
      <c r="B980" s="14">
        <f t="shared" si="1"/>
        <v>0.1070823072</v>
      </c>
      <c r="C980" s="39">
        <f t="array" ref="C980">NPV(B980,FCFF!$C$9:$I$9)+FCFF!$B$9+FCFF!$I$9*(1+Inputs!$B$6)/(B980-Inputs!$B$6)/(1+B980)^7</f>
        <v>-1565.576294</v>
      </c>
    </row>
    <row r="981" ht="14.25" customHeight="1">
      <c r="A981" s="7">
        <v>968.0</v>
      </c>
      <c r="B981" s="14">
        <f t="shared" si="1"/>
        <v>0.09863044945</v>
      </c>
      <c r="C981" s="39">
        <f t="array" ref="C981">NPV(B981,FCFF!$C$9:$I$9)+FCFF!$B$9+FCFF!$I$9*(1+Inputs!$B$6)/(B981-Inputs!$B$6)/(1+B981)^7</f>
        <v>-1344.138188</v>
      </c>
    </row>
    <row r="982" ht="14.25" customHeight="1">
      <c r="A982" s="7">
        <v>969.0</v>
      </c>
      <c r="B982" s="14">
        <f t="shared" si="1"/>
        <v>0.1303017493</v>
      </c>
      <c r="C982" s="39">
        <f t="array" ref="C982">NPV(B982,FCFF!$C$9:$I$9)+FCFF!$B$9+FCFF!$I$9*(1+Inputs!$B$6)/(B982-Inputs!$B$6)/(1+B982)^7</f>
        <v>-1976.459237</v>
      </c>
    </row>
    <row r="983" ht="14.25" customHeight="1">
      <c r="A983" s="7">
        <v>970.0</v>
      </c>
      <c r="B983" s="14">
        <f t="shared" si="1"/>
        <v>0.09350160996</v>
      </c>
      <c r="C983" s="39">
        <f t="array" ref="C983">NPV(B983,FCFF!$C$9:$I$9)+FCFF!$B$9+FCFF!$I$9*(1+Inputs!$B$6)/(B983-Inputs!$B$6)/(1+B983)^7</f>
        <v>-1180.861767</v>
      </c>
    </row>
    <row r="984" ht="14.25" customHeight="1">
      <c r="A984" s="7">
        <v>971.0</v>
      </c>
      <c r="B984" s="14">
        <f t="shared" si="1"/>
        <v>0.1032811249</v>
      </c>
      <c r="C984" s="39">
        <f t="array" ref="C984">NPV(B984,FCFF!$C$9:$I$9)+FCFF!$B$9+FCFF!$I$9*(1+Inputs!$B$6)/(B984-Inputs!$B$6)/(1+B984)^7</f>
        <v>-1472.395063</v>
      </c>
    </row>
    <row r="985" ht="14.25" customHeight="1">
      <c r="A985" s="7">
        <v>972.0</v>
      </c>
      <c r="B985" s="14">
        <f t="shared" si="1"/>
        <v>0.1174468839</v>
      </c>
      <c r="C985" s="39">
        <f t="array" ref="C985">NPV(B985,FCFF!$C$9:$I$9)+FCFF!$B$9+FCFF!$I$9*(1+Inputs!$B$6)/(B985-Inputs!$B$6)/(1+B985)^7</f>
        <v>-1777.373656</v>
      </c>
    </row>
    <row r="986" ht="14.25" customHeight="1">
      <c r="A986" s="7">
        <v>973.0</v>
      </c>
      <c r="B986" s="14">
        <f t="shared" si="1"/>
        <v>0.09707878768</v>
      </c>
      <c r="C986" s="39">
        <f t="array" ref="C986">NPV(B986,FCFF!$C$9:$I$9)+FCFF!$B$9+FCFF!$I$9*(1+Inputs!$B$6)/(B986-Inputs!$B$6)/(1+B986)^7</f>
        <v>-1297.3671</v>
      </c>
    </row>
    <row r="987" ht="14.25" customHeight="1">
      <c r="A987" s="7">
        <v>974.0</v>
      </c>
      <c r="B987" s="14">
        <f t="shared" si="1"/>
        <v>0.127484949</v>
      </c>
      <c r="C987" s="39">
        <f t="array" ref="C987">NPV(B987,FCFF!$C$9:$I$9)+FCFF!$B$9+FCFF!$I$9*(1+Inputs!$B$6)/(B987-Inputs!$B$6)/(1+B987)^7</f>
        <v>-1937.639673</v>
      </c>
    </row>
    <row r="988" ht="14.25" customHeight="1">
      <c r="A988" s="7">
        <v>975.0</v>
      </c>
      <c r="B988" s="14">
        <f t="shared" si="1"/>
        <v>0.1250726729</v>
      </c>
      <c r="C988" s="39">
        <f t="array" ref="C988">NPV(B988,FCFF!$C$9:$I$9)+FCFF!$B$9+FCFF!$I$9*(1+Inputs!$B$6)/(B988-Inputs!$B$6)/(1+B988)^7</f>
        <v>-1902.418344</v>
      </c>
    </row>
    <row r="989" ht="14.25" customHeight="1">
      <c r="A989" s="7">
        <v>976.0</v>
      </c>
      <c r="B989" s="14">
        <f t="shared" si="1"/>
        <v>0.09336779667</v>
      </c>
      <c r="C989" s="39">
        <f t="array" ref="C989">NPV(B989,FCFF!$C$9:$I$9)+FCFF!$B$9+FCFF!$I$9*(1+Inputs!$B$6)/(B989-Inputs!$B$6)/(1+B989)^7</f>
        <v>-1176.250407</v>
      </c>
    </row>
    <row r="990" ht="14.25" customHeight="1">
      <c r="A990" s="7">
        <v>977.0</v>
      </c>
      <c r="B990" s="14">
        <f t="shared" si="1"/>
        <v>0.1026553243</v>
      </c>
      <c r="C990" s="39">
        <f t="array" ref="C990">NPV(B990,FCFF!$C$9:$I$9)+FCFF!$B$9+FCFF!$I$9*(1+Inputs!$B$6)/(B990-Inputs!$B$6)/(1+B990)^7</f>
        <v>-1456.10254</v>
      </c>
    </row>
    <row r="991" ht="14.25" customHeight="1">
      <c r="A991" s="7">
        <v>978.0</v>
      </c>
      <c r="B991" s="14">
        <f t="shared" si="1"/>
        <v>0.1328786985</v>
      </c>
      <c r="C991" s="39">
        <f t="array" ref="C991">NPV(B991,FCFF!$C$9:$I$9)+FCFF!$B$9+FCFF!$I$9*(1+Inputs!$B$6)/(B991-Inputs!$B$6)/(1+B991)^7</f>
        <v>-2009.956282</v>
      </c>
    </row>
    <row r="992" ht="14.25" customHeight="1">
      <c r="A992" s="7">
        <v>979.0</v>
      </c>
      <c r="B992" s="14">
        <f t="shared" si="1"/>
        <v>0.1212277246</v>
      </c>
      <c r="C992" s="39">
        <f t="array" ref="C992">NPV(B992,FCFF!$C$9:$I$9)+FCFF!$B$9+FCFF!$I$9*(1+Inputs!$B$6)/(B992-Inputs!$B$6)/(1+B992)^7</f>
        <v>-1842.145051</v>
      </c>
    </row>
    <row r="993" ht="14.25" customHeight="1">
      <c r="A993" s="7">
        <v>980.0</v>
      </c>
      <c r="B993" s="14">
        <f t="shared" si="1"/>
        <v>0.122181191</v>
      </c>
      <c r="C993" s="39">
        <f t="array" ref="C993">NPV(B993,FCFF!$C$9:$I$9)+FCFF!$B$9+FCFF!$I$9*(1+Inputs!$B$6)/(B993-Inputs!$B$6)/(1+B993)^7</f>
        <v>-1857.591643</v>
      </c>
    </row>
    <row r="994" ht="14.25" customHeight="1">
      <c r="A994" s="7">
        <v>981.0</v>
      </c>
      <c r="B994" s="14">
        <f t="shared" si="1"/>
        <v>0.1119235635</v>
      </c>
      <c r="C994" s="39">
        <f t="array" ref="C994">NPV(B994,FCFF!$C$9:$I$9)+FCFF!$B$9+FCFF!$I$9*(1+Inputs!$B$6)/(B994-Inputs!$B$6)/(1+B994)^7</f>
        <v>-1671.429732</v>
      </c>
    </row>
    <row r="995" ht="14.25" customHeight="1">
      <c r="A995" s="7">
        <v>982.0</v>
      </c>
      <c r="B995" s="14">
        <f t="shared" si="1"/>
        <v>0.1065464391</v>
      </c>
      <c r="C995" s="39">
        <f t="array" ref="C995">NPV(B995,FCFF!$C$9:$I$9)+FCFF!$B$9+FCFF!$I$9*(1+Inputs!$B$6)/(B995-Inputs!$B$6)/(1+B995)^7</f>
        <v>-1553.012287</v>
      </c>
    </row>
    <row r="996" ht="14.25" customHeight="1">
      <c r="A996" s="7">
        <v>983.0</v>
      </c>
      <c r="B996" s="14">
        <f t="shared" si="1"/>
        <v>0.1164482621</v>
      </c>
      <c r="C996" s="39">
        <f t="array" ref="C996">NPV(B996,FCFF!$C$9:$I$9)+FCFF!$B$9+FCFF!$I$9*(1+Inputs!$B$6)/(B996-Inputs!$B$6)/(1+B996)^7</f>
        <v>-1759.267229</v>
      </c>
    </row>
    <row r="997" ht="14.25" customHeight="1">
      <c r="A997" s="7">
        <v>984.0</v>
      </c>
      <c r="B997" s="14">
        <f t="shared" si="1"/>
        <v>0.1006445025</v>
      </c>
      <c r="C997" s="39">
        <f t="array" ref="C997">NPV(B997,FCFF!$C$9:$I$9)+FCFF!$B$9+FCFF!$I$9*(1+Inputs!$B$6)/(B997-Inputs!$B$6)/(1+B997)^7</f>
        <v>-1401.773056</v>
      </c>
    </row>
    <row r="998" ht="14.25" customHeight="1">
      <c r="A998" s="7">
        <v>985.0</v>
      </c>
      <c r="B998" s="14">
        <f t="shared" si="1"/>
        <v>0.124479586</v>
      </c>
      <c r="C998" s="39">
        <f t="array" ref="C998">NPV(B998,FCFF!$C$9:$I$9)+FCFF!$B$9+FCFF!$I$9*(1+Inputs!$B$6)/(B998-Inputs!$B$6)/(1+B998)^7</f>
        <v>-1893.462726</v>
      </c>
    </row>
    <row r="999" ht="14.25" customHeight="1">
      <c r="A999" s="7">
        <v>986.0</v>
      </c>
      <c r="B999" s="14">
        <f t="shared" si="1"/>
        <v>0.1042288722</v>
      </c>
      <c r="C999" s="39">
        <f t="array" ref="C999">NPV(B999,FCFF!$C$9:$I$9)+FCFF!$B$9+FCFF!$I$9*(1+Inputs!$B$6)/(B999-Inputs!$B$6)/(1+B999)^7</f>
        <v>-1496.538334</v>
      </c>
    </row>
    <row r="1000" ht="14.25" customHeight="1">
      <c r="A1000" s="7">
        <v>987.0</v>
      </c>
      <c r="B1000" s="14">
        <f t="shared" si="1"/>
        <v>0.1328818991</v>
      </c>
      <c r="C1000" s="39">
        <f t="array" ref="C1000">NPV(B1000,FCFF!$C$9:$I$9)+FCFF!$B$9+FCFF!$I$9*(1+Inputs!$B$6)/(B1000-Inputs!$B$6)/(1+B1000)^7</f>
        <v>-2009.996749</v>
      </c>
    </row>
    <row r="1001" ht="14.25" customHeight="1">
      <c r="A1001" s="7">
        <v>988.0</v>
      </c>
      <c r="B1001" s="14">
        <f t="shared" si="1"/>
        <v>0.1199184296</v>
      </c>
      <c r="C1001" s="39">
        <f t="array" ref="C1001">NPV(B1001,FCFF!$C$9:$I$9)+FCFF!$B$9+FCFF!$I$9*(1+Inputs!$B$6)/(B1001-Inputs!$B$6)/(1+B1001)^7</f>
        <v>-1820.366715</v>
      </c>
    </row>
    <row r="1002" ht="14.25" customHeight="1">
      <c r="A1002" s="7">
        <v>989.0</v>
      </c>
      <c r="B1002" s="14">
        <f t="shared" si="1"/>
        <v>0.09329179658</v>
      </c>
      <c r="C1002" s="39">
        <f t="array" ref="C1002">NPV(B1002,FCFF!$C$9:$I$9)+FCFF!$B$9+FCFF!$I$9*(1+Inputs!$B$6)/(B1002-Inputs!$B$6)/(1+B1002)^7</f>
        <v>-1173.622772</v>
      </c>
    </row>
    <row r="1003" ht="14.25" customHeight="1">
      <c r="A1003" s="7">
        <v>990.0</v>
      </c>
      <c r="B1003" s="14">
        <f t="shared" si="1"/>
        <v>0.1294570253</v>
      </c>
      <c r="C1003" s="39">
        <f t="array" ref="C1003">NPV(B1003,FCFF!$C$9:$I$9)+FCFF!$B$9+FCFF!$I$9*(1+Inputs!$B$6)/(B1003-Inputs!$B$6)/(1+B1003)^7</f>
        <v>-1965.067574</v>
      </c>
    </row>
    <row r="1004" ht="14.25" customHeight="1">
      <c r="A1004" s="7">
        <v>991.0</v>
      </c>
      <c r="B1004" s="14">
        <f t="shared" si="1"/>
        <v>0.1213218552</v>
      </c>
      <c r="C1004" s="39">
        <f t="array" ref="C1004">NPV(B1004,FCFF!$C$9:$I$9)+FCFF!$B$9+FCFF!$I$9*(1+Inputs!$B$6)/(B1004-Inputs!$B$6)/(1+B1004)^7</f>
        <v>-1843.685265</v>
      </c>
    </row>
    <row r="1005" ht="14.25" customHeight="1">
      <c r="A1005" s="7">
        <v>992.0</v>
      </c>
      <c r="B1005" s="14">
        <f t="shared" si="1"/>
        <v>0.1110035256</v>
      </c>
      <c r="C1005" s="39">
        <f t="array" ref="C1005">NPV(B1005,FCFF!$C$9:$I$9)+FCFF!$B$9+FCFF!$I$9*(1+Inputs!$B$6)/(B1005-Inputs!$B$6)/(1+B1005)^7</f>
        <v>-1652.318382</v>
      </c>
    </row>
    <row r="1006" ht="14.25" customHeight="1">
      <c r="A1006" s="7">
        <v>993.0</v>
      </c>
      <c r="B1006" s="14">
        <f t="shared" si="1"/>
        <v>0.1107093457</v>
      </c>
      <c r="C1006" s="39">
        <f t="array" ref="C1006">NPV(B1006,FCFF!$C$9:$I$9)+FCFF!$B$9+FCFF!$I$9*(1+Inputs!$B$6)/(B1006-Inputs!$B$6)/(1+B1006)^7</f>
        <v>-1646.112325</v>
      </c>
    </row>
    <row r="1007" ht="14.25" customHeight="1">
      <c r="A1007" s="7">
        <v>994.0</v>
      </c>
      <c r="B1007" s="14">
        <f t="shared" si="1"/>
        <v>0.1234947055</v>
      </c>
      <c r="C1007" s="39">
        <f t="array" ref="C1007">NPV(B1007,FCFF!$C$9:$I$9)+FCFF!$B$9+FCFF!$I$9*(1+Inputs!$B$6)/(B1007-Inputs!$B$6)/(1+B1007)^7</f>
        <v>-1878.322223</v>
      </c>
    </row>
    <row r="1008" ht="14.25" customHeight="1">
      <c r="A1008" s="7">
        <v>995.0</v>
      </c>
      <c r="B1008" s="14">
        <f t="shared" si="1"/>
        <v>0.09534078169</v>
      </c>
      <c r="C1008" s="39">
        <f t="array" ref="C1008">NPV(B1008,FCFF!$C$9:$I$9)+FCFF!$B$9+FCFF!$I$9*(1+Inputs!$B$6)/(B1008-Inputs!$B$6)/(1+B1008)^7</f>
        <v>-1242.345524</v>
      </c>
    </row>
    <row r="1009" ht="14.25" customHeight="1">
      <c r="A1009" s="7">
        <v>996.0</v>
      </c>
      <c r="B1009" s="14">
        <f t="shared" si="1"/>
        <v>0.1088750952</v>
      </c>
      <c r="C1009" s="39">
        <f t="array" ref="C1009">NPV(B1009,FCFF!$C$9:$I$9)+FCFF!$B$9+FCFF!$I$9*(1+Inputs!$B$6)/(B1009-Inputs!$B$6)/(1+B1009)^7</f>
        <v>-1606.337277</v>
      </c>
    </row>
    <row r="1010" ht="14.25" customHeight="1">
      <c r="A1010" s="7">
        <v>997.0</v>
      </c>
      <c r="B1010" s="14">
        <f t="shared" si="1"/>
        <v>0.1054689703</v>
      </c>
      <c r="C1010" s="39">
        <f t="array" ref="C1010">NPV(B1010,FCFF!$C$9:$I$9)+FCFF!$B$9+FCFF!$I$9*(1+Inputs!$B$6)/(B1010-Inputs!$B$6)/(1+B1010)^7</f>
        <v>-1527.197128</v>
      </c>
    </row>
    <row r="1011" ht="14.25" customHeight="1">
      <c r="A1011" s="7">
        <v>998.0</v>
      </c>
      <c r="B1011" s="14">
        <f t="shared" si="1"/>
        <v>0.1260721605</v>
      </c>
      <c r="C1011" s="39">
        <f t="array" ref="C1011">NPV(B1011,FCFF!$C$9:$I$9)+FCFF!$B$9+FCFF!$I$9*(1+Inputs!$B$6)/(B1011-Inputs!$B$6)/(1+B1011)^7</f>
        <v>-1917.242479</v>
      </c>
    </row>
    <row r="1012" ht="14.25" customHeight="1">
      <c r="A1012" s="7">
        <v>999.0</v>
      </c>
      <c r="B1012" s="14">
        <f t="shared" si="1"/>
        <v>0.1039895255</v>
      </c>
      <c r="C1012" s="39">
        <f t="array" ref="C1012">NPV(B1012,FCFF!$C$9:$I$9)+FCFF!$B$9+FCFF!$I$9*(1+Inputs!$B$6)/(B1012-Inputs!$B$6)/(1+B1012)^7</f>
        <v>-1490.500468</v>
      </c>
    </row>
    <row r="1013" ht="14.25" customHeight="1">
      <c r="A1013" s="7">
        <v>1000.0</v>
      </c>
      <c r="B1013" s="14">
        <f t="shared" si="1"/>
        <v>0.132207277</v>
      </c>
      <c r="C1013" s="39">
        <f t="array" ref="C1013">NPV(B1013,FCFF!$C$9:$I$9)+FCFF!$B$9+FCFF!$I$9*(1+Inputs!$B$6)/(B1013-Inputs!$B$6)/(1+B1013)^7</f>
        <v>-2001.405952</v>
      </c>
    </row>
    <row r="1014" ht="14.25" customHeight="1">
      <c r="A1014" s="7">
        <v>1001.0</v>
      </c>
      <c r="B1014" s="14">
        <f t="shared" si="1"/>
        <v>0.1248665167</v>
      </c>
      <c r="C1014" s="39">
        <f t="array" ref="C1014">NPV(B1014,FCFF!$C$9:$I$9)+FCFF!$B$9+FCFF!$I$9*(1+Inputs!$B$6)/(B1014-Inputs!$B$6)/(1+B1014)^7</f>
        <v>-1899.318987</v>
      </c>
    </row>
    <row r="1015" ht="14.25" customHeight="1">
      <c r="A1015" s="7">
        <v>1002.0</v>
      </c>
      <c r="B1015" s="14">
        <f t="shared" si="1"/>
        <v>0.09999321038</v>
      </c>
      <c r="C1015" s="39">
        <f t="array" ref="C1015">NPV(B1015,FCFF!$C$9:$I$9)+FCFF!$B$9+FCFF!$I$9*(1+Inputs!$B$6)/(B1015-Inputs!$B$6)/(1+B1015)^7</f>
        <v>-1383.500434</v>
      </c>
    </row>
    <row r="1016" ht="14.25" customHeight="1">
      <c r="A1016" s="7">
        <v>1003.0</v>
      </c>
      <c r="B1016" s="14">
        <f t="shared" si="1"/>
        <v>0.1073247721</v>
      </c>
      <c r="C1016" s="39">
        <f t="array" ref="C1016">NPV(B1016,FCFF!$C$9:$I$9)+FCFF!$B$9+FCFF!$I$9*(1+Inputs!$B$6)/(B1016-Inputs!$B$6)/(1+B1016)^7</f>
        <v>-1571.20251</v>
      </c>
    </row>
    <row r="1017" ht="14.25" customHeight="1">
      <c r="A1017" s="7">
        <v>1004.0</v>
      </c>
      <c r="B1017" s="14">
        <f t="shared" si="1"/>
        <v>0.1020224794</v>
      </c>
      <c r="C1017" s="39">
        <f t="array" ref="C1017">NPV(B1017,FCFF!$C$9:$I$9)+FCFF!$B$9+FCFF!$I$9*(1+Inputs!$B$6)/(B1017-Inputs!$B$6)/(1+B1017)^7</f>
        <v>-1439.334771</v>
      </c>
    </row>
    <row r="1018" ht="14.25" customHeight="1">
      <c r="A1018" s="7">
        <v>1005.0</v>
      </c>
      <c r="B1018" s="14">
        <f t="shared" si="1"/>
        <v>0.1130172165</v>
      </c>
      <c r="C1018" s="39">
        <f t="array" ref="C1018">NPV(B1018,FCFF!$C$9:$I$9)+FCFF!$B$9+FCFF!$I$9*(1+Inputs!$B$6)/(B1018-Inputs!$B$6)/(1+B1018)^7</f>
        <v>-1693.575836</v>
      </c>
    </row>
    <row r="1019" ht="14.25" customHeight="1">
      <c r="A1019" s="7">
        <v>1006.0</v>
      </c>
      <c r="B1019" s="14">
        <f t="shared" si="1"/>
        <v>0.1122684671</v>
      </c>
      <c r="C1019" s="39">
        <f t="array" ref="C1019">NPV(B1019,FCFF!$C$9:$I$9)+FCFF!$B$9+FCFF!$I$9*(1+Inputs!$B$6)/(B1019-Inputs!$B$6)/(1+B1019)^7</f>
        <v>-1678.479958</v>
      </c>
    </row>
    <row r="1020" ht="14.25" customHeight="1">
      <c r="A1020" s="7">
        <v>1007.0</v>
      </c>
      <c r="B1020" s="14">
        <f t="shared" si="1"/>
        <v>0.1139122701</v>
      </c>
      <c r="C1020" s="39">
        <f t="array" ref="C1020">NPV(B1020,FCFF!$C$9:$I$9)+FCFF!$B$9+FCFF!$I$9*(1+Inputs!$B$6)/(B1020-Inputs!$B$6)/(1+B1020)^7</f>
        <v>-1711.253685</v>
      </c>
    </row>
    <row r="1021" ht="14.25" customHeight="1">
      <c r="A1021" s="7">
        <v>1008.0</v>
      </c>
      <c r="B1021" s="14">
        <f t="shared" si="1"/>
        <v>0.1252976833</v>
      </c>
      <c r="C1021" s="39">
        <f t="array" ref="C1021">NPV(B1021,FCFF!$C$9:$I$9)+FCFF!$B$9+FCFF!$I$9*(1+Inputs!$B$6)/(B1021-Inputs!$B$6)/(1+B1021)^7</f>
        <v>-1905.784751</v>
      </c>
    </row>
    <row r="1022" ht="14.25" customHeight="1">
      <c r="A1022" s="7">
        <v>1009.0</v>
      </c>
      <c r="B1022" s="14">
        <f t="shared" si="1"/>
        <v>0.09913659837</v>
      </c>
      <c r="C1022" s="39">
        <f t="array" ref="C1022">NPV(B1022,FCFF!$C$9:$I$9)+FCFF!$B$9+FCFF!$I$9*(1+Inputs!$B$6)/(B1022-Inputs!$B$6)/(1+B1022)^7</f>
        <v>-1358.93985</v>
      </c>
    </row>
    <row r="1023" ht="14.25" customHeight="1">
      <c r="A1023" s="7">
        <v>1010.0</v>
      </c>
      <c r="B1023" s="14">
        <f t="shared" si="1"/>
        <v>0.1002475058</v>
      </c>
      <c r="C1023" s="39">
        <f t="array" ref="C1023">NPV(B1023,FCFF!$C$9:$I$9)+FCFF!$B$9+FCFF!$I$9*(1+Inputs!$B$6)/(B1023-Inputs!$B$6)/(1+B1023)^7</f>
        <v>-1390.675548</v>
      </c>
    </row>
    <row r="1024" ht="14.25" customHeight="1">
      <c r="A1024" s="7">
        <v>1011.0</v>
      </c>
      <c r="B1024" s="14">
        <f t="shared" si="1"/>
        <v>0.1005851983</v>
      </c>
      <c r="C1024" s="39">
        <f t="array" ref="C1024">NPV(B1024,FCFF!$C$9:$I$9)+FCFF!$B$9+FCFF!$I$9*(1+Inputs!$B$6)/(B1024-Inputs!$B$6)/(1+B1024)^7</f>
        <v>-1400.123282</v>
      </c>
    </row>
    <row r="1025" ht="14.25" customHeight="1">
      <c r="A1025" s="7">
        <v>1012.0</v>
      </c>
      <c r="B1025" s="14">
        <f t="shared" si="1"/>
        <v>0.1285043966</v>
      </c>
      <c r="C1025" s="39">
        <f t="array" ref="C1025">NPV(B1025,FCFF!$C$9:$I$9)+FCFF!$B$9+FCFF!$I$9*(1+Inputs!$B$6)/(B1025-Inputs!$B$6)/(1+B1025)^7</f>
        <v>-1951.96653</v>
      </c>
    </row>
    <row r="1026" ht="14.25" customHeight="1">
      <c r="A1026" s="7">
        <v>1013.0</v>
      </c>
      <c r="B1026" s="14">
        <f t="shared" si="1"/>
        <v>0.1190317353</v>
      </c>
      <c r="C1026" s="39">
        <f t="array" ref="C1026">NPV(B1026,FCFF!$C$9:$I$9)+FCFF!$B$9+FCFF!$I$9*(1+Inputs!$B$6)/(B1026-Inputs!$B$6)/(1+B1026)^7</f>
        <v>-1805.232279</v>
      </c>
    </row>
    <row r="1027" ht="14.25" customHeight="1">
      <c r="A1027" s="7">
        <v>1014.0</v>
      </c>
      <c r="B1027" s="14">
        <f t="shared" si="1"/>
        <v>0.1232932317</v>
      </c>
      <c r="C1027" s="39">
        <f t="array" ref="C1027">NPV(B1027,FCFF!$C$9:$I$9)+FCFF!$B$9+FCFF!$I$9*(1+Inputs!$B$6)/(B1027-Inputs!$B$6)/(1+B1027)^7</f>
        <v>-1875.182877</v>
      </c>
    </row>
    <row r="1028" ht="14.25" customHeight="1">
      <c r="A1028" s="7">
        <v>1015.0</v>
      </c>
      <c r="B1028" s="14">
        <f t="shared" si="1"/>
        <v>0.1021200155</v>
      </c>
      <c r="C1028" s="39">
        <f t="array" ref="C1028">NPV(B1028,FCFF!$C$9:$I$9)+FCFF!$B$9+FCFF!$I$9*(1+Inputs!$B$6)/(B1028-Inputs!$B$6)/(1+B1028)^7</f>
        <v>-1441.938496</v>
      </c>
    </row>
    <row r="1029" ht="14.25" customHeight="1">
      <c r="A1029" s="7">
        <v>1016.0</v>
      </c>
      <c r="B1029" s="14">
        <f t="shared" si="1"/>
        <v>0.1212543991</v>
      </c>
      <c r="C1029" s="39">
        <f t="array" ref="C1029">NPV(B1029,FCFF!$C$9:$I$9)+FCFF!$B$9+FCFF!$I$9*(1+Inputs!$B$6)/(B1029-Inputs!$B$6)/(1+B1029)^7</f>
        <v>-1842.581855</v>
      </c>
    </row>
    <row r="1030" ht="14.25" customHeight="1">
      <c r="A1030" s="7">
        <v>1017.0</v>
      </c>
      <c r="B1030" s="14">
        <f t="shared" si="1"/>
        <v>0.1285003364</v>
      </c>
      <c r="C1030" s="39">
        <f t="array" ref="C1030">NPV(B1030,FCFF!$C$9:$I$9)+FCFF!$B$9+FCFF!$I$9*(1+Inputs!$B$6)/(B1030-Inputs!$B$6)/(1+B1030)^7</f>
        <v>-1951.910106</v>
      </c>
    </row>
    <row r="1031" ht="14.25" customHeight="1">
      <c r="A1031" s="7">
        <v>1018.0</v>
      </c>
      <c r="B1031" s="14">
        <f t="shared" si="1"/>
        <v>0.1288619502</v>
      </c>
      <c r="C1031" s="39">
        <f t="array" ref="C1031">NPV(B1031,FCFF!$C$9:$I$9)+FCFF!$B$9+FCFF!$I$9*(1+Inputs!$B$6)/(B1031-Inputs!$B$6)/(1+B1031)^7</f>
        <v>-1956.915831</v>
      </c>
    </row>
    <row r="1032" ht="14.25" customHeight="1">
      <c r="A1032" s="7">
        <v>1019.0</v>
      </c>
      <c r="B1032" s="14">
        <f t="shared" si="1"/>
        <v>0.1121249659</v>
      </c>
      <c r="C1032" s="39">
        <f t="array" ref="C1032">NPV(B1032,FCFF!$C$9:$I$9)+FCFF!$B$9+FCFF!$I$9*(1+Inputs!$B$6)/(B1032-Inputs!$B$6)/(1+B1032)^7</f>
        <v>-1675.554097</v>
      </c>
    </row>
    <row r="1033" ht="14.25" customHeight="1">
      <c r="A1033" s="7">
        <v>1020.0</v>
      </c>
      <c r="B1033" s="14">
        <f t="shared" si="1"/>
        <v>0.1016686927</v>
      </c>
      <c r="C1033" s="39">
        <f t="array" ref="C1033">NPV(B1033,FCFF!$C$9:$I$9)+FCFF!$B$9+FCFF!$I$9*(1+Inputs!$B$6)/(B1033-Inputs!$B$6)/(1+B1033)^7</f>
        <v>-1429.830276</v>
      </c>
    </row>
    <row r="1034" ht="14.25" customHeight="1">
      <c r="A1034" s="7">
        <v>1021.0</v>
      </c>
      <c r="B1034" s="14">
        <f t="shared" si="1"/>
        <v>0.1090930073</v>
      </c>
      <c r="C1034" s="39">
        <f t="array" ref="C1034">NPV(B1034,FCFF!$C$9:$I$9)+FCFF!$B$9+FCFF!$I$9*(1+Inputs!$B$6)/(B1034-Inputs!$B$6)/(1+B1034)^7</f>
        <v>-1611.162251</v>
      </c>
    </row>
    <row r="1035" ht="14.25" customHeight="1">
      <c r="A1035" s="7">
        <v>1022.0</v>
      </c>
      <c r="B1035" s="14">
        <f t="shared" si="1"/>
        <v>0.1264229825</v>
      </c>
      <c r="C1035" s="39">
        <f t="array" ref="C1035">NPV(B1035,FCFF!$C$9:$I$9)+FCFF!$B$9+FCFF!$I$9*(1+Inputs!$B$6)/(B1035-Inputs!$B$6)/(1+B1035)^7</f>
        <v>-1922.367539</v>
      </c>
    </row>
    <row r="1036" ht="14.25" customHeight="1">
      <c r="A1036" s="7">
        <v>1023.0</v>
      </c>
      <c r="B1036" s="14">
        <f t="shared" si="1"/>
        <v>0.1163192225</v>
      </c>
      <c r="C1036" s="39">
        <f t="array" ref="C1036">NPV(B1036,FCFF!$C$9:$I$9)+FCFF!$B$9+FCFF!$I$9*(1+Inputs!$B$6)/(B1036-Inputs!$B$6)/(1+B1036)^7</f>
        <v>-1756.895449</v>
      </c>
    </row>
    <row r="1037" ht="14.25" customHeight="1">
      <c r="A1037" s="7">
        <v>1024.0</v>
      </c>
      <c r="B1037" s="14">
        <f t="shared" si="1"/>
        <v>0.1027824149</v>
      </c>
      <c r="C1037" s="39">
        <f t="array" ref="C1037">NPV(B1037,FCFF!$C$9:$I$9)+FCFF!$B$9+FCFF!$I$9*(1+Inputs!$B$6)/(B1037-Inputs!$B$6)/(1+B1037)^7</f>
        <v>-1459.434299</v>
      </c>
    </row>
    <row r="1038" ht="14.25" customHeight="1">
      <c r="A1038" s="7">
        <v>1025.0</v>
      </c>
      <c r="B1038" s="14">
        <f t="shared" si="1"/>
        <v>0.114701808</v>
      </c>
      <c r="C1038" s="39">
        <f t="array" ref="C1038">NPV(B1038,FCFF!$C$9:$I$9)+FCFF!$B$9+FCFF!$I$9*(1+Inputs!$B$6)/(B1038-Inputs!$B$6)/(1+B1038)^7</f>
        <v>-1726.524258</v>
      </c>
    </row>
    <row r="1039" ht="14.25" customHeight="1">
      <c r="A1039" s="7">
        <v>1026.0</v>
      </c>
      <c r="B1039" s="14">
        <f t="shared" si="1"/>
        <v>0.1034719785</v>
      </c>
      <c r="C1039" s="39">
        <f t="array" ref="C1039">NPV(B1039,FCFF!$C$9:$I$9)+FCFF!$B$9+FCFF!$I$9*(1+Inputs!$B$6)/(B1039-Inputs!$B$6)/(1+B1039)^7</f>
        <v>-1477.307837</v>
      </c>
    </row>
    <row r="1040" ht="14.25" customHeight="1">
      <c r="A1040" s="7">
        <v>1027.0</v>
      </c>
      <c r="B1040" s="14">
        <f t="shared" si="1"/>
        <v>0.1255134454</v>
      </c>
      <c r="C1040" s="39">
        <f t="array" ref="C1040">NPV(B1040,FCFF!$C$9:$I$9)+FCFF!$B$9+FCFF!$I$9*(1+Inputs!$B$6)/(B1040-Inputs!$B$6)/(1+B1040)^7</f>
        <v>-1908.996814</v>
      </c>
    </row>
    <row r="1041" ht="14.25" customHeight="1">
      <c r="A1041" s="7">
        <v>1028.0</v>
      </c>
      <c r="B1041" s="14">
        <f t="shared" si="1"/>
        <v>0.1232437616</v>
      </c>
      <c r="C1041" s="39">
        <f t="array" ref="C1041">NPV(B1041,FCFF!$C$9:$I$9)+FCFF!$B$9+FCFF!$I$9*(1+Inputs!$B$6)/(B1041-Inputs!$B$6)/(1+B1041)^7</f>
        <v>-1874.409823</v>
      </c>
    </row>
    <row r="1042" ht="14.25" customHeight="1">
      <c r="A1042" s="7">
        <v>1029.0</v>
      </c>
      <c r="B1042" s="14">
        <f t="shared" si="1"/>
        <v>0.1216960651</v>
      </c>
      <c r="C1042" s="39">
        <f t="array" ref="C1042">NPV(B1042,FCFF!$C$9:$I$9)+FCFF!$B$9+FCFF!$I$9*(1+Inputs!$B$6)/(B1042-Inputs!$B$6)/(1+B1042)^7</f>
        <v>-1849.775062</v>
      </c>
    </row>
    <row r="1043" ht="14.25" customHeight="1">
      <c r="A1043" s="7">
        <v>1030.0</v>
      </c>
      <c r="B1043" s="14">
        <f t="shared" si="1"/>
        <v>0.1149623945</v>
      </c>
      <c r="C1043" s="39">
        <f t="array" ref="C1043">NPV(B1043,FCFF!$C$9:$I$9)+FCFF!$B$9+FCFF!$I$9*(1+Inputs!$B$6)/(B1043-Inputs!$B$6)/(1+B1043)^7</f>
        <v>-1731.499252</v>
      </c>
    </row>
    <row r="1044" ht="14.25" customHeight="1">
      <c r="A1044" s="7">
        <v>1031.0</v>
      </c>
      <c r="B1044" s="14">
        <f t="shared" si="1"/>
        <v>0.1279853718</v>
      </c>
      <c r="C1044" s="39">
        <f t="array" ref="C1044">NPV(B1044,FCFF!$C$9:$I$9)+FCFF!$B$9+FCFF!$I$9*(1+Inputs!$B$6)/(B1044-Inputs!$B$6)/(1+B1044)^7</f>
        <v>-1944.712617</v>
      </c>
    </row>
    <row r="1045" ht="14.25" customHeight="1">
      <c r="A1045" s="7">
        <v>1032.0</v>
      </c>
      <c r="B1045" s="14">
        <f t="shared" si="1"/>
        <v>0.1257603011</v>
      </c>
      <c r="C1045" s="39">
        <f t="array" ref="C1045">NPV(B1045,FCFF!$C$9:$I$9)+FCFF!$B$9+FCFF!$I$9*(1+Inputs!$B$6)/(B1045-Inputs!$B$6)/(1+B1045)^7</f>
        <v>-1912.652719</v>
      </c>
    </row>
    <row r="1046" ht="14.25" customHeight="1">
      <c r="A1046" s="7">
        <v>1033.0</v>
      </c>
      <c r="B1046" s="14">
        <f t="shared" si="1"/>
        <v>0.1058341865</v>
      </c>
      <c r="C1046" s="39">
        <f t="array" ref="C1046">NPV(B1046,FCFF!$C$9:$I$9)+FCFF!$B$9+FCFF!$I$9*(1+Inputs!$B$6)/(B1046-Inputs!$B$6)/(1+B1046)^7</f>
        <v>-1536.031377</v>
      </c>
    </row>
    <row r="1047" ht="14.25" customHeight="1">
      <c r="A1047" s="7">
        <v>1034.0</v>
      </c>
      <c r="B1047" s="14">
        <f t="shared" si="1"/>
        <v>0.1307998947</v>
      </c>
      <c r="C1047" s="39">
        <f t="array" ref="C1047">NPV(B1047,FCFF!$C$9:$I$9)+FCFF!$B$9+FCFF!$I$9*(1+Inputs!$B$6)/(B1047-Inputs!$B$6)/(1+B1047)^7</f>
        <v>-1983.079945</v>
      </c>
    </row>
    <row r="1048" ht="14.25" customHeight="1">
      <c r="A1048" s="7">
        <v>1035.0</v>
      </c>
      <c r="B1048" s="14">
        <f t="shared" si="1"/>
        <v>0.1195768488</v>
      </c>
      <c r="C1048" s="39">
        <f t="array" ref="C1048">NPV(B1048,FCFF!$C$9:$I$9)+FCFF!$B$9+FCFF!$I$9*(1+Inputs!$B$6)/(B1048-Inputs!$B$6)/(1+B1048)^7</f>
        <v>-1814.574002</v>
      </c>
    </row>
    <row r="1049" ht="14.25" customHeight="1">
      <c r="A1049" s="7">
        <v>1036.0</v>
      </c>
      <c r="B1049" s="14">
        <f t="shared" si="1"/>
        <v>0.1231913392</v>
      </c>
      <c r="C1049" s="39">
        <f t="array" ref="C1049">NPV(B1049,FCFF!$C$9:$I$9)+FCFF!$B$9+FCFF!$I$9*(1+Inputs!$B$6)/(B1049-Inputs!$B$6)/(1+B1049)^7</f>
        <v>-1873.589679</v>
      </c>
    </row>
    <row r="1050" ht="14.25" customHeight="1">
      <c r="A1050" s="7">
        <v>1037.0</v>
      </c>
      <c r="B1050" s="14">
        <f t="shared" si="1"/>
        <v>0.09593806094</v>
      </c>
      <c r="C1050" s="39">
        <f t="array" ref="C1050">NPV(B1050,FCFF!$C$9:$I$9)+FCFF!$B$9+FCFF!$I$9*(1+Inputs!$B$6)/(B1050-Inputs!$B$6)/(1+B1050)^7</f>
        <v>-1261.579976</v>
      </c>
    </row>
    <row r="1051" ht="14.25" customHeight="1">
      <c r="A1051" s="7">
        <v>1038.0</v>
      </c>
      <c r="B1051" s="14">
        <f t="shared" si="1"/>
        <v>0.1156147863</v>
      </c>
      <c r="C1051" s="39">
        <f t="array" ref="C1051">NPV(B1051,FCFF!$C$9:$I$9)+FCFF!$B$9+FCFF!$I$9*(1+Inputs!$B$6)/(B1051-Inputs!$B$6)/(1+B1051)^7</f>
        <v>-1743.815517</v>
      </c>
    </row>
    <row r="1052" ht="14.25" customHeight="1">
      <c r="A1052" s="7">
        <v>1039.0</v>
      </c>
      <c r="B1052" s="14">
        <f t="shared" si="1"/>
        <v>0.1147215413</v>
      </c>
      <c r="C1052" s="39">
        <f t="array" ref="C1052">NPV(B1052,FCFF!$C$9:$I$9)+FCFF!$B$9+FCFF!$I$9*(1+Inputs!$B$6)/(B1052-Inputs!$B$6)/(1+B1052)^7</f>
        <v>-1726.902118</v>
      </c>
    </row>
    <row r="1053" ht="14.25" customHeight="1">
      <c r="A1053" s="7">
        <v>1040.0</v>
      </c>
      <c r="B1053" s="14">
        <f t="shared" si="1"/>
        <v>0.1248803576</v>
      </c>
      <c r="C1053" s="39">
        <f t="array" ref="C1053">NPV(B1053,FCFF!$C$9:$I$9)+FCFF!$B$9+FCFF!$I$9*(1+Inputs!$B$6)/(B1053-Inputs!$B$6)/(1+B1053)^7</f>
        <v>-1899.527523</v>
      </c>
    </row>
    <row r="1054" ht="14.25" customHeight="1">
      <c r="A1054" s="7">
        <v>1041.0</v>
      </c>
      <c r="B1054" s="14">
        <f t="shared" si="1"/>
        <v>0.1273244253</v>
      </c>
      <c r="C1054" s="39">
        <f t="array" ref="C1054">NPV(B1054,FCFF!$C$9:$I$9)+FCFF!$B$9+FCFF!$I$9*(1+Inputs!$B$6)/(B1054-Inputs!$B$6)/(1+B1054)^7</f>
        <v>-1935.354216</v>
      </c>
    </row>
    <row r="1055" ht="14.25" customHeight="1">
      <c r="A1055" s="7">
        <v>1042.0</v>
      </c>
      <c r="B1055" s="14">
        <f t="shared" si="1"/>
        <v>0.1208478721</v>
      </c>
      <c r="C1055" s="39">
        <f t="array" ref="C1055">NPV(B1055,FCFF!$C$9:$I$9)+FCFF!$B$9+FCFF!$I$9*(1+Inputs!$B$6)/(B1055-Inputs!$B$6)/(1+B1055)^7</f>
        <v>-1835.895269</v>
      </c>
    </row>
    <row r="1056" ht="14.25" customHeight="1">
      <c r="A1056" s="7">
        <v>1043.0</v>
      </c>
      <c r="B1056" s="14">
        <f t="shared" si="1"/>
        <v>0.1327453452</v>
      </c>
      <c r="C1056" s="39">
        <f t="array" ref="C1056">NPV(B1056,FCFF!$C$9:$I$9)+FCFF!$B$9+FCFF!$I$9*(1+Inputs!$B$6)/(B1056-Inputs!$B$6)/(1+B1056)^7</f>
        <v>-2008.267784</v>
      </c>
    </row>
    <row r="1057" ht="14.25" customHeight="1">
      <c r="A1057" s="7">
        <v>1044.0</v>
      </c>
      <c r="B1057" s="14">
        <f t="shared" si="1"/>
        <v>0.1047668091</v>
      </c>
      <c r="C1057" s="39">
        <f t="array" ref="C1057">NPV(B1057,FCFF!$C$9:$I$9)+FCFF!$B$9+FCFF!$I$9*(1+Inputs!$B$6)/(B1057-Inputs!$B$6)/(1+B1057)^7</f>
        <v>-1509.964978</v>
      </c>
    </row>
    <row r="1058" ht="14.25" customHeight="1">
      <c r="A1058" s="7">
        <v>1045.0</v>
      </c>
      <c r="B1058" s="14">
        <f t="shared" si="1"/>
        <v>0.1172453865</v>
      </c>
      <c r="C1058" s="39">
        <f t="array" ref="C1058">NPV(B1058,FCFF!$C$9:$I$9)+FCFF!$B$9+FCFF!$I$9*(1+Inputs!$B$6)/(B1058-Inputs!$B$6)/(1+B1058)^7</f>
        <v>-1773.755302</v>
      </c>
    </row>
    <row r="1059" ht="14.25" customHeight="1">
      <c r="A1059" s="7">
        <v>1046.0</v>
      </c>
      <c r="B1059" s="14">
        <f t="shared" si="1"/>
        <v>0.1312554398</v>
      </c>
      <c r="C1059" s="39">
        <f t="array" ref="C1059">NPV(B1059,FCFF!$C$9:$I$9)+FCFF!$B$9+FCFF!$I$9*(1+Inputs!$B$6)/(B1059-Inputs!$B$6)/(1+B1059)^7</f>
        <v>-1989.072486</v>
      </c>
    </row>
    <row r="1060" ht="14.25" customHeight="1">
      <c r="A1060" s="7">
        <v>1047.0</v>
      </c>
      <c r="B1060" s="14">
        <f t="shared" si="1"/>
        <v>0.1111643715</v>
      </c>
      <c r="C1060" s="39">
        <f t="array" ref="C1060">NPV(B1060,FCFF!$C$9:$I$9)+FCFF!$B$9+FCFF!$I$9*(1+Inputs!$B$6)/(B1060-Inputs!$B$6)/(1+B1060)^7</f>
        <v>-1655.691918</v>
      </c>
    </row>
    <row r="1061" ht="14.25" customHeight="1">
      <c r="A1061" s="7">
        <v>1048.0</v>
      </c>
      <c r="B1061" s="14">
        <f t="shared" si="1"/>
        <v>0.09801189979</v>
      </c>
      <c r="C1061" s="39">
        <f t="array" ref="C1061">NPV(B1061,FCFF!$C$9:$I$9)+FCFF!$B$9+FCFF!$I$9*(1+Inputs!$B$6)/(B1061-Inputs!$B$6)/(1+B1061)^7</f>
        <v>-1325.749549</v>
      </c>
    </row>
    <row r="1062" ht="14.25" customHeight="1">
      <c r="A1062" s="7">
        <v>1049.0</v>
      </c>
      <c r="B1062" s="14">
        <f t="shared" si="1"/>
        <v>0.1100981253</v>
      </c>
      <c r="C1062" s="39">
        <f t="array" ref="C1062">NPV(B1062,FCFF!$C$9:$I$9)+FCFF!$B$9+FCFF!$I$9*(1+Inputs!$B$6)/(B1062-Inputs!$B$6)/(1+B1062)^7</f>
        <v>-1633.067156</v>
      </c>
    </row>
    <row r="1063" ht="14.25" customHeight="1">
      <c r="A1063" s="7">
        <v>1050.0</v>
      </c>
      <c r="B1063" s="14">
        <f t="shared" si="1"/>
        <v>0.1062594132</v>
      </c>
      <c r="C1063" s="39">
        <f t="array" ref="C1063">NPV(B1063,FCFF!$C$9:$I$9)+FCFF!$B$9+FCFF!$I$9*(1+Inputs!$B$6)/(B1063-Inputs!$B$6)/(1+B1063)^7</f>
        <v>-1546.208292</v>
      </c>
    </row>
    <row r="1064" ht="14.25" customHeight="1">
      <c r="A1064" s="7">
        <v>1051.0</v>
      </c>
      <c r="B1064" s="14">
        <f t="shared" si="1"/>
        <v>0.1213381631</v>
      </c>
      <c r="C1064" s="39">
        <f t="array" ref="C1064">NPV(B1064,FCFF!$C$9:$I$9)+FCFF!$B$9+FCFF!$I$9*(1+Inputs!$B$6)/(B1064-Inputs!$B$6)/(1+B1064)^7</f>
        <v>-1843.95176</v>
      </c>
    </row>
    <row r="1065" ht="14.25" customHeight="1">
      <c r="A1065" s="7">
        <v>1052.0</v>
      </c>
      <c r="B1065" s="14">
        <f t="shared" si="1"/>
        <v>0.1143182882</v>
      </c>
      <c r="C1065" s="39">
        <f t="array" ref="C1065">NPV(B1065,FCFF!$C$9:$I$9)+FCFF!$B$9+FCFF!$I$9*(1+Inputs!$B$6)/(B1065-Inputs!$B$6)/(1+B1065)^7</f>
        <v>-1719.143831</v>
      </c>
    </row>
    <row r="1066" ht="14.25" customHeight="1">
      <c r="A1066" s="7">
        <v>1053.0</v>
      </c>
      <c r="B1066" s="14">
        <f t="shared" si="1"/>
        <v>0.1319215913</v>
      </c>
      <c r="C1066" s="39">
        <f t="array" ref="C1066">NPV(B1066,FCFF!$C$9:$I$9)+FCFF!$B$9+FCFF!$I$9*(1+Inputs!$B$6)/(B1066-Inputs!$B$6)/(1+B1066)^7</f>
        <v>-1997.730539</v>
      </c>
    </row>
    <row r="1067" ht="14.25" customHeight="1">
      <c r="A1067" s="7">
        <v>1054.0</v>
      </c>
      <c r="B1067" s="14">
        <f t="shared" si="1"/>
        <v>0.1311390035</v>
      </c>
      <c r="C1067" s="39">
        <f t="array" ref="C1067">NPV(B1067,FCFF!$C$9:$I$9)+FCFF!$B$9+FCFF!$I$9*(1+Inputs!$B$6)/(B1067-Inputs!$B$6)/(1+B1067)^7</f>
        <v>-1987.546393</v>
      </c>
    </row>
    <row r="1068" ht="14.25" customHeight="1">
      <c r="A1068" s="7">
        <v>1055.0</v>
      </c>
      <c r="B1068" s="14">
        <f t="shared" si="1"/>
        <v>0.111718621</v>
      </c>
      <c r="C1068" s="39">
        <f t="array" ref="C1068">NPV(B1068,FCFF!$C$9:$I$9)+FCFF!$B$9+FCFF!$I$9*(1+Inputs!$B$6)/(B1068-Inputs!$B$6)/(1+B1068)^7</f>
        <v>-1667.211212</v>
      </c>
    </row>
    <row r="1069" ht="14.25" customHeight="1">
      <c r="A1069" s="7">
        <v>1056.0</v>
      </c>
      <c r="B1069" s="14">
        <f t="shared" si="1"/>
        <v>0.09381894343</v>
      </c>
      <c r="C1069" s="39">
        <f t="array" ref="C1069">NPV(B1069,FCFF!$C$9:$I$9)+FCFF!$B$9+FCFF!$I$9*(1+Inputs!$B$6)/(B1069-Inputs!$B$6)/(1+B1069)^7</f>
        <v>-1191.720961</v>
      </c>
    </row>
    <row r="1070" ht="14.25" customHeight="1">
      <c r="A1070" s="7">
        <v>1057.0</v>
      </c>
      <c r="B1070" s="14">
        <f t="shared" si="1"/>
        <v>0.131705824</v>
      </c>
      <c r="C1070" s="39">
        <f t="array" ref="C1070">NPV(B1070,FCFF!$C$9:$I$9)+FCFF!$B$9+FCFF!$I$9*(1+Inputs!$B$6)/(B1070-Inputs!$B$6)/(1+B1070)^7</f>
        <v>-1994.939714</v>
      </c>
    </row>
    <row r="1071" ht="14.25" customHeight="1">
      <c r="A1071" s="7">
        <v>1058.0</v>
      </c>
      <c r="B1071" s="14">
        <f t="shared" si="1"/>
        <v>0.1238805116</v>
      </c>
      <c r="C1071" s="39">
        <f t="array" ref="C1071">NPV(B1071,FCFF!$C$9:$I$9)+FCFF!$B$9+FCFF!$I$9*(1+Inputs!$B$6)/(B1071-Inputs!$B$6)/(1+B1071)^7</f>
        <v>-1884.293661</v>
      </c>
    </row>
    <row r="1072" ht="14.25" customHeight="1">
      <c r="A1072" s="7">
        <v>1059.0</v>
      </c>
      <c r="B1072" s="14">
        <f t="shared" si="1"/>
        <v>0.1200679306</v>
      </c>
      <c r="C1072" s="39">
        <f t="array" ref="C1072">NPV(B1072,FCFF!$C$9:$I$9)+FCFF!$B$9+FCFF!$I$9*(1+Inputs!$B$6)/(B1072-Inputs!$B$6)/(1+B1072)^7</f>
        <v>-1822.887406</v>
      </c>
    </row>
    <row r="1073" ht="14.25" customHeight="1">
      <c r="A1073" s="7">
        <v>1060.0</v>
      </c>
      <c r="B1073" s="14">
        <f t="shared" si="1"/>
        <v>0.1053557227</v>
      </c>
      <c r="C1073" s="39">
        <f t="array" ref="C1073">NPV(B1073,FCFF!$C$9:$I$9)+FCFF!$B$9+FCFF!$I$9*(1+Inputs!$B$6)/(B1073-Inputs!$B$6)/(1+B1073)^7</f>
        <v>-1524.440009</v>
      </c>
    </row>
    <row r="1074" ht="14.25" customHeight="1">
      <c r="A1074" s="7">
        <v>1061.0</v>
      </c>
      <c r="B1074" s="14">
        <f t="shared" si="1"/>
        <v>0.1312973558</v>
      </c>
      <c r="C1074" s="39">
        <f t="array" ref="C1074">NPV(B1074,FCFF!$C$9:$I$9)+FCFF!$B$9+FCFF!$I$9*(1+Inputs!$B$6)/(B1074-Inputs!$B$6)/(1+B1074)^7</f>
        <v>-1989.62093</v>
      </c>
    </row>
    <row r="1075" ht="14.25" customHeight="1">
      <c r="A1075" s="7">
        <v>1062.0</v>
      </c>
      <c r="B1075" s="14">
        <f t="shared" si="1"/>
        <v>0.1305722356</v>
      </c>
      <c r="C1075" s="39">
        <f t="array" ref="C1075">NPV(B1075,FCFF!$C$9:$I$9)+FCFF!$B$9+FCFF!$I$9*(1+Inputs!$B$6)/(B1075-Inputs!$B$6)/(1+B1075)^7</f>
        <v>-1980.063036</v>
      </c>
    </row>
    <row r="1076" ht="14.25" customHeight="1">
      <c r="A1076" s="7">
        <v>1063.0</v>
      </c>
      <c r="B1076" s="14">
        <f t="shared" si="1"/>
        <v>0.1184015988</v>
      </c>
      <c r="C1076" s="39">
        <f t="array" ref="C1076">NPV(B1076,FCFF!$C$9:$I$9)+FCFF!$B$9+FCFF!$I$9*(1+Inputs!$B$6)/(B1076-Inputs!$B$6)/(1+B1076)^7</f>
        <v>-1794.281811</v>
      </c>
    </row>
    <row r="1077" ht="14.25" customHeight="1">
      <c r="A1077" s="7">
        <v>1064.0</v>
      </c>
      <c r="B1077" s="14">
        <f t="shared" si="1"/>
        <v>0.117163532</v>
      </c>
      <c r="C1077" s="39">
        <f t="array" ref="C1077">NPV(B1077,FCFF!$C$9:$I$9)+FCFF!$B$9+FCFF!$I$9*(1+Inputs!$B$6)/(B1077-Inputs!$B$6)/(1+B1077)^7</f>
        <v>-1772.280391</v>
      </c>
    </row>
    <row r="1078" ht="14.25" customHeight="1">
      <c r="A1078" s="7">
        <v>1065.0</v>
      </c>
      <c r="B1078" s="14">
        <f t="shared" si="1"/>
        <v>0.1161919548</v>
      </c>
      <c r="C1078" s="39">
        <f t="array" ref="C1078">NPV(B1078,FCFF!$C$9:$I$9)+FCFF!$B$9+FCFF!$I$9*(1+Inputs!$B$6)/(B1078-Inputs!$B$6)/(1+B1078)^7</f>
        <v>-1754.548939</v>
      </c>
    </row>
    <row r="1079" ht="14.25" customHeight="1">
      <c r="A1079" s="7">
        <v>1066.0</v>
      </c>
      <c r="B1079" s="14">
        <f t="shared" si="1"/>
        <v>0.1255517781</v>
      </c>
      <c r="C1079" s="39">
        <f t="array" ref="C1079">NPV(B1079,FCFF!$C$9:$I$9)+FCFF!$B$9+FCFF!$I$9*(1+Inputs!$B$6)/(B1079-Inputs!$B$6)/(1+B1079)^7</f>
        <v>-1909.565848</v>
      </c>
    </row>
    <row r="1080" ht="14.25" customHeight="1">
      <c r="A1080" s="7">
        <v>1067.0</v>
      </c>
      <c r="B1080" s="14">
        <f t="shared" si="1"/>
        <v>0.1030455049</v>
      </c>
      <c r="C1080" s="39">
        <f t="array" ref="C1080">NPV(B1080,FCFF!$C$9:$I$9)+FCFF!$B$9+FCFF!$I$9*(1+Inputs!$B$6)/(B1080-Inputs!$B$6)/(1+B1080)^7</f>
        <v>-1466.294007</v>
      </c>
    </row>
    <row r="1081" ht="14.25" customHeight="1">
      <c r="A1081" s="7">
        <v>1068.0</v>
      </c>
      <c r="B1081" s="14">
        <f t="shared" si="1"/>
        <v>0.1164212574</v>
      </c>
      <c r="C1081" s="39">
        <f t="array" ref="C1081">NPV(B1081,FCFF!$C$9:$I$9)+FCFF!$B$9+FCFF!$I$9*(1+Inputs!$B$6)/(B1081-Inputs!$B$6)/(1+B1081)^7</f>
        <v>-1758.771492</v>
      </c>
    </row>
    <row r="1082" ht="14.25" customHeight="1">
      <c r="A1082" s="7">
        <v>1069.0</v>
      </c>
      <c r="B1082" s="14">
        <f t="shared" si="1"/>
        <v>0.09626376438</v>
      </c>
      <c r="C1082" s="39">
        <f t="array" ref="C1082">NPV(B1082,FCFF!$C$9:$I$9)+FCFF!$B$9+FCFF!$I$9*(1+Inputs!$B$6)/(B1082-Inputs!$B$6)/(1+B1082)^7</f>
        <v>-1271.923314</v>
      </c>
    </row>
    <row r="1083" ht="14.25" customHeight="1">
      <c r="A1083" s="7">
        <v>1070.0</v>
      </c>
      <c r="B1083" s="14">
        <f t="shared" si="1"/>
        <v>0.1320833172</v>
      </c>
      <c r="C1083" s="39">
        <f t="array" ref="C1083">NPV(B1083,FCFF!$C$9:$I$9)+FCFF!$B$9+FCFF!$I$9*(1+Inputs!$B$6)/(B1083-Inputs!$B$6)/(1+B1083)^7</f>
        <v>-1999.813935</v>
      </c>
    </row>
    <row r="1084" ht="14.25" customHeight="1">
      <c r="A1084" s="7">
        <v>1071.0</v>
      </c>
      <c r="B1084" s="14">
        <f t="shared" si="1"/>
        <v>0.1170787088</v>
      </c>
      <c r="C1084" s="39">
        <f t="array" ref="C1084">NPV(B1084,FCFF!$C$9:$I$9)+FCFF!$B$9+FCFF!$I$9*(1+Inputs!$B$6)/(B1084-Inputs!$B$6)/(1+B1084)^7</f>
        <v>-1770.74891</v>
      </c>
    </row>
    <row r="1085" ht="14.25" customHeight="1">
      <c r="A1085" s="7">
        <v>1072.0</v>
      </c>
      <c r="B1085" s="14">
        <f t="shared" si="1"/>
        <v>0.1168259589</v>
      </c>
      <c r="C1085" s="39">
        <f t="array" ref="C1085">NPV(B1085,FCFF!$C$9:$I$9)+FCFF!$B$9+FCFF!$I$9*(1+Inputs!$B$6)/(B1085-Inputs!$B$6)/(1+B1085)^7</f>
        <v>-1766.166866</v>
      </c>
    </row>
    <row r="1086" ht="14.25" customHeight="1">
      <c r="A1086" s="7">
        <v>1073.0</v>
      </c>
      <c r="B1086" s="14">
        <f t="shared" si="1"/>
        <v>0.1084877477</v>
      </c>
      <c r="C1086" s="39">
        <f t="array" ref="C1086">NPV(B1086,FCFF!$C$9:$I$9)+FCFF!$B$9+FCFF!$I$9*(1+Inputs!$B$6)/(B1086-Inputs!$B$6)/(1+B1086)^7</f>
        <v>-1597.692583</v>
      </c>
    </row>
    <row r="1087" ht="14.25" customHeight="1">
      <c r="A1087" s="7">
        <v>1074.0</v>
      </c>
      <c r="B1087" s="14">
        <f t="shared" si="1"/>
        <v>0.1151627652</v>
      </c>
      <c r="C1087" s="39">
        <f t="array" ref="C1087">NPV(B1087,FCFF!$C$9:$I$9)+FCFF!$B$9+FCFF!$I$9*(1+Inputs!$B$6)/(B1087-Inputs!$B$6)/(1+B1087)^7</f>
        <v>-1735.302986</v>
      </c>
    </row>
    <row r="1088" ht="14.25" customHeight="1">
      <c r="A1088" s="7">
        <v>1075.0</v>
      </c>
      <c r="B1088" s="14">
        <f t="shared" si="1"/>
        <v>0.1135665425</v>
      </c>
      <c r="C1088" s="39">
        <f t="array" ref="C1088">NPV(B1088,FCFF!$C$9:$I$9)+FCFF!$B$9+FCFF!$I$9*(1+Inputs!$B$6)/(B1088-Inputs!$B$6)/(1+B1088)^7</f>
        <v>-1704.472117</v>
      </c>
    </row>
    <row r="1089" ht="14.25" customHeight="1">
      <c r="A1089" s="7">
        <v>1076.0</v>
      </c>
      <c r="B1089" s="14">
        <f t="shared" si="1"/>
        <v>0.1122921257</v>
      </c>
      <c r="C1089" s="39">
        <f t="array" ref="C1089">NPV(B1089,FCFF!$C$9:$I$9)+FCFF!$B$9+FCFF!$I$9*(1+Inputs!$B$6)/(B1089-Inputs!$B$6)/(1+B1089)^7</f>
        <v>-1678.96132</v>
      </c>
    </row>
    <row r="1090" ht="14.25" customHeight="1">
      <c r="A1090" s="7">
        <v>1077.0</v>
      </c>
      <c r="B1090" s="14">
        <f t="shared" si="1"/>
        <v>0.1229701218</v>
      </c>
      <c r="C1090" s="39">
        <f t="array" ref="C1090">NPV(B1090,FCFF!$C$9:$I$9)+FCFF!$B$9+FCFF!$I$9*(1+Inputs!$B$6)/(B1090-Inputs!$B$6)/(1+B1090)^7</f>
        <v>-1870.117879</v>
      </c>
    </row>
    <row r="1091" ht="14.25" customHeight="1">
      <c r="A1091" s="7">
        <v>1078.0</v>
      </c>
      <c r="B1091" s="14">
        <f t="shared" si="1"/>
        <v>0.1101190054</v>
      </c>
      <c r="C1091" s="39">
        <f t="array" ref="C1091">NPV(B1091,FCFF!$C$9:$I$9)+FCFF!$B$9+FCFF!$I$9*(1+Inputs!$B$6)/(B1091-Inputs!$B$6)/(1+B1091)^7</f>
        <v>-1633.516191</v>
      </c>
    </row>
    <row r="1092" ht="14.25" customHeight="1">
      <c r="A1092" s="7">
        <v>1079.0</v>
      </c>
      <c r="B1092" s="14">
        <f t="shared" si="1"/>
        <v>0.09537135295</v>
      </c>
      <c r="C1092" s="39">
        <f t="array" ref="C1092">NPV(B1092,FCFF!$C$9:$I$9)+FCFF!$B$9+FCFF!$I$9*(1+Inputs!$B$6)/(B1092-Inputs!$B$6)/(1+B1092)^7</f>
        <v>-1243.338513</v>
      </c>
    </row>
    <row r="1093" ht="14.25" customHeight="1">
      <c r="A1093" s="7">
        <v>1080.0</v>
      </c>
      <c r="B1093" s="14">
        <f t="shared" si="1"/>
        <v>0.1100731341</v>
      </c>
      <c r="C1093" s="39">
        <f t="array" ref="C1093">NPV(B1093,FCFF!$C$9:$I$9)+FCFF!$B$9+FCFF!$I$9*(1+Inputs!$B$6)/(B1093-Inputs!$B$6)/(1+B1093)^7</f>
        <v>-1632.529393</v>
      </c>
    </row>
    <row r="1094" ht="14.25" customHeight="1">
      <c r="A1094" s="7">
        <v>1081.0</v>
      </c>
      <c r="B1094" s="14">
        <f t="shared" si="1"/>
        <v>0.1291092872</v>
      </c>
      <c r="C1094" s="39">
        <f t="array" ref="C1094">NPV(B1094,FCFF!$C$9:$I$9)+FCFF!$B$9+FCFF!$I$9*(1+Inputs!$B$6)/(B1094-Inputs!$B$6)/(1+B1094)^7</f>
        <v>-1960.316895</v>
      </c>
    </row>
    <row r="1095" ht="14.25" customHeight="1">
      <c r="A1095" s="7">
        <v>1082.0</v>
      </c>
      <c r="B1095" s="14">
        <f t="shared" si="1"/>
        <v>0.1189997549</v>
      </c>
      <c r="C1095" s="39">
        <f t="array" ref="C1095">NPV(B1095,FCFF!$C$9:$I$9)+FCFF!$B$9+FCFF!$I$9*(1+Inputs!$B$6)/(B1095-Inputs!$B$6)/(1+B1095)^7</f>
        <v>-1804.680467</v>
      </c>
    </row>
    <row r="1096" ht="14.25" customHeight="1">
      <c r="A1096" s="7">
        <v>1083.0</v>
      </c>
      <c r="B1096" s="14">
        <f t="shared" si="1"/>
        <v>0.1209610512</v>
      </c>
      <c r="C1096" s="39">
        <f t="array" ref="C1096">NPV(B1096,FCFF!$C$9:$I$9)+FCFF!$B$9+FCFF!$I$9*(1+Inputs!$B$6)/(B1096-Inputs!$B$6)/(1+B1096)^7</f>
        <v>-1837.76322</v>
      </c>
    </row>
    <row r="1097" ht="14.25" customHeight="1">
      <c r="A1097" s="7">
        <v>1084.0</v>
      </c>
      <c r="B1097" s="14">
        <f t="shared" si="1"/>
        <v>0.1280473058</v>
      </c>
      <c r="C1097" s="39">
        <f t="array" ref="C1097">NPV(B1097,FCFF!$C$9:$I$9)+FCFF!$B$9+FCFF!$I$9*(1+Inputs!$B$6)/(B1097-Inputs!$B$6)/(1+B1097)^7</f>
        <v>-1945.582569</v>
      </c>
    </row>
    <row r="1098" ht="14.25" customHeight="1">
      <c r="A1098" s="7">
        <v>1085.0</v>
      </c>
      <c r="B1098" s="14">
        <f t="shared" si="1"/>
        <v>0.1204675851</v>
      </c>
      <c r="C1098" s="39">
        <f t="array" ref="C1098">NPV(B1098,FCFF!$C$9:$I$9)+FCFF!$B$9+FCFF!$I$9*(1+Inputs!$B$6)/(B1098-Inputs!$B$6)/(1+B1098)^7</f>
        <v>-1829.582543</v>
      </c>
    </row>
    <row r="1099" ht="14.25" customHeight="1">
      <c r="A1099" s="7">
        <v>1086.0</v>
      </c>
      <c r="B1099" s="14">
        <f t="shared" si="1"/>
        <v>0.1113008687</v>
      </c>
      <c r="C1099" s="39">
        <f t="array" ref="C1099">NPV(B1099,FCFF!$C$9:$I$9)+FCFF!$B$9+FCFF!$I$9*(1+Inputs!$B$6)/(B1099-Inputs!$B$6)/(1+B1099)^7</f>
        <v>-1658.543928</v>
      </c>
    </row>
    <row r="1100" ht="14.25" customHeight="1">
      <c r="A1100" s="7">
        <v>1087.0</v>
      </c>
      <c r="B1100" s="14">
        <f t="shared" si="1"/>
        <v>0.1055184518</v>
      </c>
      <c r="C1100" s="39">
        <f t="array" ref="C1100">NPV(B1100,FCFF!$C$9:$I$9)+FCFF!$B$9+FCFF!$I$9*(1+Inputs!$B$6)/(B1100-Inputs!$B$6)/(1+B1100)^7</f>
        <v>-1528.399151</v>
      </c>
    </row>
    <row r="1101" ht="14.25" customHeight="1">
      <c r="A1101" s="7">
        <v>1088.0</v>
      </c>
      <c r="B1101" s="14">
        <f t="shared" si="1"/>
        <v>0.1086063471</v>
      </c>
      <c r="C1101" s="39">
        <f t="array" ref="C1101">NPV(B1101,FCFF!$C$9:$I$9)+FCFF!$B$9+FCFF!$I$9*(1+Inputs!$B$6)/(B1101-Inputs!$B$6)/(1+B1101)^7</f>
        <v>-1600.348759</v>
      </c>
    </row>
    <row r="1102" ht="14.25" customHeight="1">
      <c r="A1102" s="7">
        <v>1089.0</v>
      </c>
      <c r="B1102" s="14">
        <f t="shared" si="1"/>
        <v>0.1049420095</v>
      </c>
      <c r="C1102" s="39">
        <f t="array" ref="C1102">NPV(B1102,FCFF!$C$9:$I$9)+FCFF!$B$9+FCFF!$I$9*(1+Inputs!$B$6)/(B1102-Inputs!$B$6)/(1+B1102)^7</f>
        <v>-1514.295508</v>
      </c>
    </row>
    <row r="1103" ht="14.25" customHeight="1">
      <c r="A1103" s="7">
        <v>1090.0</v>
      </c>
      <c r="B1103" s="14">
        <f t="shared" si="1"/>
        <v>0.1264182536</v>
      </c>
      <c r="C1103" s="39">
        <f t="array" ref="C1103">NPV(B1103,FCFF!$C$9:$I$9)+FCFF!$B$9+FCFF!$I$9*(1+Inputs!$B$6)/(B1103-Inputs!$B$6)/(1+B1103)^7</f>
        <v>-1922.298724</v>
      </c>
    </row>
    <row r="1104" ht="14.25" customHeight="1">
      <c r="A1104" s="7">
        <v>1091.0</v>
      </c>
      <c r="B1104" s="14">
        <f t="shared" si="1"/>
        <v>0.1127871884</v>
      </c>
      <c r="C1104" s="39">
        <f t="array" ref="C1104">NPV(B1104,FCFF!$C$9:$I$9)+FCFF!$B$9+FCFF!$I$9*(1+Inputs!$B$6)/(B1104-Inputs!$B$6)/(1+B1104)^7</f>
        <v>-1688.968345</v>
      </c>
    </row>
    <row r="1105" ht="14.25" customHeight="1">
      <c r="A1105" s="7">
        <v>1092.0</v>
      </c>
      <c r="B1105" s="14">
        <f t="shared" si="1"/>
        <v>0.1255291978</v>
      </c>
      <c r="C1105" s="39">
        <f t="array" ref="C1105">NPV(B1105,FCFF!$C$9:$I$9)+FCFF!$B$9+FCFF!$I$9*(1+Inputs!$B$6)/(B1105-Inputs!$B$6)/(1+B1105)^7</f>
        <v>-1909.230711</v>
      </c>
    </row>
    <row r="1106" ht="14.25" customHeight="1">
      <c r="A1106" s="7">
        <v>1093.0</v>
      </c>
      <c r="B1106" s="14">
        <f t="shared" si="1"/>
        <v>0.1210798301</v>
      </c>
      <c r="C1106" s="39">
        <f t="array" ref="C1106">NPV(B1106,FCFF!$C$9:$I$9)+FCFF!$B$9+FCFF!$I$9*(1+Inputs!$B$6)/(B1106-Inputs!$B$6)/(1+B1106)^7</f>
        <v>-1839.718294</v>
      </c>
    </row>
    <row r="1107" ht="14.25" customHeight="1">
      <c r="A1107" s="7">
        <v>1094.0</v>
      </c>
      <c r="B1107" s="14">
        <f t="shared" si="1"/>
        <v>0.1122718478</v>
      </c>
      <c r="C1107" s="39">
        <f t="array" ref="C1107">NPV(B1107,FCFF!$C$9:$I$9)+FCFF!$B$9+FCFF!$I$9*(1+Inputs!$B$6)/(B1107-Inputs!$B$6)/(1+B1107)^7</f>
        <v>-1678.548761</v>
      </c>
    </row>
    <row r="1108" ht="14.25" customHeight="1">
      <c r="A1108" s="7">
        <v>1095.0</v>
      </c>
      <c r="B1108" s="14">
        <f t="shared" si="1"/>
        <v>0.1054728232</v>
      </c>
      <c r="C1108" s="39">
        <f t="array" ref="C1108">NPV(B1108,FCFF!$C$9:$I$9)+FCFF!$B$9+FCFF!$I$9*(1+Inputs!$B$6)/(B1108-Inputs!$B$6)/(1+B1108)^7</f>
        <v>-1527.290781</v>
      </c>
    </row>
    <row r="1109" ht="14.25" customHeight="1">
      <c r="A1109" s="7">
        <v>1096.0</v>
      </c>
      <c r="B1109" s="14">
        <f t="shared" si="1"/>
        <v>0.1204196722</v>
      </c>
      <c r="C1109" s="39">
        <f t="array" ref="C1109">NPV(B1109,FCFF!$C$9:$I$9)+FCFF!$B$9+FCFF!$I$9*(1+Inputs!$B$6)/(B1109-Inputs!$B$6)/(1+B1109)^7</f>
        <v>-1828.783199</v>
      </c>
    </row>
    <row r="1110" ht="14.25" customHeight="1">
      <c r="A1110" s="7">
        <v>1097.0</v>
      </c>
      <c r="B1110" s="14">
        <f t="shared" si="1"/>
        <v>0.1018928706</v>
      </c>
      <c r="C1110" s="39">
        <f t="array" ref="C1110">NPV(B1110,FCFF!$C$9:$I$9)+FCFF!$B$9+FCFF!$I$9*(1+Inputs!$B$6)/(B1110-Inputs!$B$6)/(1+B1110)^7</f>
        <v>-1435.863806</v>
      </c>
    </row>
    <row r="1111" ht="14.25" customHeight="1">
      <c r="A1111" s="7">
        <v>1098.0</v>
      </c>
      <c r="B1111" s="14">
        <f t="shared" si="1"/>
        <v>0.1078714383</v>
      </c>
      <c r="C1111" s="39">
        <f t="array" ref="C1111">NPV(B1111,FCFF!$C$9:$I$9)+FCFF!$B$9+FCFF!$I$9*(1+Inputs!$B$6)/(B1111-Inputs!$B$6)/(1+B1111)^7</f>
        <v>-1583.755618</v>
      </c>
    </row>
    <row r="1112" ht="14.25" customHeight="1">
      <c r="A1112" s="7">
        <v>1099.0</v>
      </c>
      <c r="B1112" s="14">
        <f t="shared" si="1"/>
        <v>0.1006505408</v>
      </c>
      <c r="C1112" s="39">
        <f t="array" ref="C1112">NPV(B1112,FCFF!$C$9:$I$9)+FCFF!$B$9+FCFF!$I$9*(1+Inputs!$B$6)/(B1112-Inputs!$B$6)/(1+B1112)^7</f>
        <v>-1401.940881</v>
      </c>
    </row>
    <row r="1113" ht="14.25" customHeight="1">
      <c r="A1113" s="7">
        <v>1100.0</v>
      </c>
      <c r="B1113" s="14">
        <f t="shared" si="1"/>
        <v>0.1017315739</v>
      </c>
      <c r="C1113" s="39">
        <f t="array" ref="C1113">NPV(B1113,FCFF!$C$9:$I$9)+FCFF!$B$9+FCFF!$I$9*(1+Inputs!$B$6)/(B1113-Inputs!$B$6)/(1+B1113)^7</f>
        <v>-1431.526509</v>
      </c>
    </row>
    <row r="1114" ht="14.25" customHeight="1">
      <c r="A1114" s="7">
        <v>1101.0</v>
      </c>
      <c r="B1114" s="14">
        <f t="shared" si="1"/>
        <v>0.09428203244</v>
      </c>
      <c r="C1114" s="39">
        <f t="array" ref="C1114">NPV(B1114,FCFF!$C$9:$I$9)+FCFF!$B$9+FCFF!$I$9*(1+Inputs!$B$6)/(B1114-Inputs!$B$6)/(1+B1114)^7</f>
        <v>-1207.37743</v>
      </c>
    </row>
    <row r="1115" ht="14.25" customHeight="1">
      <c r="A1115" s="7">
        <v>1102.0</v>
      </c>
      <c r="B1115" s="14">
        <f t="shared" si="1"/>
        <v>0.1271644085</v>
      </c>
      <c r="C1115" s="39">
        <f t="array" ref="C1115">NPV(B1115,FCFF!$C$9:$I$9)+FCFF!$B$9+FCFF!$I$9*(1+Inputs!$B$6)/(B1115-Inputs!$B$6)/(1+B1115)^7</f>
        <v>-1933.067872</v>
      </c>
    </row>
    <row r="1116" ht="14.25" customHeight="1">
      <c r="A1116" s="7">
        <v>1103.0</v>
      </c>
      <c r="B1116" s="14">
        <f t="shared" si="1"/>
        <v>0.121513683</v>
      </c>
      <c r="C1116" s="39">
        <f t="array" ref="C1116">NPV(B1116,FCFF!$C$9:$I$9)+FCFF!$B$9+FCFF!$I$9*(1+Inputs!$B$6)/(B1116-Inputs!$B$6)/(1+B1116)^7</f>
        <v>-1846.813633</v>
      </c>
    </row>
    <row r="1117" ht="14.25" customHeight="1">
      <c r="A1117" s="7">
        <v>1104.0</v>
      </c>
      <c r="B1117" s="14">
        <f t="shared" si="1"/>
        <v>0.1121002699</v>
      </c>
      <c r="C1117" s="39">
        <f t="array" ref="C1117">NPV(B1117,FCFF!$C$9:$I$9)+FCFF!$B$9+FCFF!$I$9*(1+Inputs!$B$6)/(B1117-Inputs!$B$6)/(1+B1117)^7</f>
        <v>-1675.049496</v>
      </c>
    </row>
    <row r="1118" ht="14.25" customHeight="1">
      <c r="A1118" s="7">
        <v>1105.0</v>
      </c>
      <c r="B1118" s="14">
        <f t="shared" si="1"/>
        <v>0.09519143791</v>
      </c>
      <c r="C1118" s="39">
        <f t="array" ref="C1118">NPV(B1118,FCFF!$C$9:$I$9)+FCFF!$B$9+FCFF!$I$9*(1+Inputs!$B$6)/(B1118-Inputs!$B$6)/(1+B1118)^7</f>
        <v>-1237.481364</v>
      </c>
    </row>
    <row r="1119" ht="14.25" customHeight="1">
      <c r="A1119" s="7">
        <v>1106.0</v>
      </c>
      <c r="B1119" s="14">
        <f t="shared" si="1"/>
        <v>0.1073258167</v>
      </c>
      <c r="C1119" s="39">
        <f t="array" ref="C1119">NPV(B1119,FCFF!$C$9:$I$9)+FCFF!$B$9+FCFF!$I$9*(1+Inputs!$B$6)/(B1119-Inputs!$B$6)/(1+B1119)^7</f>
        <v>-1571.226669</v>
      </c>
    </row>
    <row r="1120" ht="14.25" customHeight="1">
      <c r="A1120" s="7">
        <v>1107.0</v>
      </c>
      <c r="B1120" s="14">
        <f t="shared" si="1"/>
        <v>0.1279301449</v>
      </c>
      <c r="C1120" s="39">
        <f t="array" ref="C1120">NPV(B1120,FCFF!$C$9:$I$9)+FCFF!$B$9+FCFF!$I$9*(1+Inputs!$B$6)/(B1120-Inputs!$B$6)/(1+B1120)^7</f>
        <v>-1943.935872</v>
      </c>
    </row>
    <row r="1121" ht="14.25" customHeight="1">
      <c r="A1121" s="7">
        <v>1108.0</v>
      </c>
      <c r="B1121" s="14">
        <f t="shared" si="1"/>
        <v>0.118645043</v>
      </c>
      <c r="C1121" s="39">
        <f t="array" ref="C1121">NPV(B1121,FCFF!$C$9:$I$9)+FCFF!$B$9+FCFF!$I$9*(1+Inputs!$B$6)/(B1121-Inputs!$B$6)/(1+B1121)^7</f>
        <v>-1798.531844</v>
      </c>
    </row>
    <row r="1122" ht="14.25" customHeight="1">
      <c r="A1122" s="7">
        <v>1109.0</v>
      </c>
      <c r="B1122" s="14">
        <f t="shared" si="1"/>
        <v>0.1248693885</v>
      </c>
      <c r="C1122" s="39">
        <f t="array" ref="C1122">NPV(B1122,FCFF!$C$9:$I$9)+FCFF!$B$9+FCFF!$I$9*(1+Inputs!$B$6)/(B1122-Inputs!$B$6)/(1+B1122)^7</f>
        <v>-1899.36226</v>
      </c>
    </row>
    <row r="1123" ht="14.25" customHeight="1">
      <c r="A1123" s="7">
        <v>1110.0</v>
      </c>
      <c r="B1123" s="14">
        <f t="shared" si="1"/>
        <v>0.1067215161</v>
      </c>
      <c r="C1123" s="39">
        <f t="array" ref="C1123">NPV(B1123,FCFF!$C$9:$I$9)+FCFF!$B$9+FCFF!$I$9*(1+Inputs!$B$6)/(B1123-Inputs!$B$6)/(1+B1123)^7</f>
        <v>-1557.136929</v>
      </c>
    </row>
    <row r="1124" ht="14.25" customHeight="1">
      <c r="A1124" s="7">
        <v>1111.0</v>
      </c>
      <c r="B1124" s="14">
        <f t="shared" si="1"/>
        <v>0.1256564987</v>
      </c>
      <c r="C1124" s="39">
        <f t="array" ref="C1124">NPV(B1124,FCFF!$C$9:$I$9)+FCFF!$B$9+FCFF!$I$9*(1+Inputs!$B$6)/(B1124-Inputs!$B$6)/(1+B1124)^7</f>
        <v>-1911.117885</v>
      </c>
    </row>
    <row r="1125" ht="14.25" customHeight="1">
      <c r="A1125" s="7">
        <v>1112.0</v>
      </c>
      <c r="B1125" s="14">
        <f t="shared" si="1"/>
        <v>0.1061018295</v>
      </c>
      <c r="C1125" s="39">
        <f t="array" ref="C1125">NPV(B1125,FCFF!$C$9:$I$9)+FCFF!$B$9+FCFF!$I$9*(1+Inputs!$B$6)/(B1125-Inputs!$B$6)/(1+B1125)^7</f>
        <v>-1542.450415</v>
      </c>
    </row>
    <row r="1126" ht="14.25" customHeight="1">
      <c r="A1126" s="7">
        <v>1113.0</v>
      </c>
      <c r="B1126" s="14">
        <f t="shared" si="1"/>
        <v>0.1231211609</v>
      </c>
      <c r="C1126" s="39">
        <f t="array" ref="C1126">NPV(B1126,FCFF!$C$9:$I$9)+FCFF!$B$9+FCFF!$I$9*(1+Inputs!$B$6)/(B1126-Inputs!$B$6)/(1+B1126)^7</f>
        <v>-1872.490202</v>
      </c>
    </row>
    <row r="1127" ht="14.25" customHeight="1">
      <c r="A1127" s="7">
        <v>1114.0</v>
      </c>
      <c r="B1127" s="14">
        <f t="shared" si="1"/>
        <v>0.09609534066</v>
      </c>
      <c r="C1127" s="39">
        <f t="array" ref="C1127">NPV(B1127,FCFF!$C$9:$I$9)+FCFF!$B$9+FCFF!$I$9*(1+Inputs!$B$6)/(B1127-Inputs!$B$6)/(1+B1127)^7</f>
        <v>-1266.587374</v>
      </c>
    </row>
    <row r="1128" ht="14.25" customHeight="1">
      <c r="A1128" s="7">
        <v>1115.0</v>
      </c>
      <c r="B1128" s="14">
        <f t="shared" si="1"/>
        <v>0.09769249959</v>
      </c>
      <c r="C1128" s="39">
        <f t="array" ref="C1128">NPV(B1128,FCFF!$C$9:$I$9)+FCFF!$B$9+FCFF!$I$9*(1+Inputs!$B$6)/(B1128-Inputs!$B$6)/(1+B1128)^7</f>
        <v>-1316.122451</v>
      </c>
    </row>
    <row r="1129" ht="14.25" customHeight="1">
      <c r="A1129" s="7">
        <v>1116.0</v>
      </c>
      <c r="B1129" s="14">
        <f t="shared" si="1"/>
        <v>0.09409128505</v>
      </c>
      <c r="C1129" s="39">
        <f t="array" ref="C1129">NPV(B1129,FCFF!$C$9:$I$9)+FCFF!$B$9+FCFF!$I$9*(1+Inputs!$B$6)/(B1129-Inputs!$B$6)/(1+B1129)^7</f>
        <v>-1200.955643</v>
      </c>
    </row>
    <row r="1130" ht="14.25" customHeight="1">
      <c r="A1130" s="7">
        <v>1117.0</v>
      </c>
      <c r="B1130" s="14">
        <f t="shared" si="1"/>
        <v>0.1061964449</v>
      </c>
      <c r="C1130" s="39">
        <f t="array" ref="C1130">NPV(B1130,FCFF!$C$9:$I$9)+FCFF!$B$9+FCFF!$I$9*(1+Inputs!$B$6)/(B1130-Inputs!$B$6)/(1+B1130)^7</f>
        <v>-1544.708602</v>
      </c>
    </row>
    <row r="1131" ht="14.25" customHeight="1">
      <c r="A1131" s="7">
        <v>1118.0</v>
      </c>
      <c r="B1131" s="14">
        <f t="shared" si="1"/>
        <v>0.1011016986</v>
      </c>
      <c r="C1131" s="39">
        <f t="array" ref="C1131">NPV(B1131,FCFF!$C$9:$I$9)+FCFF!$B$9+FCFF!$I$9*(1+Inputs!$B$6)/(B1131-Inputs!$B$6)/(1+B1131)^7</f>
        <v>-1414.398561</v>
      </c>
    </row>
    <row r="1132" ht="14.25" customHeight="1">
      <c r="A1132" s="7">
        <v>1119.0</v>
      </c>
      <c r="B1132" s="14">
        <f t="shared" si="1"/>
        <v>0.1111414652</v>
      </c>
      <c r="C1132" s="39">
        <f t="array" ref="C1132">NPV(B1132,FCFF!$C$9:$I$9)+FCFF!$B$9+FCFF!$I$9*(1+Inputs!$B$6)/(B1132-Inputs!$B$6)/(1+B1132)^7</f>
        <v>-1655.212333</v>
      </c>
    </row>
    <row r="1133" ht="14.25" customHeight="1">
      <c r="A1133" s="7">
        <v>1120.0</v>
      </c>
      <c r="B1133" s="14">
        <f t="shared" si="1"/>
        <v>0.1175224115</v>
      </c>
      <c r="C1133" s="39">
        <f t="array" ref="C1133">NPV(B1133,FCFF!$C$9:$I$9)+FCFF!$B$9+FCFF!$I$9*(1+Inputs!$B$6)/(B1133-Inputs!$B$6)/(1+B1133)^7</f>
        <v>-1778.725413</v>
      </c>
    </row>
    <row r="1134" ht="14.25" customHeight="1">
      <c r="A1134" s="7">
        <v>1121.0</v>
      </c>
      <c r="B1134" s="14">
        <f t="shared" si="1"/>
        <v>0.1199620709</v>
      </c>
      <c r="C1134" s="39">
        <f t="array" ref="C1134">NPV(B1134,FCFF!$C$9:$I$9)+FCFF!$B$9+FCFF!$I$9*(1+Inputs!$B$6)/(B1134-Inputs!$B$6)/(1+B1134)^7</f>
        <v>-1821.103454</v>
      </c>
    </row>
    <row r="1135" ht="14.25" customHeight="1">
      <c r="A1135" s="7">
        <v>1122.0</v>
      </c>
      <c r="B1135" s="14">
        <f t="shared" si="1"/>
        <v>0.125125224</v>
      </c>
      <c r="C1135" s="39">
        <f t="array" ref="C1135">NPV(B1135,FCFF!$C$9:$I$9)+FCFF!$B$9+FCFF!$I$9*(1+Inputs!$B$6)/(B1135-Inputs!$B$6)/(1+B1135)^7</f>
        <v>-1903.206096</v>
      </c>
    </row>
    <row r="1136" ht="14.25" customHeight="1">
      <c r="A1136" s="7">
        <v>1123.0</v>
      </c>
      <c r="B1136" s="14">
        <f t="shared" si="1"/>
        <v>0.129074809</v>
      </c>
      <c r="C1136" s="39">
        <f t="array" ref="C1136">NPV(B1136,FCFF!$C$9:$I$9)+FCFF!$B$9+FCFF!$I$9*(1+Inputs!$B$6)/(B1136-Inputs!$B$6)/(1+B1136)^7</f>
        <v>-1959.843897</v>
      </c>
    </row>
    <row r="1137" ht="14.25" customHeight="1">
      <c r="A1137" s="7">
        <v>1124.0</v>
      </c>
      <c r="B1137" s="14">
        <f t="shared" si="1"/>
        <v>0.1230773112</v>
      </c>
      <c r="C1137" s="39">
        <f t="array" ref="C1137">NPV(B1137,FCFF!$C$9:$I$9)+FCFF!$B$9+FCFF!$I$9*(1+Inputs!$B$6)/(B1137-Inputs!$B$6)/(1+B1137)^7</f>
        <v>-1871.802315</v>
      </c>
    </row>
    <row r="1138" ht="14.25" customHeight="1">
      <c r="A1138" s="7">
        <v>1125.0</v>
      </c>
      <c r="B1138" s="14">
        <f t="shared" si="1"/>
        <v>0.1092684738</v>
      </c>
      <c r="C1138" s="39">
        <f t="array" ref="C1138">NPV(B1138,FCFF!$C$9:$I$9)+FCFF!$B$9+FCFF!$I$9*(1+Inputs!$B$6)/(B1138-Inputs!$B$6)/(1+B1138)^7</f>
        <v>-1615.027538</v>
      </c>
    </row>
    <row r="1139" ht="14.25" customHeight="1">
      <c r="A1139" s="7">
        <v>1126.0</v>
      </c>
      <c r="B1139" s="14">
        <f t="shared" si="1"/>
        <v>0.1283994414</v>
      </c>
      <c r="C1139" s="39">
        <f t="array" ref="C1139">NPV(B1139,FCFF!$C$9:$I$9)+FCFF!$B$9+FCFF!$I$9*(1+Inputs!$B$6)/(B1139-Inputs!$B$6)/(1+B1139)^7</f>
        <v>-1950.506342</v>
      </c>
    </row>
    <row r="1140" ht="14.25" customHeight="1">
      <c r="A1140" s="7">
        <v>1127.0</v>
      </c>
      <c r="B1140" s="14">
        <f t="shared" si="1"/>
        <v>0.09928183704</v>
      </c>
      <c r="C1140" s="39">
        <f t="array" ref="C1140">NPV(B1140,FCFF!$C$9:$I$9)+FCFF!$B$9+FCFF!$I$9*(1+Inputs!$B$6)/(B1140-Inputs!$B$6)/(1+B1140)^7</f>
        <v>-1363.147077</v>
      </c>
    </row>
    <row r="1141" ht="14.25" customHeight="1">
      <c r="A1141" s="7">
        <v>1128.0</v>
      </c>
      <c r="B1141" s="14">
        <f t="shared" si="1"/>
        <v>0.1249179309</v>
      </c>
      <c r="C1141" s="39">
        <f t="array" ref="C1141">NPV(B1141,FCFF!$C$9:$I$9)+FCFF!$B$9+FCFF!$I$9*(1+Inputs!$B$6)/(B1141-Inputs!$B$6)/(1+B1141)^7</f>
        <v>-1900.093299</v>
      </c>
    </row>
    <row r="1142" ht="14.25" customHeight="1">
      <c r="A1142" s="7">
        <v>1129.0</v>
      </c>
      <c r="B1142" s="14">
        <f t="shared" si="1"/>
        <v>0.09392614438</v>
      </c>
      <c r="C1142" s="39">
        <f t="array" ref="C1142">NPV(B1142,FCFF!$C$9:$I$9)+FCFF!$B$9+FCFF!$I$9*(1+Inputs!$B$6)/(B1142-Inputs!$B$6)/(1+B1142)^7</f>
        <v>-1195.365278</v>
      </c>
    </row>
    <row r="1143" ht="14.25" customHeight="1">
      <c r="A1143" s="7">
        <v>1130.0</v>
      </c>
      <c r="B1143" s="14">
        <f t="shared" si="1"/>
        <v>0.1227567281</v>
      </c>
      <c r="C1143" s="39">
        <f t="array" ref="C1143">NPV(B1143,FCFF!$C$9:$I$9)+FCFF!$B$9+FCFF!$I$9*(1+Inputs!$B$6)/(B1143-Inputs!$B$6)/(1+B1143)^7</f>
        <v>-1866.752127</v>
      </c>
    </row>
    <row r="1144" ht="14.25" customHeight="1">
      <c r="A1144" s="7">
        <v>1131.0</v>
      </c>
      <c r="B1144" s="14">
        <f t="shared" si="1"/>
        <v>0.1204187217</v>
      </c>
      <c r="C1144" s="39">
        <f t="array" ref="C1144">NPV(B1144,FCFF!$C$9:$I$9)+FCFF!$B$9+FCFF!$I$9*(1+Inputs!$B$6)/(B1144-Inputs!$B$6)/(1+B1144)^7</f>
        <v>-1828.767333</v>
      </c>
    </row>
    <row r="1145" ht="14.25" customHeight="1">
      <c r="A1145" s="7">
        <v>1132.0</v>
      </c>
      <c r="B1145" s="14">
        <f t="shared" si="1"/>
        <v>0.1092009839</v>
      </c>
      <c r="C1145" s="39">
        <f t="array" ref="C1145">NPV(B1145,FCFF!$C$9:$I$9)+FCFF!$B$9+FCFF!$I$9*(1+Inputs!$B$6)/(B1145-Inputs!$B$6)/(1+B1145)^7</f>
        <v>-1613.542916</v>
      </c>
    </row>
    <row r="1146" ht="14.25" customHeight="1">
      <c r="A1146" s="7">
        <v>1133.0</v>
      </c>
      <c r="B1146" s="14">
        <f t="shared" si="1"/>
        <v>0.118466152</v>
      </c>
      <c r="C1146" s="39">
        <f t="array" ref="C1146">NPV(B1146,FCFF!$C$9:$I$9)+FCFF!$B$9+FCFF!$I$9*(1+Inputs!$B$6)/(B1146-Inputs!$B$6)/(1+B1146)^7</f>
        <v>-1795.411181</v>
      </c>
    </row>
    <row r="1147" ht="14.25" customHeight="1">
      <c r="A1147" s="7">
        <v>1134.0</v>
      </c>
      <c r="B1147" s="14">
        <f t="shared" si="1"/>
        <v>0.1209121607</v>
      </c>
      <c r="C1147" s="39">
        <f t="array" ref="C1147">NPV(B1147,FCFF!$C$9:$I$9)+FCFF!$B$9+FCFF!$I$9*(1+Inputs!$B$6)/(B1147-Inputs!$B$6)/(1+B1147)^7</f>
        <v>-1836.956917</v>
      </c>
    </row>
    <row r="1148" ht="14.25" customHeight="1">
      <c r="A1148" s="7">
        <v>1135.0</v>
      </c>
      <c r="B1148" s="14">
        <f t="shared" si="1"/>
        <v>0.1009533803</v>
      </c>
      <c r="C1148" s="39">
        <f t="array" ref="C1148">NPV(B1148,FCFF!$C$9:$I$9)+FCFF!$B$9+FCFF!$I$9*(1+Inputs!$B$6)/(B1148-Inputs!$B$6)/(1+B1148)^7</f>
        <v>-1410.320729</v>
      </c>
    </row>
    <row r="1149" ht="14.25" customHeight="1">
      <c r="A1149" s="7">
        <v>1136.0</v>
      </c>
      <c r="B1149" s="14">
        <f t="shared" si="1"/>
        <v>0.1196825352</v>
      </c>
      <c r="C1149" s="39">
        <f t="array" ref="C1149">NPV(B1149,FCFF!$C$9:$I$9)+FCFF!$B$9+FCFF!$I$9*(1+Inputs!$B$6)/(B1149-Inputs!$B$6)/(1+B1149)^7</f>
        <v>-1816.371278</v>
      </c>
    </row>
    <row r="1150" ht="14.25" customHeight="1">
      <c r="A1150" s="7">
        <v>1137.0</v>
      </c>
      <c r="B1150" s="14">
        <f t="shared" si="1"/>
        <v>0.1258666089</v>
      </c>
      <c r="C1150" s="39">
        <f t="array" ref="C1150">NPV(B1150,FCFF!$C$9:$I$9)+FCFF!$B$9+FCFF!$I$9*(1+Inputs!$B$6)/(B1150-Inputs!$B$6)/(1+B1150)^7</f>
        <v>-1914.220898</v>
      </c>
    </row>
    <row r="1151" ht="14.25" customHeight="1">
      <c r="A1151" s="7">
        <v>1138.0</v>
      </c>
      <c r="B1151" s="14">
        <f t="shared" si="1"/>
        <v>0.09500413867</v>
      </c>
      <c r="C1151" s="39">
        <f t="array" ref="C1151">NPV(B1151,FCFF!$C$9:$I$9)+FCFF!$B$9+FCFF!$I$9*(1+Inputs!$B$6)/(B1151-Inputs!$B$6)/(1+B1151)^7</f>
        <v>-1231.349594</v>
      </c>
    </row>
    <row r="1152" ht="14.25" customHeight="1">
      <c r="A1152" s="7">
        <v>1139.0</v>
      </c>
      <c r="B1152" s="14">
        <f t="shared" si="1"/>
        <v>0.1274358023</v>
      </c>
      <c r="C1152" s="39">
        <f t="array" ref="C1152">NPV(B1152,FCFF!$C$9:$I$9)+FCFF!$B$9+FCFF!$I$9*(1+Inputs!$B$6)/(B1152-Inputs!$B$6)/(1+B1152)^7</f>
        <v>-1936.940809</v>
      </c>
    </row>
    <row r="1153" ht="14.25" customHeight="1">
      <c r="A1153" s="7">
        <v>1140.0</v>
      </c>
      <c r="B1153" s="14">
        <f t="shared" si="1"/>
        <v>0.09563906583</v>
      </c>
      <c r="C1153" s="39">
        <f t="array" ref="C1153">NPV(B1153,FCFF!$C$9:$I$9)+FCFF!$B$9+FCFF!$I$9*(1+Inputs!$B$6)/(B1153-Inputs!$B$6)/(1+B1153)^7</f>
        <v>-1251.994834</v>
      </c>
    </row>
    <row r="1154" ht="14.25" customHeight="1">
      <c r="A1154" s="7">
        <v>1141.0</v>
      </c>
      <c r="B1154" s="14">
        <f t="shared" si="1"/>
        <v>0.1146847897</v>
      </c>
      <c r="C1154" s="39">
        <f t="array" ref="C1154">NPV(B1154,FCFF!$C$9:$I$9)+FCFF!$B$9+FCFF!$I$9*(1+Inputs!$B$6)/(B1154-Inputs!$B$6)/(1+B1154)^7</f>
        <v>-1726.198241</v>
      </c>
    </row>
    <row r="1155" ht="14.25" customHeight="1">
      <c r="A1155" s="7">
        <v>1142.0</v>
      </c>
      <c r="B1155" s="14">
        <f t="shared" si="1"/>
        <v>0.1311850104</v>
      </c>
      <c r="C1155" s="39">
        <f t="array" ref="C1155">NPV(B1155,FCFF!$C$9:$I$9)+FCFF!$B$9+FCFF!$I$9*(1+Inputs!$B$6)/(B1155-Inputs!$B$6)/(1+B1155)^7</f>
        <v>-1988.149848</v>
      </c>
    </row>
    <row r="1156" ht="14.25" customHeight="1">
      <c r="A1156" s="7">
        <v>1143.0</v>
      </c>
      <c r="B1156" s="14">
        <f t="shared" si="1"/>
        <v>0.1060061802</v>
      </c>
      <c r="C1156" s="39">
        <f t="array" ref="C1156">NPV(B1156,FCFF!$C$9:$I$9)+FCFF!$B$9+FCFF!$I$9*(1+Inputs!$B$6)/(B1156-Inputs!$B$6)/(1+B1156)^7</f>
        <v>-1540.161709</v>
      </c>
    </row>
    <row r="1157" ht="14.25" customHeight="1">
      <c r="A1157" s="7">
        <v>1144.0</v>
      </c>
      <c r="B1157" s="14">
        <f t="shared" si="1"/>
        <v>0.1285271286</v>
      </c>
      <c r="C1157" s="39">
        <f t="array" ref="C1157">NPV(B1157,FCFF!$C$9:$I$9)+FCFF!$B$9+FCFF!$I$9*(1+Inputs!$B$6)/(B1157-Inputs!$B$6)/(1+B1157)^7</f>
        <v>-1952.282346</v>
      </c>
    </row>
    <row r="1158" ht="14.25" customHeight="1">
      <c r="A1158" s="7">
        <v>1145.0</v>
      </c>
      <c r="B1158" s="14">
        <f t="shared" si="1"/>
        <v>0.1145424079</v>
      </c>
      <c r="C1158" s="39">
        <f t="array" ref="C1158">NPV(B1158,FCFF!$C$9:$I$9)+FCFF!$B$9+FCFF!$I$9*(1+Inputs!$B$6)/(B1158-Inputs!$B$6)/(1+B1158)^7</f>
        <v>-1723.465268</v>
      </c>
    </row>
    <row r="1159" ht="14.25" customHeight="1">
      <c r="A1159" s="7">
        <v>1146.0</v>
      </c>
      <c r="B1159" s="14">
        <f t="shared" si="1"/>
        <v>0.095375213</v>
      </c>
      <c r="C1159" s="39">
        <f t="array" ref="C1159">NPV(B1159,FCFF!$C$9:$I$9)+FCFF!$B$9+FCFF!$I$9*(1+Inputs!$B$6)/(B1159-Inputs!$B$6)/(1+B1159)^7</f>
        <v>-1243.463826</v>
      </c>
    </row>
    <row r="1160" ht="14.25" customHeight="1">
      <c r="A1160" s="7">
        <v>1147.0</v>
      </c>
      <c r="B1160" s="14">
        <f t="shared" si="1"/>
        <v>0.09468599616</v>
      </c>
      <c r="C1160" s="39">
        <f t="array" ref="C1160">NPV(B1160,FCFF!$C$9:$I$9)+FCFF!$B$9+FCFF!$I$9*(1+Inputs!$B$6)/(B1160-Inputs!$B$6)/(1+B1160)^7</f>
        <v>-1220.853485</v>
      </c>
    </row>
    <row r="1161" ht="14.25" customHeight="1">
      <c r="A1161" s="7">
        <v>1148.0</v>
      </c>
      <c r="B1161" s="14">
        <f t="shared" si="1"/>
        <v>0.09524903119</v>
      </c>
      <c r="C1161" s="39">
        <f t="array" ref="C1161">NPV(B1161,FCFF!$C$9:$I$9)+FCFF!$B$9+FCFF!$I$9*(1+Inputs!$B$6)/(B1161-Inputs!$B$6)/(1+B1161)^7</f>
        <v>-1239.359811</v>
      </c>
    </row>
    <row r="1162" ht="14.25" customHeight="1">
      <c r="A1162" s="7">
        <v>1149.0</v>
      </c>
      <c r="B1162" s="14">
        <f t="shared" si="1"/>
        <v>0.09666936149</v>
      </c>
      <c r="C1162" s="39">
        <f t="array" ref="C1162">NPV(B1162,FCFF!$C$9:$I$9)+FCFF!$B$9+FCFF!$I$9*(1+Inputs!$B$6)/(B1162-Inputs!$B$6)/(1+B1162)^7</f>
        <v>-1284.663015</v>
      </c>
    </row>
    <row r="1163" ht="14.25" customHeight="1">
      <c r="A1163" s="7">
        <v>1150.0</v>
      </c>
      <c r="B1163" s="14">
        <f t="shared" si="1"/>
        <v>0.1098647753</v>
      </c>
      <c r="C1163" s="39">
        <f t="array" ref="C1163">NPV(B1163,FCFF!$C$9:$I$9)+FCFF!$B$9+FCFF!$I$9*(1+Inputs!$B$6)/(B1163-Inputs!$B$6)/(1+B1163)^7</f>
        <v>-1628.032381</v>
      </c>
    </row>
    <row r="1164" ht="14.25" customHeight="1">
      <c r="A1164" s="7">
        <v>1151.0</v>
      </c>
      <c r="B1164" s="14">
        <f t="shared" si="1"/>
        <v>0.1038800709</v>
      </c>
      <c r="C1164" s="39">
        <f t="array" ref="C1164">NPV(B1164,FCFF!$C$9:$I$9)+FCFF!$B$9+FCFF!$I$9*(1+Inputs!$B$6)/(B1164-Inputs!$B$6)/(1+B1164)^7</f>
        <v>-1487.726059</v>
      </c>
    </row>
    <row r="1165" ht="14.25" customHeight="1">
      <c r="A1165" s="7">
        <v>1152.0</v>
      </c>
      <c r="B1165" s="14">
        <f t="shared" si="1"/>
        <v>0.113587289</v>
      </c>
      <c r="C1165" s="39">
        <f t="array" ref="C1165">NPV(B1165,FCFF!$C$9:$I$9)+FCFF!$B$9+FCFF!$I$9*(1+Inputs!$B$6)/(B1165-Inputs!$B$6)/(1+B1165)^7</f>
        <v>-1704.880717</v>
      </c>
    </row>
    <row r="1166" ht="14.25" customHeight="1">
      <c r="A1166" s="7">
        <v>1153.0</v>
      </c>
      <c r="B1166" s="14">
        <f t="shared" si="1"/>
        <v>0.1242191072</v>
      </c>
      <c r="C1166" s="39">
        <f t="array" ref="C1166">NPV(B1166,FCFF!$C$9:$I$9)+FCFF!$B$9+FCFF!$I$9*(1+Inputs!$B$6)/(B1166-Inputs!$B$6)/(1+B1166)^7</f>
        <v>-1889.491325</v>
      </c>
    </row>
    <row r="1167" ht="14.25" customHeight="1">
      <c r="A1167" s="7">
        <v>1154.0</v>
      </c>
      <c r="B1167" s="14">
        <f t="shared" si="1"/>
        <v>0.1012663281</v>
      </c>
      <c r="C1167" s="39">
        <f t="array" ref="C1167">NPV(B1167,FCFF!$C$9:$I$9)+FCFF!$B$9+FCFF!$I$9*(1+Inputs!$B$6)/(B1167-Inputs!$B$6)/(1+B1167)^7</f>
        <v>-1418.904788</v>
      </c>
    </row>
    <row r="1168" ht="14.25" customHeight="1">
      <c r="A1168" s="7">
        <v>1155.0</v>
      </c>
      <c r="B1168" s="14">
        <f t="shared" si="1"/>
        <v>0.1286503277</v>
      </c>
      <c r="C1168" s="39">
        <f t="array" ref="C1168">NPV(B1168,FCFF!$C$9:$I$9)+FCFF!$B$9+FCFF!$I$9*(1+Inputs!$B$6)/(B1168-Inputs!$B$6)/(1+B1168)^7</f>
        <v>-1953.991214</v>
      </c>
    </row>
    <row r="1169" ht="14.25" customHeight="1">
      <c r="A1169" s="7">
        <v>1156.0</v>
      </c>
      <c r="B1169" s="14">
        <f t="shared" si="1"/>
        <v>0.1093159029</v>
      </c>
      <c r="C1169" s="39">
        <f t="array" ref="C1169">NPV(B1169,FCFF!$C$9:$I$9)+FCFF!$B$9+FCFF!$I$9*(1+Inputs!$B$6)/(B1169-Inputs!$B$6)/(1+B1169)^7</f>
        <v>-1616.06931</v>
      </c>
    </row>
    <row r="1170" ht="14.25" customHeight="1">
      <c r="A1170" s="7">
        <v>1157.0</v>
      </c>
      <c r="B1170" s="14">
        <f t="shared" si="1"/>
        <v>0.1213265841</v>
      </c>
      <c r="C1170" s="39">
        <f t="array" ref="C1170">NPV(B1170,FCFF!$C$9:$I$9)+FCFF!$B$9+FCFF!$I$9*(1+Inputs!$B$6)/(B1170-Inputs!$B$6)/(1+B1170)^7</f>
        <v>-1843.762552</v>
      </c>
    </row>
    <row r="1171" ht="14.25" customHeight="1">
      <c r="A1171" s="7">
        <v>1158.0</v>
      </c>
      <c r="B1171" s="14">
        <f t="shared" si="1"/>
        <v>0.09739408835</v>
      </c>
      <c r="C1171" s="39">
        <f t="array" ref="C1171">NPV(B1171,FCFF!$C$9:$I$9)+FCFF!$B$9+FCFF!$I$9*(1+Inputs!$B$6)/(B1171-Inputs!$B$6)/(1+B1171)^7</f>
        <v>-1307.045497</v>
      </c>
    </row>
    <row r="1172" ht="14.25" customHeight="1">
      <c r="A1172" s="7">
        <v>1159.0</v>
      </c>
      <c r="B1172" s="14">
        <f t="shared" si="1"/>
        <v>0.1087049188</v>
      </c>
      <c r="C1172" s="39">
        <f t="array" ref="C1172">NPV(B1172,FCFF!$C$9:$I$9)+FCFF!$B$9+FCFF!$I$9*(1+Inputs!$B$6)/(B1172-Inputs!$B$6)/(1+B1172)^7</f>
        <v>-1602.550122</v>
      </c>
    </row>
    <row r="1173" ht="14.25" customHeight="1">
      <c r="A1173" s="7">
        <v>1160.0</v>
      </c>
      <c r="B1173" s="14">
        <f t="shared" si="1"/>
        <v>0.1046918323</v>
      </c>
      <c r="C1173" s="39">
        <f t="array" ref="C1173">NPV(B1173,FCFF!$C$9:$I$9)+FCFF!$B$9+FCFF!$I$9*(1+Inputs!$B$6)/(B1173-Inputs!$B$6)/(1+B1173)^7</f>
        <v>-1508.105407</v>
      </c>
    </row>
    <row r="1174" ht="14.25" customHeight="1">
      <c r="A1174" s="7">
        <v>1161.0</v>
      </c>
      <c r="B1174" s="14">
        <f t="shared" si="1"/>
        <v>0.1203874637</v>
      </c>
      <c r="C1174" s="39">
        <f t="array" ref="C1174">NPV(B1174,FCFF!$C$9:$I$9)+FCFF!$B$9+FCFF!$I$9*(1+Inputs!$B$6)/(B1174-Inputs!$B$6)/(1+B1174)^7</f>
        <v>-1828.245351</v>
      </c>
    </row>
    <row r="1175" ht="14.25" customHeight="1">
      <c r="A1175" s="7">
        <v>1162.0</v>
      </c>
      <c r="B1175" s="14">
        <f t="shared" si="1"/>
        <v>0.1039635867</v>
      </c>
      <c r="C1175" s="39">
        <f t="array" ref="C1175">NPV(B1175,FCFF!$C$9:$I$9)+FCFF!$B$9+FCFF!$I$9*(1+Inputs!$B$6)/(B1175-Inputs!$B$6)/(1+B1175)^7</f>
        <v>-1489.843739</v>
      </c>
    </row>
    <row r="1176" ht="14.25" customHeight="1">
      <c r="A1176" s="7">
        <v>1163.0</v>
      </c>
      <c r="B1176" s="14">
        <f t="shared" si="1"/>
        <v>0.1106790887</v>
      </c>
      <c r="C1176" s="39">
        <f t="array" ref="C1176">NPV(B1176,FCFF!$C$9:$I$9)+FCFF!$B$9+FCFF!$I$9*(1+Inputs!$B$6)/(B1176-Inputs!$B$6)/(1+B1176)^7</f>
        <v>-1645.471363</v>
      </c>
    </row>
    <row r="1177" ht="14.25" customHeight="1">
      <c r="A1177" s="7">
        <v>1164.0</v>
      </c>
      <c r="B1177" s="14">
        <f t="shared" si="1"/>
        <v>0.1144753511</v>
      </c>
      <c r="C1177" s="39">
        <f t="array" ref="C1177">NPV(B1177,FCFF!$C$9:$I$9)+FCFF!$B$9+FCFF!$I$9*(1+Inputs!$B$6)/(B1177-Inputs!$B$6)/(1+B1177)^7</f>
        <v>-1722.174801</v>
      </c>
    </row>
    <row r="1178" ht="14.25" customHeight="1">
      <c r="A1178" s="7">
        <v>1165.0</v>
      </c>
      <c r="B1178" s="14">
        <f t="shared" si="1"/>
        <v>0.09379529607</v>
      </c>
      <c r="C1178" s="39">
        <f t="array" ref="C1178">NPV(B1178,FCFF!$C$9:$I$9)+FCFF!$B$9+FCFF!$I$9*(1+Inputs!$B$6)/(B1178-Inputs!$B$6)/(1+B1178)^7</f>
        <v>-1190.915432</v>
      </c>
    </row>
    <row r="1179" ht="14.25" customHeight="1">
      <c r="A1179" s="7">
        <v>1166.0</v>
      </c>
      <c r="B1179" s="14">
        <f t="shared" si="1"/>
        <v>0.121577236</v>
      </c>
      <c r="C1179" s="39">
        <f t="array" ref="C1179">NPV(B1179,FCFF!$C$9:$I$9)+FCFF!$B$9+FCFF!$I$9*(1+Inputs!$B$6)/(B1179-Inputs!$B$6)/(1+B1179)^7</f>
        <v>-1847.846998</v>
      </c>
    </row>
    <row r="1180" ht="14.25" customHeight="1">
      <c r="A1180" s="7">
        <v>1167.0</v>
      </c>
      <c r="B1180" s="14">
        <f t="shared" si="1"/>
        <v>0.1321670308</v>
      </c>
      <c r="C1180" s="39">
        <f t="array" ref="C1180">NPV(B1180,FCFF!$C$9:$I$9)+FCFF!$B$9+FCFF!$I$9*(1+Inputs!$B$6)/(B1180-Inputs!$B$6)/(1+B1180)^7</f>
        <v>-2000.889532</v>
      </c>
    </row>
    <row r="1181" ht="14.25" customHeight="1">
      <c r="A1181" s="7">
        <v>1168.0</v>
      </c>
      <c r="B1181" s="14">
        <f t="shared" si="1"/>
        <v>0.1283232659</v>
      </c>
      <c r="C1181" s="39">
        <f t="array" ref="C1181">NPV(B1181,FCFF!$C$9:$I$9)+FCFF!$B$9+FCFF!$I$9*(1+Inputs!$B$6)/(B1181-Inputs!$B$6)/(1+B1181)^7</f>
        <v>-1949.44444</v>
      </c>
    </row>
    <row r="1182" ht="14.25" customHeight="1">
      <c r="A1182" s="7">
        <v>1169.0</v>
      </c>
      <c r="B1182" s="14">
        <f t="shared" si="1"/>
        <v>0.1293809277</v>
      </c>
      <c r="C1182" s="39">
        <f t="array" ref="C1182">NPV(B1182,FCFF!$C$9:$I$9)+FCFF!$B$9+FCFF!$I$9*(1+Inputs!$B$6)/(B1182-Inputs!$B$6)/(1+B1182)^7</f>
        <v>-1964.031032</v>
      </c>
    </row>
    <row r="1183" ht="14.25" customHeight="1">
      <c r="A1183" s="7">
        <v>1170.0</v>
      </c>
      <c r="B1183" s="14">
        <f t="shared" si="1"/>
        <v>0.1292811307</v>
      </c>
      <c r="C1183" s="39">
        <f t="array" ref="C1183">NPV(B1183,FCFF!$C$9:$I$9)+FCFF!$B$9+FCFF!$I$9*(1+Inputs!$B$6)/(B1183-Inputs!$B$6)/(1+B1183)^7</f>
        <v>-1962.669068</v>
      </c>
    </row>
    <row r="1184" ht="14.25" customHeight="1">
      <c r="A1184" s="7">
        <v>1171.0</v>
      </c>
      <c r="B1184" s="14">
        <f t="shared" si="1"/>
        <v>0.09809676808</v>
      </c>
      <c r="C1184" s="39">
        <f t="array" ref="C1184">NPV(B1184,FCFF!$C$9:$I$9)+FCFF!$B$9+FCFF!$I$9*(1+Inputs!$B$6)/(B1184-Inputs!$B$6)/(1+B1184)^7</f>
        <v>-1328.292378</v>
      </c>
    </row>
    <row r="1185" ht="14.25" customHeight="1">
      <c r="A1185" s="7">
        <v>1172.0</v>
      </c>
      <c r="B1185" s="14">
        <f t="shared" si="1"/>
        <v>0.1273443213</v>
      </c>
      <c r="C1185" s="39">
        <f t="array" ref="C1185">NPV(B1185,FCFF!$C$9:$I$9)+FCFF!$B$9+FCFF!$I$9*(1+Inputs!$B$6)/(B1185-Inputs!$B$6)/(1+B1185)^7</f>
        <v>-1935.637927</v>
      </c>
    </row>
    <row r="1186" ht="14.25" customHeight="1">
      <c r="A1186" s="7">
        <v>1173.0</v>
      </c>
      <c r="B1186" s="14">
        <f t="shared" si="1"/>
        <v>0.1280563978</v>
      </c>
      <c r="C1186" s="39">
        <f t="array" ref="C1186">NPV(B1186,FCFF!$C$9:$I$9)+FCFF!$B$9+FCFF!$I$9*(1+Inputs!$B$6)/(B1186-Inputs!$B$6)/(1+B1186)^7</f>
        <v>-1945.71018</v>
      </c>
    </row>
    <row r="1187" ht="14.25" customHeight="1">
      <c r="A1187" s="7">
        <v>1174.0</v>
      </c>
      <c r="B1187" s="14">
        <f t="shared" si="1"/>
        <v>0.1030487955</v>
      </c>
      <c r="C1187" s="39">
        <f t="array" ref="C1187">NPV(B1187,FCFF!$C$9:$I$9)+FCFF!$B$9+FCFF!$I$9*(1+Inputs!$B$6)/(B1187-Inputs!$B$6)/(1+B1187)^7</f>
        <v>-1466.37949</v>
      </c>
    </row>
    <row r="1188" ht="14.25" customHeight="1">
      <c r="A1188" s="7">
        <v>1175.0</v>
      </c>
      <c r="B1188" s="14">
        <f t="shared" si="1"/>
        <v>0.09742291148</v>
      </c>
      <c r="C1188" s="39">
        <f t="array" ref="C1188">NPV(B1188,FCFF!$C$9:$I$9)+FCFF!$B$9+FCFF!$I$9*(1+Inputs!$B$6)/(B1188-Inputs!$B$6)/(1+B1188)^7</f>
        <v>-1307.925733</v>
      </c>
    </row>
    <row r="1189" ht="14.25" customHeight="1">
      <c r="A1189" s="7">
        <v>1176.0</v>
      </c>
      <c r="B1189" s="14">
        <f t="shared" si="1"/>
        <v>0.1078013937</v>
      </c>
      <c r="C1189" s="39">
        <f t="array" ref="C1189">NPV(B1189,FCFF!$C$9:$I$9)+FCFF!$B$9+FCFF!$I$9*(1+Inputs!$B$6)/(B1189-Inputs!$B$6)/(1+B1189)^7</f>
        <v>-1582.157297</v>
      </c>
    </row>
    <row r="1190" ht="14.25" customHeight="1">
      <c r="A1190" s="7">
        <v>1177.0</v>
      </c>
      <c r="B1190" s="14">
        <f t="shared" si="1"/>
        <v>0.1076733195</v>
      </c>
      <c r="C1190" s="39">
        <f t="array" ref="C1190">NPV(B1190,FCFF!$C$9:$I$9)+FCFF!$B$9+FCFF!$I$9*(1+Inputs!$B$6)/(B1190-Inputs!$B$6)/(1+B1190)^7</f>
        <v>-1579.227166</v>
      </c>
    </row>
    <row r="1191" ht="14.25" customHeight="1">
      <c r="A1191" s="7">
        <v>1178.0</v>
      </c>
      <c r="B1191" s="14">
        <f t="shared" si="1"/>
        <v>0.1158679109</v>
      </c>
      <c r="C1191" s="39">
        <f t="array" ref="C1191">NPV(B1191,FCFF!$C$9:$I$9)+FCFF!$B$9+FCFF!$I$9*(1+Inputs!$B$6)/(B1191-Inputs!$B$6)/(1+B1191)^7</f>
        <v>-1748.541415</v>
      </c>
    </row>
    <row r="1192" ht="14.25" customHeight="1">
      <c r="A1192" s="7">
        <v>1179.0</v>
      </c>
      <c r="B1192" s="14">
        <f t="shared" si="1"/>
        <v>0.1317449647</v>
      </c>
      <c r="C1192" s="39">
        <f t="array" ref="C1192">NPV(B1192,FCFF!$C$9:$I$9)+FCFF!$B$9+FCFF!$I$9*(1+Inputs!$B$6)/(B1192-Inputs!$B$6)/(1+B1192)^7</f>
        <v>-1995.446933</v>
      </c>
    </row>
    <row r="1193" ht="14.25" customHeight="1">
      <c r="A1193" s="7">
        <v>1180.0</v>
      </c>
      <c r="B1193" s="14">
        <f t="shared" si="1"/>
        <v>0.1063904222</v>
      </c>
      <c r="C1193" s="39">
        <f t="array" ref="C1193">NPV(B1193,FCFF!$C$9:$I$9)+FCFF!$B$9+FCFF!$I$9*(1+Inputs!$B$6)/(B1193-Inputs!$B$6)/(1+B1193)^7</f>
        <v>-1549.320373</v>
      </c>
    </row>
    <row r="1194" ht="14.25" customHeight="1">
      <c r="A1194" s="7">
        <v>1181.0</v>
      </c>
      <c r="B1194" s="14">
        <f t="shared" si="1"/>
        <v>0.1088635733</v>
      </c>
      <c r="C1194" s="39">
        <f t="array" ref="C1194">NPV(B1194,FCFF!$C$9:$I$9)+FCFF!$B$9+FCFF!$I$9*(1+Inputs!$B$6)/(B1194-Inputs!$B$6)/(1+B1194)^7</f>
        <v>-1606.081395</v>
      </c>
    </row>
    <row r="1195" ht="14.25" customHeight="1">
      <c r="A1195" s="7">
        <v>1182.0</v>
      </c>
      <c r="B1195" s="14">
        <f t="shared" si="1"/>
        <v>0.1206763483</v>
      </c>
      <c r="C1195" s="39">
        <f t="array" ref="C1195">NPV(B1195,FCFF!$C$9:$I$9)+FCFF!$B$9+FCFF!$I$9*(1+Inputs!$B$6)/(B1195-Inputs!$B$6)/(1+B1195)^7</f>
        <v>-1833.054942</v>
      </c>
    </row>
    <row r="1196" ht="14.25" customHeight="1">
      <c r="A1196" s="7">
        <v>1183.0</v>
      </c>
      <c r="B1196" s="14">
        <f t="shared" si="1"/>
        <v>0.09734164878</v>
      </c>
      <c r="C1196" s="39">
        <f t="array" ref="C1196">NPV(B1196,FCFF!$C$9:$I$9)+FCFF!$B$9+FCFF!$I$9*(1+Inputs!$B$6)/(B1196-Inputs!$B$6)/(1+B1196)^7</f>
        <v>-1305.442103</v>
      </c>
    </row>
    <row r="1197" ht="14.25" customHeight="1">
      <c r="A1197" s="7">
        <v>1184.0</v>
      </c>
      <c r="B1197" s="14">
        <f t="shared" si="1"/>
        <v>0.1192213069</v>
      </c>
      <c r="C1197" s="39">
        <f t="array" ref="C1197">NPV(B1197,FCFF!$C$9:$I$9)+FCFF!$B$9+FCFF!$I$9*(1+Inputs!$B$6)/(B1197-Inputs!$B$6)/(1+B1197)^7</f>
        <v>-1808.49469</v>
      </c>
    </row>
    <row r="1198" ht="14.25" customHeight="1">
      <c r="A1198" s="7">
        <v>1185.0</v>
      </c>
      <c r="B1198" s="14">
        <f t="shared" si="1"/>
        <v>0.09663793147</v>
      </c>
      <c r="C1198" s="39">
        <f t="array" ref="C1198">NPV(B1198,FCFF!$C$9:$I$9)+FCFF!$B$9+FCFF!$I$9*(1+Inputs!$B$6)/(B1198-Inputs!$B$6)/(1+B1198)^7</f>
        <v>-1283.681334</v>
      </c>
    </row>
    <row r="1199" ht="14.25" customHeight="1">
      <c r="A1199" s="7">
        <v>1186.0</v>
      </c>
      <c r="B1199" s="14">
        <f t="shared" si="1"/>
        <v>0.1082141657</v>
      </c>
      <c r="C1199" s="39">
        <f t="array" ref="C1199">NPV(B1199,FCFF!$C$9:$I$9)+FCFF!$B$9+FCFF!$I$9*(1+Inputs!$B$6)/(B1199-Inputs!$B$6)/(1+B1199)^7</f>
        <v>-1591.533781</v>
      </c>
    </row>
    <row r="1200" ht="14.25" customHeight="1">
      <c r="A1200" s="7">
        <v>1187.0</v>
      </c>
      <c r="B1200" s="14">
        <f t="shared" si="1"/>
        <v>0.1182445432</v>
      </c>
      <c r="C1200" s="39">
        <f t="array" ref="C1200">NPV(B1200,FCFF!$C$9:$I$9)+FCFF!$B$9+FCFF!$I$9*(1+Inputs!$B$6)/(B1200-Inputs!$B$6)/(1+B1200)^7</f>
        <v>-1791.526819</v>
      </c>
    </row>
    <row r="1201" ht="14.25" customHeight="1">
      <c r="A1201" s="7">
        <v>1188.0</v>
      </c>
      <c r="B1201" s="14">
        <f t="shared" si="1"/>
        <v>0.1005713408</v>
      </c>
      <c r="C1201" s="39">
        <f t="array" ref="C1201">NPV(B1201,FCFF!$C$9:$I$9)+FCFF!$B$9+FCFF!$I$9*(1+Inputs!$B$6)/(B1201-Inputs!$B$6)/(1+B1201)^7</f>
        <v>-1399.737377</v>
      </c>
    </row>
    <row r="1202" ht="14.25" customHeight="1">
      <c r="A1202" s="7">
        <v>1189.0</v>
      </c>
      <c r="B1202" s="14">
        <f t="shared" si="1"/>
        <v>0.09577608323</v>
      </c>
      <c r="C1202" s="39">
        <f t="array" ref="C1202">NPV(B1202,FCFF!$C$9:$I$9)+FCFF!$B$9+FCFF!$I$9*(1+Inputs!$B$6)/(B1202-Inputs!$B$6)/(1+B1202)^7</f>
        <v>-1256.398084</v>
      </c>
    </row>
    <row r="1203" ht="14.25" customHeight="1">
      <c r="A1203" s="7">
        <v>1190.0</v>
      </c>
      <c r="B1203" s="14">
        <f t="shared" si="1"/>
        <v>0.1189285335</v>
      </c>
      <c r="C1203" s="39">
        <f t="array" ref="C1203">NPV(B1203,FCFF!$C$9:$I$9)+FCFF!$B$9+FCFF!$I$9*(1+Inputs!$B$6)/(B1203-Inputs!$B$6)/(1+B1203)^7</f>
        <v>-1803.450062</v>
      </c>
    </row>
    <row r="1204" ht="14.25" customHeight="1">
      <c r="A1204" s="7">
        <v>1191.0</v>
      </c>
      <c r="B1204" s="14">
        <f t="shared" si="1"/>
        <v>0.1303571481</v>
      </c>
      <c r="C1204" s="39">
        <f t="array" ref="C1204">NPV(B1204,FCFF!$C$9:$I$9)+FCFF!$B$9+FCFF!$I$9*(1+Inputs!$B$6)/(B1204-Inputs!$B$6)/(1+B1204)^7</f>
        <v>-1977.199056</v>
      </c>
    </row>
    <row r="1205" ht="14.25" customHeight="1">
      <c r="A1205" s="7">
        <v>1192.0</v>
      </c>
      <c r="B1205" s="14">
        <f t="shared" si="1"/>
        <v>0.1176770329</v>
      </c>
      <c r="C1205" s="39">
        <f t="array" ref="C1205">NPV(B1205,FCFF!$C$9:$I$9)+FCFF!$B$9+FCFF!$I$9*(1+Inputs!$B$6)/(B1205-Inputs!$B$6)/(1+B1205)^7</f>
        <v>-1781.48511</v>
      </c>
    </row>
    <row r="1206" ht="14.25" customHeight="1">
      <c r="A1206" s="7">
        <v>1193.0</v>
      </c>
      <c r="B1206" s="14">
        <f t="shared" si="1"/>
        <v>0.1285493036</v>
      </c>
      <c r="C1206" s="39">
        <f t="array" ref="C1206">NPV(B1206,FCFF!$C$9:$I$9)+FCFF!$B$9+FCFF!$I$9*(1+Inputs!$B$6)/(B1206-Inputs!$B$6)/(1+B1206)^7</f>
        <v>-1952.590272</v>
      </c>
    </row>
    <row r="1207" ht="14.25" customHeight="1">
      <c r="A1207" s="7">
        <v>1194.0</v>
      </c>
      <c r="B1207" s="14">
        <f t="shared" si="1"/>
        <v>0.1113888543</v>
      </c>
      <c r="C1207" s="39">
        <f t="array" ref="C1207">NPV(B1207,FCFF!$C$9:$I$9)+FCFF!$B$9+FCFF!$I$9*(1+Inputs!$B$6)/(B1207-Inputs!$B$6)/(1+B1207)^7</f>
        <v>-1660.377068</v>
      </c>
    </row>
    <row r="1208" ht="14.25" customHeight="1">
      <c r="A1208" s="7">
        <v>1195.0</v>
      </c>
      <c r="B1208" s="14">
        <f t="shared" si="1"/>
        <v>0.1052582729</v>
      </c>
      <c r="C1208" s="39">
        <f t="array" ref="C1208">NPV(B1208,FCFF!$C$9:$I$9)+FCFF!$B$9+FCFF!$I$9*(1+Inputs!$B$6)/(B1208-Inputs!$B$6)/(1+B1208)^7</f>
        <v>-1522.060726</v>
      </c>
    </row>
    <row r="1209" ht="14.25" customHeight="1">
      <c r="A1209" s="7">
        <v>1196.0</v>
      </c>
      <c r="B1209" s="14">
        <f t="shared" si="1"/>
        <v>0.1042755225</v>
      </c>
      <c r="C1209" s="39">
        <f t="array" ref="C1209">NPV(B1209,FCFF!$C$9:$I$9)+FCFF!$B$9+FCFF!$I$9*(1+Inputs!$B$6)/(B1209-Inputs!$B$6)/(1+B1209)^7</f>
        <v>-1497.710544</v>
      </c>
    </row>
    <row r="1210" ht="14.25" customHeight="1">
      <c r="A1210" s="7">
        <v>1197.0</v>
      </c>
      <c r="B1210" s="14">
        <f t="shared" si="1"/>
        <v>0.1000748436</v>
      </c>
      <c r="C1210" s="39">
        <f t="array" ref="C1210">NPV(B1210,FCFF!$C$9:$I$9)+FCFF!$B$9+FCFF!$I$9*(1+Inputs!$B$6)/(B1210-Inputs!$B$6)/(1+B1210)^7</f>
        <v>-1385.809484</v>
      </c>
    </row>
    <row r="1211" ht="14.25" customHeight="1">
      <c r="A1211" s="7">
        <v>1198.0</v>
      </c>
      <c r="B1211" s="14">
        <f t="shared" si="1"/>
        <v>0.1092396767</v>
      </c>
      <c r="C1211" s="39">
        <f t="array" ref="C1211">NPV(B1211,FCFF!$C$9:$I$9)+FCFF!$B$9+FCFF!$I$9*(1+Inputs!$B$6)/(B1211-Inputs!$B$6)/(1+B1211)^7</f>
        <v>-1614.394387</v>
      </c>
    </row>
    <row r="1212" ht="14.25" customHeight="1">
      <c r="A1212" s="7">
        <v>1199.0</v>
      </c>
      <c r="B1212" s="14">
        <f t="shared" si="1"/>
        <v>0.09721149452</v>
      </c>
      <c r="C1212" s="39">
        <f t="array" ref="C1212">NPV(B1212,FCFF!$C$9:$I$9)+FCFF!$B$9+FCFF!$I$9*(1+Inputs!$B$6)/(B1212-Inputs!$B$6)/(1+B1212)^7</f>
        <v>-1301.451696</v>
      </c>
    </row>
    <row r="1213" ht="14.25" customHeight="1">
      <c r="A1213" s="7">
        <v>1200.0</v>
      </c>
      <c r="B1213" s="14">
        <f t="shared" si="1"/>
        <v>0.09830206014</v>
      </c>
      <c r="C1213" s="39">
        <f t="array" ref="C1213">NPV(B1213,FCFF!$C$9:$I$9)+FCFF!$B$9+FCFF!$I$9*(1+Inputs!$B$6)/(B1213-Inputs!$B$6)/(1+B1213)^7</f>
        <v>-1334.417179</v>
      </c>
    </row>
    <row r="1214" ht="14.25" customHeight="1">
      <c r="A1214" s="7">
        <v>1201.0</v>
      </c>
      <c r="B1214" s="14">
        <f t="shared" si="1"/>
        <v>0.1196089286</v>
      </c>
      <c r="C1214" s="39">
        <f t="array" ref="C1214">NPV(B1214,FCFF!$C$9:$I$9)+FCFF!$B$9+FCFF!$I$9*(1+Inputs!$B$6)/(B1214-Inputs!$B$6)/(1+B1214)^7</f>
        <v>-1815.120017</v>
      </c>
    </row>
    <row r="1215" ht="14.25" customHeight="1">
      <c r="A1215" s="7">
        <v>1202.0</v>
      </c>
      <c r="B1215" s="14">
        <f t="shared" si="1"/>
        <v>0.1245392974</v>
      </c>
      <c r="C1215" s="39">
        <f t="array" ref="C1215">NPV(B1215,FCFF!$C$9:$I$9)+FCFF!$B$9+FCFF!$I$9*(1+Inputs!$B$6)/(B1215-Inputs!$B$6)/(1+B1215)^7</f>
        <v>-1894.369818</v>
      </c>
    </row>
    <row r="1216" ht="14.25" customHeight="1">
      <c r="A1216" s="7">
        <v>1203.0</v>
      </c>
      <c r="B1216" s="14">
        <f t="shared" si="1"/>
        <v>0.1180352122</v>
      </c>
      <c r="C1216" s="39">
        <f t="array" ref="C1216">NPV(B1216,FCFF!$C$9:$I$9)+FCFF!$B$9+FCFF!$I$9*(1+Inputs!$B$6)/(B1216-Inputs!$B$6)/(1+B1216)^7</f>
        <v>-1787.838725</v>
      </c>
    </row>
    <row r="1217" ht="14.25" customHeight="1">
      <c r="A1217" s="7">
        <v>1204.0</v>
      </c>
      <c r="B1217" s="14">
        <f t="shared" si="1"/>
        <v>0.1280953719</v>
      </c>
      <c r="C1217" s="39">
        <f t="array" ref="C1217">NPV(B1217,FCFF!$C$9:$I$9)+FCFF!$B$9+FCFF!$I$9*(1+Inputs!$B$6)/(B1217-Inputs!$B$6)/(1+B1217)^7</f>
        <v>-1946.256909</v>
      </c>
    </row>
    <row r="1218" ht="14.25" customHeight="1">
      <c r="A1218" s="7">
        <v>1205.0</v>
      </c>
      <c r="B1218" s="14">
        <f t="shared" si="1"/>
        <v>0.09534306211</v>
      </c>
      <c r="C1218" s="39">
        <f t="array" ref="C1218">NPV(B1218,FCFF!$C$9:$I$9)+FCFF!$B$9+FCFF!$I$9*(1+Inputs!$B$6)/(B1218-Inputs!$B$6)/(1+B1218)^7</f>
        <v>-1242.419627</v>
      </c>
    </row>
    <row r="1219" ht="14.25" customHeight="1">
      <c r="A1219" s="7">
        <v>1206.0</v>
      </c>
      <c r="B1219" s="14">
        <f t="shared" si="1"/>
        <v>0.1274022572</v>
      </c>
      <c r="C1219" s="39">
        <f t="array" ref="C1219">NPV(B1219,FCFF!$C$9:$I$9)+FCFF!$B$9+FCFF!$I$9*(1+Inputs!$B$6)/(B1219-Inputs!$B$6)/(1+B1219)^7</f>
        <v>-1936.463363</v>
      </c>
    </row>
    <row r="1220" ht="14.25" customHeight="1">
      <c r="A1220" s="7">
        <v>1207.0</v>
      </c>
      <c r="B1220" s="14">
        <f t="shared" si="1"/>
        <v>0.1318706658</v>
      </c>
      <c r="C1220" s="39">
        <f t="array" ref="C1220">NPV(B1220,FCFF!$C$9:$I$9)+FCFF!$B$9+FCFF!$I$9*(1+Inputs!$B$6)/(B1220-Inputs!$B$6)/(1+B1220)^7</f>
        <v>-1997.073008</v>
      </c>
    </row>
    <row r="1221" ht="14.25" customHeight="1">
      <c r="A1221" s="7">
        <v>1208.0</v>
      </c>
      <c r="B1221" s="14">
        <f t="shared" si="1"/>
        <v>0.1066580254</v>
      </c>
      <c r="C1221" s="39">
        <f t="array" ref="C1221">NPV(B1221,FCFF!$C$9:$I$9)+FCFF!$B$9+FCFF!$I$9*(1+Inputs!$B$6)/(B1221-Inputs!$B$6)/(1+B1221)^7</f>
        <v>-1555.643381</v>
      </c>
    </row>
    <row r="1222" ht="14.25" customHeight="1">
      <c r="A1222" s="7">
        <v>1209.0</v>
      </c>
      <c r="B1222" s="14">
        <f t="shared" si="1"/>
        <v>0.1157761329</v>
      </c>
      <c r="C1222" s="39">
        <f t="array" ref="C1222">NPV(B1222,FCFF!$C$9:$I$9)+FCFF!$B$9+FCFF!$I$9*(1+Inputs!$B$6)/(B1222-Inputs!$B$6)/(1+B1222)^7</f>
        <v>-1746.831273</v>
      </c>
    </row>
    <row r="1223" ht="14.25" customHeight="1">
      <c r="A1223" s="7">
        <v>1210.0</v>
      </c>
      <c r="B1223" s="14">
        <f t="shared" si="1"/>
        <v>0.1201842788</v>
      </c>
      <c r="C1223" s="39">
        <f t="array" ref="C1223">NPV(B1223,FCFF!$C$9:$I$9)+FCFF!$B$9+FCFF!$I$9*(1+Inputs!$B$6)/(B1223-Inputs!$B$6)/(1+B1223)^7</f>
        <v>-1824.842994</v>
      </c>
    </row>
    <row r="1224" ht="14.25" customHeight="1">
      <c r="A1224" s="7">
        <v>1211.0</v>
      </c>
      <c r="B1224" s="14">
        <f t="shared" si="1"/>
        <v>0.09551807206</v>
      </c>
      <c r="C1224" s="39">
        <f t="array" ref="C1224">NPV(B1224,FCFF!$C$9:$I$9)+FCFF!$B$9+FCFF!$I$9*(1+Inputs!$B$6)/(B1224-Inputs!$B$6)/(1+B1224)^7</f>
        <v>-1248.091293</v>
      </c>
    </row>
    <row r="1225" ht="14.25" customHeight="1">
      <c r="A1225" s="7">
        <v>1212.0</v>
      </c>
      <c r="B1225" s="14">
        <f t="shared" si="1"/>
        <v>0.1249642251</v>
      </c>
      <c r="C1225" s="39">
        <f t="array" ref="C1225">NPV(B1225,FCFF!$C$9:$I$9)+FCFF!$B$9+FCFF!$I$9*(1+Inputs!$B$6)/(B1225-Inputs!$B$6)/(1+B1225)^7</f>
        <v>-1900.789736</v>
      </c>
    </row>
    <row r="1226" ht="14.25" customHeight="1">
      <c r="A1226" s="7">
        <v>1213.0</v>
      </c>
      <c r="B1226" s="14">
        <f t="shared" si="1"/>
        <v>0.132492674</v>
      </c>
      <c r="C1226" s="39">
        <f t="array" ref="C1226">NPV(B1226,FCFF!$C$9:$I$9)+FCFF!$B$9+FCFF!$I$9*(1+Inputs!$B$6)/(B1226-Inputs!$B$6)/(1+B1226)^7</f>
        <v>-2005.055337</v>
      </c>
    </row>
    <row r="1227" ht="14.25" customHeight="1">
      <c r="A1227" s="7">
        <v>1214.0</v>
      </c>
      <c r="B1227" s="14">
        <f t="shared" si="1"/>
        <v>0.0990184504</v>
      </c>
      <c r="C1227" s="39">
        <f t="array" ref="C1227">NPV(B1227,FCFF!$C$9:$I$9)+FCFF!$B$9+FCFF!$I$9*(1+Inputs!$B$6)/(B1227-Inputs!$B$6)/(1+B1227)^7</f>
        <v>-1355.504263</v>
      </c>
    </row>
    <row r="1228" ht="14.25" customHeight="1">
      <c r="A1228" s="7">
        <v>1215.0</v>
      </c>
      <c r="B1228" s="14">
        <f t="shared" si="1"/>
        <v>0.1098938652</v>
      </c>
      <c r="C1228" s="39">
        <f t="array" ref="C1228">NPV(B1228,FCFF!$C$9:$I$9)+FCFF!$B$9+FCFF!$I$9*(1+Inputs!$B$6)/(B1228-Inputs!$B$6)/(1+B1228)^7</f>
        <v>-1628.661682</v>
      </c>
    </row>
    <row r="1229" ht="14.25" customHeight="1">
      <c r="A1229" s="7">
        <v>1216.0</v>
      </c>
      <c r="B1229" s="14">
        <f t="shared" si="1"/>
        <v>0.1230027845</v>
      </c>
      <c r="C1229" s="39">
        <f t="array" ref="C1229">NPV(B1229,FCFF!$C$9:$I$9)+FCFF!$B$9+FCFF!$I$9*(1+Inputs!$B$6)/(B1229-Inputs!$B$6)/(1+B1229)^7</f>
        <v>-1870.631599</v>
      </c>
    </row>
    <row r="1230" ht="14.25" customHeight="1">
      <c r="A1230" s="7">
        <v>1217.0</v>
      </c>
      <c r="B1230" s="14">
        <f t="shared" si="1"/>
        <v>0.1071853768</v>
      </c>
      <c r="C1230" s="39">
        <f t="array" ref="C1230">NPV(B1230,FCFF!$C$9:$I$9)+FCFF!$B$9+FCFF!$I$9*(1+Inputs!$B$6)/(B1230-Inputs!$B$6)/(1+B1230)^7</f>
        <v>-1567.972375</v>
      </c>
    </row>
    <row r="1231" ht="14.25" customHeight="1">
      <c r="A1231" s="7">
        <v>1218.0</v>
      </c>
      <c r="B1231" s="14">
        <f t="shared" si="1"/>
        <v>0.1063318469</v>
      </c>
      <c r="C1231" s="39">
        <f t="array" ref="C1231">NPV(B1231,FCFF!$C$9:$I$9)+FCFF!$B$9+FCFF!$I$9*(1+Inputs!$B$6)/(B1231-Inputs!$B$6)/(1+B1231)^7</f>
        <v>-1547.930284</v>
      </c>
    </row>
    <row r="1232" ht="14.25" customHeight="1">
      <c r="A1232" s="7">
        <v>1219.0</v>
      </c>
      <c r="B1232" s="14">
        <f t="shared" si="1"/>
        <v>0.1142948265</v>
      </c>
      <c r="C1232" s="39">
        <f t="array" ref="C1232">NPV(B1232,FCFF!$C$9:$I$9)+FCFF!$B$9+FCFF!$I$9*(1+Inputs!$B$6)/(B1232-Inputs!$B$6)/(1+B1232)^7</f>
        <v>-1718.690059</v>
      </c>
    </row>
    <row r="1233" ht="14.25" customHeight="1">
      <c r="A1233" s="7">
        <v>1220.0</v>
      </c>
      <c r="B1233" s="14">
        <f t="shared" si="1"/>
        <v>0.1011883347</v>
      </c>
      <c r="C1233" s="39">
        <f t="array" ref="C1233">NPV(B1233,FCFF!$C$9:$I$9)+FCFF!$B$9+FCFF!$I$9*(1+Inputs!$B$6)/(B1233-Inputs!$B$6)/(1+B1233)^7</f>
        <v>-1416.772582</v>
      </c>
    </row>
    <row r="1234" ht="14.25" customHeight="1">
      <c r="A1234" s="7">
        <v>1221.0</v>
      </c>
      <c r="B1234" s="14">
        <f t="shared" si="1"/>
        <v>0.1200178307</v>
      </c>
      <c r="C1234" s="39">
        <f t="array" ref="C1234">NPV(B1234,FCFF!$C$9:$I$9)+FCFF!$B$9+FCFF!$I$9*(1+Inputs!$B$6)/(B1234-Inputs!$B$6)/(1+B1234)^7</f>
        <v>-1822.043674</v>
      </c>
    </row>
    <row r="1235" ht="14.25" customHeight="1">
      <c r="A1235" s="7">
        <v>1222.0</v>
      </c>
      <c r="B1235" s="14">
        <f t="shared" si="1"/>
        <v>0.09504200632</v>
      </c>
      <c r="C1235" s="39">
        <f t="array" ref="C1235">NPV(B1235,FCFF!$C$9:$I$9)+FCFF!$B$9+FCFF!$I$9*(1+Inputs!$B$6)/(B1235-Inputs!$B$6)/(1+B1235)^7</f>
        <v>-1232.592128</v>
      </c>
    </row>
    <row r="1236" ht="14.25" customHeight="1">
      <c r="A1236" s="7">
        <v>1223.0</v>
      </c>
      <c r="B1236" s="14">
        <f t="shared" si="1"/>
        <v>0.1075377164</v>
      </c>
      <c r="C1236" s="39">
        <f t="array" ref="C1236">NPV(B1236,FCFF!$C$9:$I$9)+FCFF!$B$9+FCFF!$I$9*(1+Inputs!$B$6)/(B1236-Inputs!$B$6)/(1+B1236)^7</f>
        <v>-1576.113954</v>
      </c>
    </row>
    <row r="1237" ht="14.25" customHeight="1">
      <c r="A1237" s="7">
        <v>1224.0</v>
      </c>
      <c r="B1237" s="14">
        <f t="shared" si="1"/>
        <v>0.09496913011</v>
      </c>
      <c r="C1237" s="39">
        <f t="array" ref="C1237">NPV(B1237,FCFF!$C$9:$I$9)+FCFF!$B$9+FCFF!$I$9*(1+Inputs!$B$6)/(B1237-Inputs!$B$6)/(1+B1237)^7</f>
        <v>-1230.199594</v>
      </c>
    </row>
    <row r="1238" ht="14.25" customHeight="1">
      <c r="A1238" s="7">
        <v>1225.0</v>
      </c>
      <c r="B1238" s="14">
        <f t="shared" si="1"/>
        <v>0.1169312404</v>
      </c>
      <c r="C1238" s="39">
        <f t="array" ref="C1238">NPV(B1238,FCFF!$C$9:$I$9)+FCFF!$B$9+FCFF!$I$9*(1+Inputs!$B$6)/(B1238-Inputs!$B$6)/(1+B1238)^7</f>
        <v>-1768.078892</v>
      </c>
    </row>
    <row r="1239" ht="14.25" customHeight="1">
      <c r="A1239" s="7">
        <v>1226.0</v>
      </c>
      <c r="B1239" s="14">
        <f t="shared" si="1"/>
        <v>0.09845308112</v>
      </c>
      <c r="C1239" s="39">
        <f t="array" ref="C1239">NPV(B1239,FCFF!$C$9:$I$9)+FCFF!$B$9+FCFF!$I$9*(1+Inputs!$B$6)/(B1239-Inputs!$B$6)/(1+B1239)^7</f>
        <v>-1338.899327</v>
      </c>
    </row>
    <row r="1240" ht="14.25" customHeight="1">
      <c r="A1240" s="7">
        <v>1227.0</v>
      </c>
      <c r="B1240" s="14">
        <f t="shared" si="1"/>
        <v>0.09867580701</v>
      </c>
      <c r="C1240" s="39">
        <f t="array" ref="C1240">NPV(B1240,FCFF!$C$9:$I$9)+FCFF!$B$9+FCFF!$I$9*(1+Inputs!$B$6)/(B1240-Inputs!$B$6)/(1+B1240)^7</f>
        <v>-1345.473541</v>
      </c>
    </row>
    <row r="1241" ht="14.25" customHeight="1">
      <c r="A1241" s="7">
        <v>1228.0</v>
      </c>
      <c r="B1241" s="14">
        <f t="shared" si="1"/>
        <v>0.1119051389</v>
      </c>
      <c r="C1241" s="39">
        <f t="array" ref="C1241">NPV(B1241,FCFF!$C$9:$I$9)+FCFF!$B$9+FCFF!$I$9*(1+Inputs!$B$6)/(B1241-Inputs!$B$6)/(1+B1241)^7</f>
        <v>-1671.051377</v>
      </c>
    </row>
    <row r="1242" ht="14.25" customHeight="1">
      <c r="A1242" s="7">
        <v>1229.0</v>
      </c>
      <c r="B1242" s="14">
        <f t="shared" si="1"/>
        <v>0.1202566848</v>
      </c>
      <c r="C1242" s="39">
        <f t="array" ref="C1242">NPV(B1242,FCFF!$C$9:$I$9)+FCFF!$B$9+FCFF!$I$9*(1+Inputs!$B$6)/(B1242-Inputs!$B$6)/(1+B1242)^7</f>
        <v>-1826.057303</v>
      </c>
    </row>
    <row r="1243" ht="14.25" customHeight="1">
      <c r="A1243" s="7">
        <v>1230.0</v>
      </c>
      <c r="B1243" s="14">
        <f t="shared" si="1"/>
        <v>0.1094417108</v>
      </c>
      <c r="C1243" s="39">
        <f t="array" ref="C1243">NPV(B1243,FCFF!$C$9:$I$9)+FCFF!$B$9+FCFF!$I$9*(1+Inputs!$B$6)/(B1243-Inputs!$B$6)/(1+B1243)^7</f>
        <v>-1618.826448</v>
      </c>
    </row>
    <row r="1244" ht="14.25" customHeight="1">
      <c r="A1244" s="7">
        <v>1231.0</v>
      </c>
      <c r="B1244" s="14">
        <f t="shared" si="1"/>
        <v>0.1148765708</v>
      </c>
      <c r="C1244" s="39">
        <f t="array" ref="C1244">NPV(B1244,FCFF!$C$9:$I$9)+FCFF!$B$9+FCFF!$I$9*(1+Inputs!$B$6)/(B1244-Inputs!$B$6)/(1+B1244)^7</f>
        <v>-1729.864272</v>
      </c>
    </row>
    <row r="1245" ht="14.25" customHeight="1">
      <c r="A1245" s="7">
        <v>1232.0</v>
      </c>
      <c r="B1245" s="14">
        <f t="shared" si="1"/>
        <v>0.1231854089</v>
      </c>
      <c r="C1245" s="39">
        <f t="array" ref="C1245">NPV(B1245,FCFF!$C$9:$I$9)+FCFF!$B$9+FCFF!$I$9*(1+Inputs!$B$6)/(B1245-Inputs!$B$6)/(1+B1245)^7</f>
        <v>-1873.496838</v>
      </c>
    </row>
    <row r="1246" ht="14.25" customHeight="1">
      <c r="A1246" s="7">
        <v>1233.0</v>
      </c>
      <c r="B1246" s="14">
        <f t="shared" si="1"/>
        <v>0.120002325</v>
      </c>
      <c r="C1246" s="39">
        <f t="array" ref="C1246">NPV(B1246,FCFF!$C$9:$I$9)+FCFF!$B$9+FCFF!$I$9*(1+Inputs!$B$6)/(B1246-Inputs!$B$6)/(1+B1246)^7</f>
        <v>-1821.782342</v>
      </c>
    </row>
    <row r="1247" ht="14.25" customHeight="1">
      <c r="A1247" s="7">
        <v>1234.0</v>
      </c>
      <c r="B1247" s="14">
        <f t="shared" si="1"/>
        <v>0.1183430566</v>
      </c>
      <c r="C1247" s="39">
        <f t="array" ref="C1247">NPV(B1247,FCFF!$C$9:$I$9)+FCFF!$B$9+FCFF!$I$9*(1+Inputs!$B$6)/(B1247-Inputs!$B$6)/(1+B1247)^7</f>
        <v>-1793.256099</v>
      </c>
    </row>
    <row r="1248" ht="14.25" customHeight="1">
      <c r="A1248" s="7">
        <v>1235.0</v>
      </c>
      <c r="B1248" s="14">
        <f t="shared" si="1"/>
        <v>0.1051775353</v>
      </c>
      <c r="C1248" s="39">
        <f t="array" ref="C1248">NPV(B1248,FCFF!$C$9:$I$9)+FCFF!$B$9+FCFF!$I$9*(1+Inputs!$B$6)/(B1248-Inputs!$B$6)/(1+B1248)^7</f>
        <v>-1520.084708</v>
      </c>
    </row>
    <row r="1249" ht="14.25" customHeight="1">
      <c r="A1249" s="7">
        <v>1236.0</v>
      </c>
      <c r="B1249" s="14">
        <f t="shared" si="1"/>
        <v>0.1304990282</v>
      </c>
      <c r="C1249" s="39">
        <f t="array" ref="C1249">NPV(B1249,FCFF!$C$9:$I$9)+FCFF!$B$9+FCFF!$I$9*(1+Inputs!$B$6)/(B1249-Inputs!$B$6)/(1+B1249)^7</f>
        <v>-1979.089745</v>
      </c>
    </row>
    <row r="1250" ht="14.25" customHeight="1">
      <c r="A1250" s="7">
        <v>1237.0</v>
      </c>
      <c r="B1250" s="14">
        <f t="shared" si="1"/>
        <v>0.1024427276</v>
      </c>
      <c r="C1250" s="39">
        <f t="array" ref="C1250">NPV(B1250,FCFF!$C$9:$I$9)+FCFF!$B$9+FCFF!$I$9*(1+Inputs!$B$6)/(B1250-Inputs!$B$6)/(1+B1250)^7</f>
        <v>-1450.502703</v>
      </c>
    </row>
    <row r="1251" ht="14.25" customHeight="1">
      <c r="A1251" s="7">
        <v>1238.0</v>
      </c>
      <c r="B1251" s="14">
        <f t="shared" si="1"/>
        <v>0.1010176749</v>
      </c>
      <c r="C1251" s="39">
        <f t="array" ref="C1251">NPV(B1251,FCFF!$C$9:$I$9)+FCFF!$B$9+FCFF!$I$9*(1+Inputs!$B$6)/(B1251-Inputs!$B$6)/(1+B1251)^7</f>
        <v>-1412.090541</v>
      </c>
    </row>
    <row r="1252" ht="14.25" customHeight="1">
      <c r="A1252" s="7">
        <v>1239.0</v>
      </c>
      <c r="B1252" s="14">
        <f t="shared" si="1"/>
        <v>0.1162201809</v>
      </c>
      <c r="C1252" s="39">
        <f t="array" ref="C1252">NPV(B1252,FCFF!$C$9:$I$9)+FCFF!$B$9+FCFF!$I$9*(1+Inputs!$B$6)/(B1252-Inputs!$B$6)/(1+B1252)^7</f>
        <v>-1755.069988</v>
      </c>
    </row>
    <row r="1253" ht="14.25" customHeight="1">
      <c r="A1253" s="7">
        <v>1240.0</v>
      </c>
      <c r="B1253" s="14">
        <f t="shared" si="1"/>
        <v>0.09436927407</v>
      </c>
      <c r="C1253" s="39">
        <f t="array" ref="C1253">NPV(B1253,FCFF!$C$9:$I$9)+FCFF!$B$9+FCFF!$I$9*(1+Inputs!$B$6)/(B1253-Inputs!$B$6)/(1+B1253)^7</f>
        <v>-1210.301973</v>
      </c>
    </row>
    <row r="1254" ht="14.25" customHeight="1">
      <c r="A1254" s="7">
        <v>1241.0</v>
      </c>
      <c r="B1254" s="14">
        <f t="shared" si="1"/>
        <v>0.1181453413</v>
      </c>
      <c r="C1254" s="39">
        <f t="array" ref="C1254">NPV(B1254,FCFF!$C$9:$I$9)+FCFF!$B$9+FCFF!$I$9*(1+Inputs!$B$6)/(B1254-Inputs!$B$6)/(1+B1254)^7</f>
        <v>-1789.781332</v>
      </c>
    </row>
    <row r="1255" ht="14.25" customHeight="1">
      <c r="A1255" s="7">
        <v>1242.0</v>
      </c>
      <c r="B1255" s="14">
        <f t="shared" si="1"/>
        <v>0.1069002773</v>
      </c>
      <c r="C1255" s="39">
        <f t="array" ref="C1255">NPV(B1255,FCFF!$C$9:$I$9)+FCFF!$B$9+FCFF!$I$9*(1+Inputs!$B$6)/(B1255-Inputs!$B$6)/(1+B1255)^7</f>
        <v>-1561.328525</v>
      </c>
    </row>
    <row r="1256" ht="14.25" customHeight="1">
      <c r="A1256" s="7">
        <v>1243.0</v>
      </c>
      <c r="B1256" s="14">
        <f t="shared" si="1"/>
        <v>0.1196945431</v>
      </c>
      <c r="C1256" s="39">
        <f t="array" ref="C1256">NPV(B1256,FCFF!$C$9:$I$9)+FCFF!$B$9+FCFF!$I$9*(1+Inputs!$B$6)/(B1256-Inputs!$B$6)/(1+B1256)^7</f>
        <v>-1816.575197</v>
      </c>
    </row>
    <row r="1257" ht="14.25" customHeight="1">
      <c r="A1257" s="7">
        <v>1244.0</v>
      </c>
      <c r="B1257" s="14">
        <f t="shared" si="1"/>
        <v>0.1115059061</v>
      </c>
      <c r="C1257" s="39">
        <f t="array" ref="C1257">NPV(B1257,FCFF!$C$9:$I$9)+FCFF!$B$9+FCFF!$I$9*(1+Inputs!$B$6)/(B1257-Inputs!$B$6)/(1+B1257)^7</f>
        <v>-1662.809435</v>
      </c>
    </row>
    <row r="1258" ht="14.25" customHeight="1">
      <c r="A1258" s="7">
        <v>1245.0</v>
      </c>
      <c r="B1258" s="14">
        <f t="shared" si="1"/>
        <v>0.1033269312</v>
      </c>
      <c r="C1258" s="39">
        <f t="array" ref="C1258">NPV(B1258,FCFF!$C$9:$I$9)+FCFF!$B$9+FCFF!$I$9*(1+Inputs!$B$6)/(B1258-Inputs!$B$6)/(1+B1258)^7</f>
        <v>-1473.576534</v>
      </c>
    </row>
    <row r="1259" ht="14.25" customHeight="1">
      <c r="A1259" s="7">
        <v>1246.0</v>
      </c>
      <c r="B1259" s="14">
        <f t="shared" si="1"/>
        <v>0.1314017106</v>
      </c>
      <c r="C1259" s="39">
        <f t="array" ref="C1259">NPV(B1259,FCFF!$C$9:$I$9)+FCFF!$B$9+FCFF!$I$9*(1+Inputs!$B$6)/(B1259-Inputs!$B$6)/(1+B1259)^7</f>
        <v>-1990.984204</v>
      </c>
    </row>
    <row r="1260" ht="14.25" customHeight="1">
      <c r="A1260" s="7">
        <v>1247.0</v>
      </c>
      <c r="B1260" s="14">
        <f t="shared" si="1"/>
        <v>0.1011099816</v>
      </c>
      <c r="C1260" s="39">
        <f t="array" ref="C1260">NPV(B1260,FCFF!$C$9:$I$9)+FCFF!$B$9+FCFF!$I$9*(1+Inputs!$B$6)/(B1260-Inputs!$B$6)/(1+B1260)^7</f>
        <v>-1414.625785</v>
      </c>
    </row>
    <row r="1261" ht="14.25" customHeight="1">
      <c r="A1261" s="7">
        <v>1248.0</v>
      </c>
      <c r="B1261" s="14">
        <f t="shared" si="1"/>
        <v>0.10642584</v>
      </c>
      <c r="C1261" s="39">
        <f t="array" ref="C1261">NPV(B1261,FCFF!$C$9:$I$9)+FCFF!$B$9+FCFF!$I$9*(1+Inputs!$B$6)/(B1261-Inputs!$B$6)/(1+B1261)^7</f>
        <v>-1550.159836</v>
      </c>
    </row>
    <row r="1262" ht="14.25" customHeight="1">
      <c r="A1262" s="7">
        <v>1249.0</v>
      </c>
      <c r="B1262" s="14">
        <f t="shared" si="1"/>
        <v>0.1064406134</v>
      </c>
      <c r="C1262" s="39">
        <f t="array" ref="C1262">NPV(B1262,FCFF!$C$9:$I$9)+FCFF!$B$9+FCFF!$I$9*(1+Inputs!$B$6)/(B1262-Inputs!$B$6)/(1+B1262)^7</f>
        <v>-1550.509758</v>
      </c>
    </row>
    <row r="1263" ht="14.25" customHeight="1">
      <c r="A1263" s="7">
        <v>1250.0</v>
      </c>
      <c r="B1263" s="14">
        <f t="shared" si="1"/>
        <v>0.1278558025</v>
      </c>
      <c r="C1263" s="39">
        <f t="array" ref="C1263">NPV(B1263,FCFF!$C$9:$I$9)+FCFF!$B$9+FCFF!$I$9*(1+Inputs!$B$6)/(B1263-Inputs!$B$6)/(1+B1263)^7</f>
        <v>-1942.888783</v>
      </c>
    </row>
    <row r="1264" ht="14.25" customHeight="1">
      <c r="A1264" s="7">
        <v>1251.0</v>
      </c>
      <c r="B1264" s="14">
        <f t="shared" si="1"/>
        <v>0.1156404357</v>
      </c>
      <c r="C1264" s="39">
        <f t="array" ref="C1264">NPV(B1264,FCFF!$C$9:$I$9)+FCFF!$B$9+FCFF!$I$9*(1+Inputs!$B$6)/(B1264-Inputs!$B$6)/(1+B1264)^7</f>
        <v>-1744.29573</v>
      </c>
    </row>
    <row r="1265" ht="14.25" customHeight="1">
      <c r="A1265" s="7">
        <v>1252.0</v>
      </c>
      <c r="B1265" s="14">
        <f t="shared" si="1"/>
        <v>0.09653774871</v>
      </c>
      <c r="C1265" s="39">
        <f t="array" ref="C1265">NPV(B1265,FCFF!$C$9:$I$9)+FCFF!$B$9+FCFF!$I$9*(1+Inputs!$B$6)/(B1265-Inputs!$B$6)/(1+B1265)^7</f>
        <v>-1280.546066</v>
      </c>
    </row>
    <row r="1266" ht="14.25" customHeight="1">
      <c r="A1266" s="7">
        <v>1253.0</v>
      </c>
      <c r="B1266" s="14">
        <f t="shared" si="1"/>
        <v>0.1161519356</v>
      </c>
      <c r="C1266" s="39">
        <f t="array" ref="C1266">NPV(B1266,FCFF!$C$9:$I$9)+FCFF!$B$9+FCFF!$I$9*(1+Inputs!$B$6)/(B1266-Inputs!$B$6)/(1+B1266)^7</f>
        <v>-1753.809578</v>
      </c>
    </row>
    <row r="1267" ht="14.25" customHeight="1">
      <c r="A1267" s="7">
        <v>1254.0</v>
      </c>
      <c r="B1267" s="14">
        <f t="shared" si="1"/>
        <v>0.1212730372</v>
      </c>
      <c r="C1267" s="39">
        <f t="array" ref="C1267">NPV(B1267,FCFF!$C$9:$I$9)+FCFF!$B$9+FCFF!$I$9*(1+Inputs!$B$6)/(B1267-Inputs!$B$6)/(1+B1267)^7</f>
        <v>-1842.886901</v>
      </c>
    </row>
    <row r="1268" ht="14.25" customHeight="1">
      <c r="A1268" s="7">
        <v>1255.0</v>
      </c>
      <c r="B1268" s="14">
        <f t="shared" si="1"/>
        <v>0.09917523923</v>
      </c>
      <c r="C1268" s="39">
        <f t="array" ref="C1268">NPV(B1268,FCFF!$C$9:$I$9)+FCFF!$B$9+FCFF!$I$9*(1+Inputs!$B$6)/(B1268-Inputs!$B$6)/(1+B1268)^7</f>
        <v>-1360.060919</v>
      </c>
    </row>
    <row r="1269" ht="14.25" customHeight="1">
      <c r="A1269" s="7">
        <v>1256.0</v>
      </c>
      <c r="B1269" s="14">
        <f t="shared" si="1"/>
        <v>0.1200814793</v>
      </c>
      <c r="C1269" s="39">
        <f t="array" ref="C1269">NPV(B1269,FCFF!$C$9:$I$9)+FCFF!$B$9+FCFF!$I$9*(1+Inputs!$B$6)/(B1269-Inputs!$B$6)/(1+B1269)^7</f>
        <v>-1823.115408</v>
      </c>
    </row>
    <row r="1270" ht="14.25" customHeight="1">
      <c r="A1270" s="7">
        <v>1257.0</v>
      </c>
      <c r="B1270" s="14">
        <f t="shared" si="1"/>
        <v>0.117370263</v>
      </c>
      <c r="C1270" s="39">
        <f t="array" ref="C1270">NPV(B1270,FCFF!$C$9:$I$9)+FCFF!$B$9+FCFF!$I$9*(1+Inputs!$B$6)/(B1270-Inputs!$B$6)/(1+B1270)^7</f>
        <v>-1775.999819</v>
      </c>
    </row>
    <row r="1271" ht="14.25" customHeight="1">
      <c r="A1271" s="7">
        <v>1258.0</v>
      </c>
      <c r="B1271" s="14">
        <f t="shared" si="1"/>
        <v>0.1294833427</v>
      </c>
      <c r="C1271" s="39">
        <f t="array" ref="C1271">NPV(B1271,FCFF!$C$9:$I$9)+FCFF!$B$9+FCFF!$I$9*(1+Inputs!$B$6)/(B1271-Inputs!$B$6)/(1+B1271)^7</f>
        <v>-1965.425648</v>
      </c>
    </row>
    <row r="1272" ht="14.25" customHeight="1">
      <c r="A1272" s="7">
        <v>1259.0</v>
      </c>
      <c r="B1272" s="14">
        <f t="shared" si="1"/>
        <v>0.1313394374</v>
      </c>
      <c r="C1272" s="39">
        <f t="array" ref="C1272">NPV(B1272,FCFF!$C$9:$I$9)+FCFF!$B$9+FCFF!$I$9*(1+Inputs!$B$6)/(B1272-Inputs!$B$6)/(1+B1272)^7</f>
        <v>-1990.171045</v>
      </c>
    </row>
    <row r="1273" ht="14.25" customHeight="1">
      <c r="A1273" s="7">
        <v>1260.0</v>
      </c>
      <c r="B1273" s="14">
        <f t="shared" si="1"/>
        <v>0.1027584458</v>
      </c>
      <c r="C1273" s="39">
        <f t="array" ref="C1273">NPV(B1273,FCFF!$C$9:$I$9)+FCFF!$B$9+FCFF!$I$9*(1+Inputs!$B$6)/(B1273-Inputs!$B$6)/(1+B1273)^7</f>
        <v>-1458.806836</v>
      </c>
    </row>
    <row r="1274" ht="14.25" customHeight="1">
      <c r="A1274" s="7">
        <v>1261.0</v>
      </c>
      <c r="B1274" s="14">
        <f t="shared" si="1"/>
        <v>0.1187595406</v>
      </c>
      <c r="C1274" s="39">
        <f t="array" ref="C1274">NPV(B1274,FCFF!$C$9:$I$9)+FCFF!$B$9+FCFF!$I$9*(1+Inputs!$B$6)/(B1274-Inputs!$B$6)/(1+B1274)^7</f>
        <v>-1800.522231</v>
      </c>
    </row>
    <row r="1275" ht="14.25" customHeight="1">
      <c r="A1275" s="7">
        <v>1262.0</v>
      </c>
      <c r="B1275" s="14">
        <f t="shared" si="1"/>
        <v>0.116820568</v>
      </c>
      <c r="C1275" s="39">
        <f t="array" ref="C1275">NPV(B1275,FCFF!$C$9:$I$9)+FCFF!$B$9+FCFF!$I$9*(1+Inputs!$B$6)/(B1275-Inputs!$B$6)/(1+B1275)^7</f>
        <v>-1766.068831</v>
      </c>
    </row>
    <row r="1276" ht="14.25" customHeight="1">
      <c r="A1276" s="7">
        <v>1263.0</v>
      </c>
      <c r="B1276" s="14">
        <f t="shared" si="1"/>
        <v>0.1021303132</v>
      </c>
      <c r="C1276" s="39">
        <f t="array" ref="C1276">NPV(B1276,FCFF!$C$9:$I$9)+FCFF!$B$9+FCFF!$I$9*(1+Inputs!$B$6)/(B1276-Inputs!$B$6)/(1+B1276)^7</f>
        <v>-1442.212979</v>
      </c>
    </row>
    <row r="1277" ht="14.25" customHeight="1">
      <c r="A1277" s="7">
        <v>1264.0</v>
      </c>
      <c r="B1277" s="14">
        <f t="shared" si="1"/>
        <v>0.1215845132</v>
      </c>
      <c r="C1277" s="39">
        <f t="array" ref="C1277">NPV(B1277,FCFF!$C$9:$I$9)+FCFF!$B$9+FCFF!$I$9*(1+Inputs!$B$6)/(B1277-Inputs!$B$6)/(1+B1277)^7</f>
        <v>-1847.965227</v>
      </c>
    </row>
    <row r="1278" ht="14.25" customHeight="1">
      <c r="A1278" s="7">
        <v>1265.0</v>
      </c>
      <c r="B1278" s="14">
        <f t="shared" si="1"/>
        <v>0.09816032032</v>
      </c>
      <c r="C1278" s="39">
        <f t="array" ref="C1278">NPV(B1278,FCFF!$C$9:$I$9)+FCFF!$B$9+FCFF!$I$9*(1+Inputs!$B$6)/(B1278-Inputs!$B$6)/(1+B1278)^7</f>
        <v>-1330.192381</v>
      </c>
    </row>
    <row r="1279" ht="14.25" customHeight="1">
      <c r="A1279" s="7">
        <v>1266.0</v>
      </c>
      <c r="B1279" s="14">
        <f t="shared" si="1"/>
        <v>0.1013215562</v>
      </c>
      <c r="C1279" s="39">
        <f t="array" ref="C1279">NPV(B1279,FCFF!$C$9:$I$9)+FCFF!$B$9+FCFF!$I$9*(1+Inputs!$B$6)/(B1279-Inputs!$B$6)/(1+B1279)^7</f>
        <v>-1420.411782</v>
      </c>
    </row>
    <row r="1280" ht="14.25" customHeight="1">
      <c r="A1280" s="7">
        <v>1267.0</v>
      </c>
      <c r="B1280" s="14">
        <f t="shared" si="1"/>
        <v>0.09494967926</v>
      </c>
      <c r="C1280" s="39">
        <f t="array" ref="C1280">NPV(B1280,FCFF!$C$9:$I$9)+FCFF!$B$9+FCFF!$I$9*(1+Inputs!$B$6)/(B1280-Inputs!$B$6)/(1+B1280)^7</f>
        <v>-1229.56012</v>
      </c>
    </row>
    <row r="1281" ht="14.25" customHeight="1">
      <c r="A1281" s="7">
        <v>1268.0</v>
      </c>
      <c r="B1281" s="14">
        <f t="shared" si="1"/>
        <v>0.1034421597</v>
      </c>
      <c r="C1281" s="39">
        <f t="array" ref="C1281">NPV(B1281,FCFF!$C$9:$I$9)+FCFF!$B$9+FCFF!$I$9*(1+Inputs!$B$6)/(B1281-Inputs!$B$6)/(1+B1281)^7</f>
        <v>-1476.541979</v>
      </c>
    </row>
    <row r="1282" ht="14.25" customHeight="1">
      <c r="A1282" s="7">
        <v>1269.0</v>
      </c>
      <c r="B1282" s="14">
        <f t="shared" si="1"/>
        <v>0.1016127455</v>
      </c>
      <c r="C1282" s="39">
        <f t="array" ref="C1282">NPV(B1282,FCFF!$C$9:$I$9)+FCFF!$B$9+FCFF!$I$9*(1+Inputs!$B$6)/(B1282-Inputs!$B$6)/(1+B1282)^7</f>
        <v>-1428.318555</v>
      </c>
    </row>
    <row r="1283" ht="14.25" customHeight="1">
      <c r="A1283" s="7">
        <v>1270.0</v>
      </c>
      <c r="B1283" s="14">
        <f t="shared" si="1"/>
        <v>0.1284830291</v>
      </c>
      <c r="C1283" s="39">
        <f t="array" ref="C1283">NPV(B1283,FCFF!$C$9:$I$9)+FCFF!$B$9+FCFF!$I$9*(1+Inputs!$B$6)/(B1283-Inputs!$B$6)/(1+B1283)^7</f>
        <v>-1951.669528</v>
      </c>
    </row>
    <row r="1284" ht="14.25" customHeight="1">
      <c r="A1284" s="7">
        <v>1271.0</v>
      </c>
      <c r="B1284" s="14">
        <f t="shared" si="1"/>
        <v>0.1061942802</v>
      </c>
      <c r="C1284" s="39">
        <f t="array" ref="C1284">NPV(B1284,FCFF!$C$9:$I$9)+FCFF!$B$9+FCFF!$I$9*(1+Inputs!$B$6)/(B1284-Inputs!$B$6)/(1+B1284)^7</f>
        <v>-1544.657002</v>
      </c>
    </row>
    <row r="1285" ht="14.25" customHeight="1">
      <c r="A1285" s="7">
        <v>1272.0</v>
      </c>
      <c r="B1285" s="14">
        <f t="shared" si="1"/>
        <v>0.1310040491</v>
      </c>
      <c r="C1285" s="39">
        <f t="array" ref="C1285">NPV(B1285,FCFF!$C$9:$I$9)+FCFF!$B$9+FCFF!$I$9*(1+Inputs!$B$6)/(B1285-Inputs!$B$6)/(1+B1285)^7</f>
        <v>-1985.772798</v>
      </c>
    </row>
    <row r="1286" ht="14.25" customHeight="1">
      <c r="A1286" s="7">
        <v>1273.0</v>
      </c>
      <c r="B1286" s="14">
        <f t="shared" si="1"/>
        <v>0.1071780089</v>
      </c>
      <c r="C1286" s="39">
        <f t="array" ref="C1286">NPV(B1286,FCFF!$C$9:$I$9)+FCFF!$B$9+FCFF!$I$9*(1+Inputs!$B$6)/(B1286-Inputs!$B$6)/(1+B1286)^7</f>
        <v>-1567.801309</v>
      </c>
    </row>
    <row r="1287" ht="14.25" customHeight="1">
      <c r="A1287" s="7">
        <v>1274.0</v>
      </c>
      <c r="B1287" s="14">
        <f t="shared" si="1"/>
        <v>0.1129398003</v>
      </c>
      <c r="C1287" s="39">
        <f t="array" ref="C1287">NPV(B1287,FCFF!$C$9:$I$9)+FCFF!$B$9+FCFF!$I$9*(1+Inputs!$B$6)/(B1287-Inputs!$B$6)/(1+B1287)^7</f>
        <v>-1692.028149</v>
      </c>
    </row>
    <row r="1288" ht="14.25" customHeight="1">
      <c r="A1288" s="7">
        <v>1275.0</v>
      </c>
      <c r="B1288" s="14">
        <f t="shared" si="1"/>
        <v>0.09519947391</v>
      </c>
      <c r="C1288" s="39">
        <f t="array" ref="C1288">NPV(B1288,FCFF!$C$9:$I$9)+FCFF!$B$9+FCFF!$I$9*(1+Inputs!$B$6)/(B1288-Inputs!$B$6)/(1+B1288)^7</f>
        <v>-1237.743662</v>
      </c>
    </row>
    <row r="1289" ht="14.25" customHeight="1">
      <c r="A1289" s="7">
        <v>1276.0</v>
      </c>
      <c r="B1289" s="14">
        <f t="shared" si="1"/>
        <v>0.1001454471</v>
      </c>
      <c r="C1289" s="39">
        <f t="array" ref="C1289">NPV(B1289,FCFF!$C$9:$I$9)+FCFF!$B$9+FCFF!$I$9*(1+Inputs!$B$6)/(B1289-Inputs!$B$6)/(1+B1289)^7</f>
        <v>-1387.802187</v>
      </c>
    </row>
    <row r="1290" ht="14.25" customHeight="1">
      <c r="A1290" s="7">
        <v>1277.0</v>
      </c>
      <c r="B1290" s="14">
        <f t="shared" si="1"/>
        <v>0.1265135951</v>
      </c>
      <c r="C1290" s="39">
        <f t="array" ref="C1290">NPV(B1290,FCFF!$C$9:$I$9)+FCFF!$B$9+FCFF!$I$9*(1+Inputs!$B$6)/(B1290-Inputs!$B$6)/(1+B1290)^7</f>
        <v>-1923.684762</v>
      </c>
    </row>
    <row r="1291" ht="14.25" customHeight="1">
      <c r="A1291" s="7">
        <v>1278.0</v>
      </c>
      <c r="B1291" s="14">
        <f t="shared" si="1"/>
        <v>0.09399816335</v>
      </c>
      <c r="C1291" s="39">
        <f t="array" ref="C1291">NPV(B1291,FCFF!$C$9:$I$9)+FCFF!$B$9+FCFF!$I$9*(1+Inputs!$B$6)/(B1291-Inputs!$B$6)/(1+B1291)^7</f>
        <v>-1197.806788</v>
      </c>
    </row>
    <row r="1292" ht="14.25" customHeight="1">
      <c r="A1292" s="7">
        <v>1279.0</v>
      </c>
      <c r="B1292" s="14">
        <f t="shared" si="1"/>
        <v>0.1182141709</v>
      </c>
      <c r="C1292" s="39">
        <f t="array" ref="C1292">NPV(B1292,FCFF!$C$9:$I$9)+FCFF!$B$9+FCFF!$I$9*(1+Inputs!$B$6)/(B1292-Inputs!$B$6)/(1+B1292)^7</f>
        <v>-1790.992848</v>
      </c>
    </row>
    <row r="1293" ht="14.25" customHeight="1">
      <c r="A1293" s="7">
        <v>1280.0</v>
      </c>
      <c r="B1293" s="14">
        <f t="shared" si="1"/>
        <v>0.1206582074</v>
      </c>
      <c r="C1293" s="39">
        <f t="array" ref="C1293">NPV(B1293,FCFF!$C$9:$I$9)+FCFF!$B$9+FCFF!$I$9*(1+Inputs!$B$6)/(B1293-Inputs!$B$6)/(1+B1293)^7</f>
        <v>-1832.753874</v>
      </c>
    </row>
    <row r="1294" ht="14.25" customHeight="1">
      <c r="A1294" s="7">
        <v>1281.0</v>
      </c>
      <c r="B1294" s="14">
        <f t="shared" si="1"/>
        <v>0.1251654577</v>
      </c>
      <c r="C1294" s="39">
        <f t="array" ref="C1294">NPV(B1294,FCFF!$C$9:$I$9)+FCFF!$B$9+FCFF!$I$9*(1+Inputs!$B$6)/(B1294-Inputs!$B$6)/(1+B1294)^7</f>
        <v>-1903.808577</v>
      </c>
    </row>
    <row r="1295" ht="14.25" customHeight="1">
      <c r="A1295" s="7">
        <v>1282.0</v>
      </c>
      <c r="B1295" s="14">
        <f t="shared" si="1"/>
        <v>0.1317785989</v>
      </c>
      <c r="C1295" s="39">
        <f t="array" ref="C1295">NPV(B1295,FCFF!$C$9:$I$9)+FCFF!$B$9+FCFF!$I$9*(1+Inputs!$B$6)/(B1295-Inputs!$B$6)/(1+B1295)^7</f>
        <v>-1995.882456</v>
      </c>
    </row>
    <row r="1296" ht="14.25" customHeight="1">
      <c r="A1296" s="7">
        <v>1283.0</v>
      </c>
      <c r="B1296" s="14">
        <f t="shared" si="1"/>
        <v>0.1262178255</v>
      </c>
      <c r="C1296" s="39">
        <f t="array" ref="C1296">NPV(B1296,FCFF!$C$9:$I$9)+FCFF!$B$9+FCFF!$I$9*(1+Inputs!$B$6)/(B1296-Inputs!$B$6)/(1+B1296)^7</f>
        <v>-1919.375337</v>
      </c>
    </row>
    <row r="1297" ht="14.25" customHeight="1">
      <c r="A1297" s="7">
        <v>1284.0</v>
      </c>
      <c r="B1297" s="14">
        <f t="shared" si="1"/>
        <v>0.09602441051</v>
      </c>
      <c r="C1297" s="39">
        <f t="array" ref="C1297">NPV(B1297,FCFF!$C$9:$I$9)+FCFF!$B$9+FCFF!$I$9*(1+Inputs!$B$6)/(B1297-Inputs!$B$6)/(1+B1297)^7</f>
        <v>-1264.332074</v>
      </c>
    </row>
    <row r="1298" ht="14.25" customHeight="1">
      <c r="A1298" s="7">
        <v>1285.0</v>
      </c>
      <c r="B1298" s="14">
        <f t="shared" si="1"/>
        <v>0.09679806668</v>
      </c>
      <c r="C1298" s="39">
        <f t="array" ref="C1298">NPV(B1298,FCFF!$C$9:$I$9)+FCFF!$B$9+FCFF!$I$9*(1+Inputs!$B$6)/(B1298-Inputs!$B$6)/(1+B1298)^7</f>
        <v>-1288.67336</v>
      </c>
    </row>
    <row r="1299" ht="14.25" customHeight="1">
      <c r="A1299" s="7">
        <v>1286.0</v>
      </c>
      <c r="B1299" s="14">
        <f t="shared" si="1"/>
        <v>0.1277922648</v>
      </c>
      <c r="C1299" s="39">
        <f t="array" ref="C1299">NPV(B1299,FCFF!$C$9:$I$9)+FCFF!$B$9+FCFF!$I$9*(1+Inputs!$B$6)/(B1299-Inputs!$B$6)/(1+B1299)^7</f>
        <v>-1941.992512</v>
      </c>
    </row>
    <row r="1300" ht="14.25" customHeight="1">
      <c r="A1300" s="7">
        <v>1287.0</v>
      </c>
      <c r="B1300" s="14">
        <f t="shared" si="1"/>
        <v>0.09877307216</v>
      </c>
      <c r="C1300" s="39">
        <f t="array" ref="C1300">NPV(B1300,FCFF!$C$9:$I$9)+FCFF!$B$9+FCFF!$I$9*(1+Inputs!$B$6)/(B1300-Inputs!$B$6)/(1+B1300)^7</f>
        <v>-1348.331125</v>
      </c>
    </row>
    <row r="1301" ht="14.25" customHeight="1">
      <c r="A1301" s="7">
        <v>1288.0</v>
      </c>
      <c r="B1301" s="14">
        <f t="shared" si="1"/>
        <v>0.1182029994</v>
      </c>
      <c r="C1301" s="39">
        <f t="array" ref="C1301">NPV(B1301,FCFF!$C$9:$I$9)+FCFF!$B$9+FCFF!$I$9*(1+Inputs!$B$6)/(B1301-Inputs!$B$6)/(1+B1301)^7</f>
        <v>-1790.796347</v>
      </c>
    </row>
    <row r="1302" ht="14.25" customHeight="1">
      <c r="A1302" s="7">
        <v>1289.0</v>
      </c>
      <c r="B1302" s="14">
        <f t="shared" si="1"/>
        <v>0.1070910875</v>
      </c>
      <c r="C1302" s="39">
        <f t="array" ref="C1302">NPV(B1302,FCFF!$C$9:$I$9)+FCFF!$B$9+FCFF!$I$9*(1+Inputs!$B$6)/(B1302-Inputs!$B$6)/(1+B1302)^7</f>
        <v>-1565.780667</v>
      </c>
    </row>
    <row r="1303" ht="14.25" customHeight="1">
      <c r="A1303" s="7">
        <v>1290.0</v>
      </c>
      <c r="B1303" s="14">
        <f t="shared" si="1"/>
        <v>0.127096055</v>
      </c>
      <c r="C1303" s="39">
        <f t="array" ref="C1303">NPV(B1303,FCFF!$C$9:$I$9)+FCFF!$B$9+FCFF!$I$9*(1+Inputs!$B$6)/(B1303-Inputs!$B$6)/(1+B1303)^7</f>
        <v>-1932.08875</v>
      </c>
    </row>
    <row r="1304" ht="14.25" customHeight="1">
      <c r="A1304" s="7">
        <v>1291.0</v>
      </c>
      <c r="B1304" s="14">
        <f t="shared" si="1"/>
        <v>0.1047404362</v>
      </c>
      <c r="C1304" s="39">
        <f t="array" ref="C1304">NPV(B1304,FCFF!$C$9:$I$9)+FCFF!$B$9+FCFF!$I$9*(1+Inputs!$B$6)/(B1304-Inputs!$B$6)/(1+B1304)^7</f>
        <v>-1509.311312</v>
      </c>
    </row>
    <row r="1305" ht="14.25" customHeight="1">
      <c r="A1305" s="7">
        <v>1292.0</v>
      </c>
      <c r="B1305" s="14">
        <f t="shared" si="1"/>
        <v>0.1098281115</v>
      </c>
      <c r="C1305" s="39">
        <f t="array" ref="C1305">NPV(B1305,FCFF!$C$9:$I$9)+FCFF!$B$9+FCFF!$I$9*(1+Inputs!$B$6)/(B1305-Inputs!$B$6)/(1+B1305)^7</f>
        <v>-1627.238556</v>
      </c>
    </row>
    <row r="1306" ht="14.25" customHeight="1">
      <c r="A1306" s="7">
        <v>1293.0</v>
      </c>
      <c r="B1306" s="14">
        <f t="shared" si="1"/>
        <v>0.1297892686</v>
      </c>
      <c r="C1306" s="39">
        <f t="array" ref="C1306">NPV(B1306,FCFF!$C$9:$I$9)+FCFF!$B$9+FCFF!$I$9*(1+Inputs!$B$6)/(B1306-Inputs!$B$6)/(1+B1306)^7</f>
        <v>-1969.573058</v>
      </c>
    </row>
    <row r="1307" ht="14.25" customHeight="1">
      <c r="A1307" s="7">
        <v>1294.0</v>
      </c>
      <c r="B1307" s="14">
        <f t="shared" si="1"/>
        <v>0.1087412925</v>
      </c>
      <c r="C1307" s="39">
        <f t="array" ref="C1307">NPV(B1307,FCFF!$C$9:$I$9)+FCFF!$B$9+FCFF!$I$9*(1+Inputs!$B$6)/(B1307-Inputs!$B$6)/(1+B1307)^7</f>
        <v>-1603.361009</v>
      </c>
    </row>
    <row r="1308" ht="14.25" customHeight="1">
      <c r="A1308" s="7">
        <v>1295.0</v>
      </c>
      <c r="B1308" s="14">
        <f t="shared" si="1"/>
        <v>0.1055643397</v>
      </c>
      <c r="C1308" s="39">
        <f t="array" ref="C1308">NPV(B1308,FCFF!$C$9:$I$9)+FCFF!$B$9+FCFF!$I$9*(1+Inputs!$B$6)/(B1308-Inputs!$B$6)/(1+B1308)^7</f>
        <v>-1529.51244</v>
      </c>
    </row>
    <row r="1309" ht="14.25" customHeight="1">
      <c r="A1309" s="7">
        <v>1296.0</v>
      </c>
      <c r="B1309" s="14">
        <f t="shared" si="1"/>
        <v>0.09891309449</v>
      </c>
      <c r="C1309" s="39">
        <f t="array" ref="C1309">NPV(B1309,FCFF!$C$9:$I$9)+FCFF!$B$9+FCFF!$I$9*(1+Inputs!$B$6)/(B1309-Inputs!$B$6)/(1+B1309)^7</f>
        <v>-1352.430676</v>
      </c>
    </row>
    <row r="1310" ht="14.25" customHeight="1">
      <c r="A1310" s="7">
        <v>1297.0</v>
      </c>
      <c r="B1310" s="14">
        <f t="shared" si="1"/>
        <v>0.1103999215</v>
      </c>
      <c r="C1310" s="39">
        <f t="array" ref="C1310">NPV(B1310,FCFF!$C$9:$I$9)+FCFF!$B$9+FCFF!$I$9*(1+Inputs!$B$6)/(B1310-Inputs!$B$6)/(1+B1310)^7</f>
        <v>-1639.533965</v>
      </c>
    </row>
    <row r="1311" ht="14.25" customHeight="1">
      <c r="A1311" s="7">
        <v>1298.0</v>
      </c>
      <c r="B1311" s="14">
        <f t="shared" si="1"/>
        <v>0.09705148224</v>
      </c>
      <c r="C1311" s="39">
        <f t="array" ref="C1311">NPV(B1311,FCFF!$C$9:$I$9)+FCFF!$B$9+FCFF!$I$9*(1+Inputs!$B$6)/(B1311-Inputs!$B$6)/(1+B1311)^7</f>
        <v>-1296.52466</v>
      </c>
    </row>
    <row r="1312" ht="14.25" customHeight="1">
      <c r="A1312" s="7">
        <v>1299.0</v>
      </c>
      <c r="B1312" s="14">
        <f t="shared" si="1"/>
        <v>0.1279724426</v>
      </c>
      <c r="C1312" s="39">
        <f t="array" ref="C1312">NPV(B1312,FCFF!$C$9:$I$9)+FCFF!$B$9+FCFF!$I$9*(1+Inputs!$B$6)/(B1312-Inputs!$B$6)/(1+B1312)^7</f>
        <v>-1944.530857</v>
      </c>
    </row>
    <row r="1313" ht="14.25" customHeight="1">
      <c r="A1313" s="7">
        <v>1300.0</v>
      </c>
      <c r="B1313" s="14">
        <f t="shared" si="1"/>
        <v>0.100099507</v>
      </c>
      <c r="C1313" s="39">
        <f t="array" ref="C1313">NPV(B1313,FCFF!$C$9:$I$9)+FCFF!$B$9+FCFF!$I$9*(1+Inputs!$B$6)/(B1313-Inputs!$B$6)/(1+B1313)^7</f>
        <v>-1386.506038</v>
      </c>
    </row>
    <row r="1314" ht="14.25" customHeight="1">
      <c r="A1314" s="7">
        <v>1301.0</v>
      </c>
      <c r="B1314" s="14">
        <f t="shared" si="1"/>
        <v>0.1122901832</v>
      </c>
      <c r="C1314" s="39">
        <f t="array" ref="C1314">NPV(B1314,FCFF!$C$9:$I$9)+FCFF!$B$9+FCFF!$I$9*(1+Inputs!$B$6)/(B1314-Inputs!$B$6)/(1+B1314)^7</f>
        <v>-1678.921808</v>
      </c>
    </row>
    <row r="1315" ht="14.25" customHeight="1">
      <c r="A1315" s="7">
        <v>1302.0</v>
      </c>
      <c r="B1315" s="14">
        <f t="shared" si="1"/>
        <v>0.108334819</v>
      </c>
      <c r="C1315" s="39">
        <f t="array" ref="C1315">NPV(B1315,FCFF!$C$9:$I$9)+FCFF!$B$9+FCFF!$I$9*(1+Inputs!$B$6)/(B1315-Inputs!$B$6)/(1+B1315)^7</f>
        <v>-1594.255347</v>
      </c>
    </row>
    <row r="1316" ht="14.25" customHeight="1">
      <c r="A1316" s="7">
        <v>1303.0</v>
      </c>
      <c r="B1316" s="14">
        <f t="shared" si="1"/>
        <v>0.1103131771</v>
      </c>
      <c r="C1316" s="39">
        <f t="array" ref="C1316">NPV(B1316,FCFF!$C$9:$I$9)+FCFF!$B$9+FCFF!$I$9*(1+Inputs!$B$6)/(B1316-Inputs!$B$6)/(1+B1316)^7</f>
        <v>-1637.680373</v>
      </c>
    </row>
    <row r="1317" ht="14.25" customHeight="1">
      <c r="A1317" s="7">
        <v>1304.0</v>
      </c>
      <c r="B1317" s="14">
        <f t="shared" si="1"/>
        <v>0.1216857362</v>
      </c>
      <c r="C1317" s="39">
        <f t="array" ref="C1317">NPV(B1317,FCFF!$C$9:$I$9)+FCFF!$B$9+FCFF!$I$9*(1+Inputs!$B$6)/(B1317-Inputs!$B$6)/(1+B1317)^7</f>
        <v>-1849.60768</v>
      </c>
    </row>
    <row r="1318" ht="14.25" customHeight="1">
      <c r="A1318" s="7">
        <v>1305.0</v>
      </c>
      <c r="B1318" s="14">
        <f t="shared" si="1"/>
        <v>0.1054440807</v>
      </c>
      <c r="C1318" s="39">
        <f t="array" ref="C1318">NPV(B1318,FCFF!$C$9:$I$9)+FCFF!$B$9+FCFF!$I$9*(1+Inputs!$B$6)/(B1318-Inputs!$B$6)/(1+B1318)^7</f>
        <v>-1526.591892</v>
      </c>
    </row>
    <row r="1319" ht="14.25" customHeight="1">
      <c r="A1319" s="7">
        <v>1306.0</v>
      </c>
      <c r="B1319" s="14">
        <f t="shared" si="1"/>
        <v>0.1059574843</v>
      </c>
      <c r="C1319" s="39">
        <f t="array" ref="C1319">NPV(B1319,FCFF!$C$9:$I$9)+FCFF!$B$9+FCFF!$I$9*(1+Inputs!$B$6)/(B1319-Inputs!$B$6)/(1+B1319)^7</f>
        <v>-1538.994245</v>
      </c>
    </row>
    <row r="1320" ht="14.25" customHeight="1">
      <c r="A1320" s="7">
        <v>1307.0</v>
      </c>
      <c r="B1320" s="14">
        <f t="shared" si="1"/>
        <v>0.1103891421</v>
      </c>
      <c r="C1320" s="39">
        <f t="array" ref="C1320">NPV(B1320,FCFF!$C$9:$I$9)+FCFF!$B$9+FCFF!$I$9*(1+Inputs!$B$6)/(B1320-Inputs!$B$6)/(1+B1320)^7</f>
        <v>-1639.30385</v>
      </c>
    </row>
    <row r="1321" ht="14.25" customHeight="1">
      <c r="A1321" s="7">
        <v>1308.0</v>
      </c>
      <c r="B1321" s="14">
        <f t="shared" si="1"/>
        <v>0.1191151528</v>
      </c>
      <c r="C1321" s="39">
        <f t="array" ref="C1321">NPV(B1321,FCFF!$C$9:$I$9)+FCFF!$B$9+FCFF!$I$9*(1+Inputs!$B$6)/(B1321-Inputs!$B$6)/(1+B1321)^7</f>
        <v>-1806.669649</v>
      </c>
    </row>
    <row r="1322" ht="14.25" customHeight="1">
      <c r="A1322" s="7">
        <v>1309.0</v>
      </c>
      <c r="B1322" s="14">
        <f t="shared" si="1"/>
        <v>0.1098972113</v>
      </c>
      <c r="C1322" s="39">
        <f t="array" ref="C1322">NPV(B1322,FCFF!$C$9:$I$9)+FCFF!$B$9+FCFF!$I$9*(1+Inputs!$B$6)/(B1322-Inputs!$B$6)/(1+B1322)^7</f>
        <v>-1628.734039</v>
      </c>
    </row>
    <row r="1323" ht="14.25" customHeight="1">
      <c r="A1323" s="7">
        <v>1310.0</v>
      </c>
      <c r="B1323" s="14">
        <f t="shared" si="1"/>
        <v>0.1312740641</v>
      </c>
      <c r="C1323" s="39">
        <f t="array" ref="C1323">NPV(B1323,FCFF!$C$9:$I$9)+FCFF!$B$9+FCFF!$I$9*(1+Inputs!$B$6)/(B1323-Inputs!$B$6)/(1+B1323)^7</f>
        <v>-1989.316234</v>
      </c>
    </row>
    <row r="1324" ht="14.25" customHeight="1">
      <c r="A1324" s="7">
        <v>1311.0</v>
      </c>
      <c r="B1324" s="14">
        <f t="shared" si="1"/>
        <v>0.1325268258</v>
      </c>
      <c r="C1324" s="39">
        <f t="array" ref="C1324">NPV(B1324,FCFF!$C$9:$I$9)+FCFF!$B$9+FCFF!$I$9*(1+Inputs!$B$6)/(B1324-Inputs!$B$6)/(1+B1324)^7</f>
        <v>-2005.490552</v>
      </c>
    </row>
    <row r="1325" ht="14.25" customHeight="1">
      <c r="A1325" s="7">
        <v>1312.0</v>
      </c>
      <c r="B1325" s="14">
        <f t="shared" si="1"/>
        <v>0.0932990494</v>
      </c>
      <c r="C1325" s="39">
        <f t="array" ref="C1325">NPV(B1325,FCFF!$C$9:$I$9)+FCFF!$B$9+FCFF!$I$9*(1+Inputs!$B$6)/(B1325-Inputs!$B$6)/(1+B1325)^7</f>
        <v>-1173.873801</v>
      </c>
    </row>
    <row r="1326" ht="14.25" customHeight="1">
      <c r="A1326" s="7">
        <v>1313.0</v>
      </c>
      <c r="B1326" s="14">
        <f t="shared" si="1"/>
        <v>0.1238746874</v>
      </c>
      <c r="C1326" s="39">
        <f t="array" ref="C1326">NPV(B1326,FCFF!$C$9:$I$9)+FCFF!$B$9+FCFF!$I$9*(1+Inputs!$B$6)/(B1326-Inputs!$B$6)/(1+B1326)^7</f>
        <v>-1884.203906</v>
      </c>
    </row>
    <row r="1327" ht="14.25" customHeight="1">
      <c r="A1327" s="7">
        <v>1314.0</v>
      </c>
      <c r="B1327" s="14">
        <f t="shared" si="1"/>
        <v>0.1087317456</v>
      </c>
      <c r="C1327" s="39">
        <f t="array" ref="C1327">NPV(B1327,FCFF!$C$9:$I$9)+FCFF!$B$9+FCFF!$I$9*(1+Inputs!$B$6)/(B1327-Inputs!$B$6)/(1+B1327)^7</f>
        <v>-1603.148253</v>
      </c>
    </row>
    <row r="1328" ht="14.25" customHeight="1">
      <c r="A1328" s="7">
        <v>1315.0</v>
      </c>
      <c r="B1328" s="14">
        <f t="shared" si="1"/>
        <v>0.1077559631</v>
      </c>
      <c r="C1328" s="39">
        <f t="array" ref="C1328">NPV(B1328,FCFF!$C$9:$I$9)+FCFF!$B$9+FCFF!$I$9*(1+Inputs!$B$6)/(B1328-Inputs!$B$6)/(1+B1328)^7</f>
        <v>-1581.119053</v>
      </c>
    </row>
    <row r="1329" ht="14.25" customHeight="1">
      <c r="A1329" s="7">
        <v>1316.0</v>
      </c>
      <c r="B1329" s="14">
        <f t="shared" si="1"/>
        <v>0.1060949286</v>
      </c>
      <c r="C1329" s="39">
        <f t="array" ref="C1329">NPV(B1329,FCFF!$C$9:$I$9)+FCFF!$B$9+FCFF!$I$9*(1+Inputs!$B$6)/(B1329-Inputs!$B$6)/(1+B1329)^7</f>
        <v>-1542.285487</v>
      </c>
    </row>
    <row r="1330" ht="14.25" customHeight="1">
      <c r="A1330" s="7">
        <v>1317.0</v>
      </c>
      <c r="B1330" s="14">
        <f t="shared" si="1"/>
        <v>0.1109157685</v>
      </c>
      <c r="C1330" s="39">
        <f t="array" ref="C1330">NPV(B1330,FCFF!$C$9:$I$9)+FCFF!$B$9+FCFF!$I$9*(1+Inputs!$B$6)/(B1330-Inputs!$B$6)/(1+B1330)^7</f>
        <v>-1650.471935</v>
      </c>
    </row>
    <row r="1331" ht="14.25" customHeight="1">
      <c r="A1331" s="7">
        <v>1318.0</v>
      </c>
      <c r="B1331" s="14">
        <f t="shared" si="1"/>
        <v>0.1305352502</v>
      </c>
      <c r="C1331" s="39">
        <f t="array" ref="C1331">NPV(B1331,FCFF!$C$9:$I$9)+FCFF!$B$9+FCFF!$I$9*(1+Inputs!$B$6)/(B1331-Inputs!$B$6)/(1+B1331)^7</f>
        <v>-1979.571508</v>
      </c>
    </row>
    <row r="1332" ht="14.25" customHeight="1">
      <c r="A1332" s="7">
        <v>1319.0</v>
      </c>
      <c r="B1332" s="14">
        <f t="shared" si="1"/>
        <v>0.1033546189</v>
      </c>
      <c r="C1332" s="39">
        <f t="array" ref="C1332">NPV(B1332,FCFF!$C$9:$I$9)+FCFF!$B$9+FCFF!$I$9*(1+Inputs!$B$6)/(B1332-Inputs!$B$6)/(1+B1332)^7</f>
        <v>-1474.289949</v>
      </c>
    </row>
    <row r="1333" ht="14.25" customHeight="1">
      <c r="A1333" s="7">
        <v>1320.0</v>
      </c>
      <c r="B1333" s="14">
        <f t="shared" si="1"/>
        <v>0.1154559925</v>
      </c>
      <c r="C1333" s="39">
        <f t="array" ref="C1333">NPV(B1333,FCFF!$C$9:$I$9)+FCFF!$B$9+FCFF!$I$9*(1+Inputs!$B$6)/(B1333-Inputs!$B$6)/(1+B1333)^7</f>
        <v>-1740.835829</v>
      </c>
    </row>
    <row r="1334" ht="14.25" customHeight="1">
      <c r="A1334" s="7">
        <v>1321.0</v>
      </c>
      <c r="B1334" s="14">
        <f t="shared" si="1"/>
        <v>0.1307764668</v>
      </c>
      <c r="C1334" s="39">
        <f t="array" ref="C1334">NPV(B1334,FCFF!$C$9:$I$9)+FCFF!$B$9+FCFF!$I$9*(1+Inputs!$B$6)/(B1334-Inputs!$B$6)/(1+B1334)^7</f>
        <v>-1982.770165</v>
      </c>
    </row>
    <row r="1335" ht="14.25" customHeight="1">
      <c r="A1335" s="7">
        <v>1322.0</v>
      </c>
      <c r="B1335" s="14">
        <f t="shared" si="1"/>
        <v>0.1095797777</v>
      </c>
      <c r="C1335" s="39">
        <f t="array" ref="C1335">NPV(B1335,FCFF!$C$9:$I$9)+FCFF!$B$9+FCFF!$I$9*(1+Inputs!$B$6)/(B1335-Inputs!$B$6)/(1+B1335)^7</f>
        <v>-1621.841902</v>
      </c>
    </row>
    <row r="1336" ht="14.25" customHeight="1">
      <c r="A1336" s="7">
        <v>1323.0</v>
      </c>
      <c r="B1336" s="14">
        <f t="shared" si="1"/>
        <v>0.1266489167</v>
      </c>
      <c r="C1336" s="39">
        <f t="array" ref="C1336">NPV(B1336,FCFF!$C$9:$I$9)+FCFF!$B$9+FCFF!$I$9*(1+Inputs!$B$6)/(B1336-Inputs!$B$6)/(1+B1336)^7</f>
        <v>-1925.646968</v>
      </c>
    </row>
    <row r="1337" ht="14.25" customHeight="1">
      <c r="A1337" s="7">
        <v>1324.0</v>
      </c>
      <c r="B1337" s="14">
        <f t="shared" si="1"/>
        <v>0.09921303349</v>
      </c>
      <c r="C1337" s="39">
        <f t="array" ref="C1337">NPV(B1337,FCFF!$C$9:$I$9)+FCFF!$B$9+FCFF!$I$9*(1+Inputs!$B$6)/(B1337-Inputs!$B$6)/(1+B1337)^7</f>
        <v>-1361.156209</v>
      </c>
    </row>
    <row r="1338" ht="14.25" customHeight="1">
      <c r="A1338" s="7">
        <v>1325.0</v>
      </c>
      <c r="B1338" s="14">
        <f t="shared" si="1"/>
        <v>0.1156591823</v>
      </c>
      <c r="C1338" s="39">
        <f t="array" ref="C1338">NPV(B1338,FCFF!$C$9:$I$9)+FCFF!$B$9+FCFF!$I$9*(1+Inputs!$B$6)/(B1338-Inputs!$B$6)/(1+B1338)^7</f>
        <v>-1744.646517</v>
      </c>
    </row>
    <row r="1339" ht="14.25" customHeight="1">
      <c r="A1339" s="7">
        <v>1326.0</v>
      </c>
      <c r="B1339" s="14">
        <f t="shared" si="1"/>
        <v>0.1089295536</v>
      </c>
      <c r="C1339" s="39">
        <f t="array" ref="C1339">NPV(B1339,FCFF!$C$9:$I$9)+FCFF!$B$9+FCFF!$I$9*(1+Inputs!$B$6)/(B1339-Inputs!$B$6)/(1+B1339)^7</f>
        <v>-1607.545657</v>
      </c>
    </row>
    <row r="1340" ht="14.25" customHeight="1">
      <c r="A1340" s="7">
        <v>1327.0</v>
      </c>
      <c r="B1340" s="14">
        <f t="shared" si="1"/>
        <v>0.1228391477</v>
      </c>
      <c r="C1340" s="39">
        <f t="array" ref="C1340">NPV(B1340,FCFF!$C$9:$I$9)+FCFF!$B$9+FCFF!$I$9*(1+Inputs!$B$6)/(B1340-Inputs!$B$6)/(1+B1340)^7</f>
        <v>-1868.054046</v>
      </c>
    </row>
    <row r="1341" ht="14.25" customHeight="1">
      <c r="A1341" s="7">
        <v>1328.0</v>
      </c>
      <c r="B1341" s="14">
        <f t="shared" si="1"/>
        <v>0.09914520649</v>
      </c>
      <c r="C1341" s="39">
        <f t="array" ref="C1341">NPV(B1341,FCFF!$C$9:$I$9)+FCFF!$B$9+FCFF!$I$9*(1+Inputs!$B$6)/(B1341-Inputs!$B$6)/(1+B1341)^7</f>
        <v>-1359.189703</v>
      </c>
    </row>
    <row r="1342" ht="14.25" customHeight="1">
      <c r="A1342" s="7">
        <v>1329.0</v>
      </c>
      <c r="B1342" s="14">
        <f t="shared" si="1"/>
        <v>0.09632625514</v>
      </c>
      <c r="C1342" s="39">
        <f t="array" ref="C1342">NPV(B1342,FCFF!$C$9:$I$9)+FCFF!$B$9+FCFF!$I$9*(1+Inputs!$B$6)/(B1342-Inputs!$B$6)/(1+B1342)^7</f>
        <v>-1273.896256</v>
      </c>
    </row>
    <row r="1343" ht="14.25" customHeight="1">
      <c r="A1343" s="7">
        <v>1330.0</v>
      </c>
      <c r="B1343" s="14">
        <f t="shared" si="1"/>
        <v>0.1319398749</v>
      </c>
      <c r="C1343" s="39">
        <f t="array" ref="C1343">NPV(B1343,FCFF!$C$9:$I$9)+FCFF!$B$9+FCFF!$I$9*(1+Inputs!$B$6)/(B1343-Inputs!$B$6)/(1+B1343)^7</f>
        <v>-1997.966435</v>
      </c>
    </row>
    <row r="1344" ht="14.25" customHeight="1">
      <c r="A1344" s="7">
        <v>1331.0</v>
      </c>
      <c r="B1344" s="14">
        <f t="shared" si="1"/>
        <v>0.107756789</v>
      </c>
      <c r="C1344" s="39">
        <f t="array" ref="C1344">NPV(B1344,FCFF!$C$9:$I$9)+FCFF!$B$9+FCFF!$I$9*(1+Inputs!$B$6)/(B1344-Inputs!$B$6)/(1+B1344)^7</f>
        <v>-1581.137938</v>
      </c>
    </row>
    <row r="1345" ht="14.25" customHeight="1">
      <c r="A1345" s="7">
        <v>1332.0</v>
      </c>
      <c r="B1345" s="14">
        <f t="shared" si="1"/>
        <v>0.09594149807</v>
      </c>
      <c r="C1345" s="39">
        <f t="array" ref="C1345">NPV(B1345,FCFF!$C$9:$I$9)+FCFF!$B$9+FCFF!$I$9*(1+Inputs!$B$6)/(B1345-Inputs!$B$6)/(1+B1345)^7</f>
        <v>-1261.68966</v>
      </c>
    </row>
    <row r="1346" ht="14.25" customHeight="1">
      <c r="A1346" s="7">
        <v>1333.0</v>
      </c>
      <c r="B1346" s="14">
        <f t="shared" si="1"/>
        <v>0.11191214</v>
      </c>
      <c r="C1346" s="39">
        <f t="array" ref="C1346">NPV(B1346,FCFF!$C$9:$I$9)+FCFF!$B$9+FCFF!$I$9*(1+Inputs!$B$6)/(B1346-Inputs!$B$6)/(1+B1346)^7</f>
        <v>-1671.195168</v>
      </c>
    </row>
    <row r="1347" ht="14.25" customHeight="1">
      <c r="A1347" s="7">
        <v>1334.0</v>
      </c>
      <c r="B1347" s="14">
        <f t="shared" si="1"/>
        <v>0.1291908747</v>
      </c>
      <c r="C1347" s="39">
        <f t="array" ref="C1347">NPV(B1347,FCFF!$C$9:$I$9)+FCFF!$B$9+FCFF!$I$9*(1+Inputs!$B$6)/(B1347-Inputs!$B$6)/(1+B1347)^7</f>
        <v>-1961.434755</v>
      </c>
    </row>
    <row r="1348" ht="14.25" customHeight="1">
      <c r="A1348" s="7">
        <v>1335.0</v>
      </c>
      <c r="B1348" s="14">
        <f t="shared" si="1"/>
        <v>0.1038397944</v>
      </c>
      <c r="C1348" s="39">
        <f t="array" ref="C1348">NPV(B1348,FCFF!$C$9:$I$9)+FCFF!$B$9+FCFF!$I$9*(1+Inputs!$B$6)/(B1348-Inputs!$B$6)/(1+B1348)^7</f>
        <v>-1486.703043</v>
      </c>
    </row>
    <row r="1349" ht="14.25" customHeight="1">
      <c r="A1349" s="7">
        <v>1336.0</v>
      </c>
      <c r="B1349" s="14">
        <f t="shared" si="1"/>
        <v>0.1008500061</v>
      </c>
      <c r="C1349" s="39">
        <f t="array" ref="C1349">NPV(B1349,FCFF!$C$9:$I$9)+FCFF!$B$9+FCFF!$I$9*(1+Inputs!$B$6)/(B1349-Inputs!$B$6)/(1+B1349)^7</f>
        <v>-1407.468392</v>
      </c>
    </row>
    <row r="1350" ht="14.25" customHeight="1">
      <c r="A1350" s="7">
        <v>1337.0</v>
      </c>
      <c r="B1350" s="14">
        <f t="shared" si="1"/>
        <v>0.1127566958</v>
      </c>
      <c r="C1350" s="39">
        <f t="array" ref="C1350">NPV(B1350,FCFF!$C$9:$I$9)+FCFF!$B$9+FCFF!$I$9*(1+Inputs!$B$6)/(B1350-Inputs!$B$6)/(1+B1350)^7</f>
        <v>-1688.355575</v>
      </c>
    </row>
    <row r="1351" ht="14.25" customHeight="1">
      <c r="A1351" s="7">
        <v>1338.0</v>
      </c>
      <c r="B1351" s="14">
        <f t="shared" si="1"/>
        <v>0.1267215226</v>
      </c>
      <c r="C1351" s="39">
        <f t="array" ref="C1351">NPV(B1351,FCFF!$C$9:$I$9)+FCFF!$B$9+FCFF!$I$9*(1+Inputs!$B$6)/(B1351-Inputs!$B$6)/(1+B1351)^7</f>
        <v>-1926.697341</v>
      </c>
    </row>
    <row r="1352" ht="14.25" customHeight="1">
      <c r="A1352" s="7">
        <v>1339.0</v>
      </c>
      <c r="B1352" s="14">
        <f t="shared" si="1"/>
        <v>0.1012463229</v>
      </c>
      <c r="C1352" s="39">
        <f t="array" ref="C1352">NPV(B1352,FCFF!$C$9:$I$9)+FCFF!$B$9+FCFF!$I$9*(1+Inputs!$B$6)/(B1352-Inputs!$B$6)/(1+B1352)^7</f>
        <v>-1418.35833</v>
      </c>
    </row>
    <row r="1353" ht="14.25" customHeight="1">
      <c r="A1353" s="7">
        <v>1340.0</v>
      </c>
      <c r="B1353" s="14">
        <f t="shared" si="1"/>
        <v>0.1212574663</v>
      </c>
      <c r="C1353" s="39">
        <f t="array" ref="C1353">NPV(B1353,FCFF!$C$9:$I$9)+FCFF!$B$9+FCFF!$I$9*(1+Inputs!$B$6)/(B1353-Inputs!$B$6)/(1+B1353)^7</f>
        <v>-1842.632064</v>
      </c>
    </row>
    <row r="1354" ht="14.25" customHeight="1">
      <c r="A1354" s="7">
        <v>1341.0</v>
      </c>
      <c r="B1354" s="14">
        <f t="shared" si="1"/>
        <v>0.1273399362</v>
      </c>
      <c r="C1354" s="39">
        <f t="array" ref="C1354">NPV(B1354,FCFF!$C$9:$I$9)+FCFF!$B$9+FCFF!$I$9*(1+Inputs!$B$6)/(B1354-Inputs!$B$6)/(1+B1354)^7</f>
        <v>-1935.575406</v>
      </c>
    </row>
    <row r="1355" ht="14.25" customHeight="1">
      <c r="A1355" s="7">
        <v>1342.0</v>
      </c>
      <c r="B1355" s="14">
        <f t="shared" si="1"/>
        <v>0.1046227005</v>
      </c>
      <c r="C1355" s="39">
        <f t="array" ref="C1355">NPV(B1355,FCFF!$C$9:$I$9)+FCFF!$B$9+FCFF!$I$9*(1+Inputs!$B$6)/(B1355-Inputs!$B$6)/(1+B1355)^7</f>
        <v>-1506.387431</v>
      </c>
    </row>
    <row r="1356" ht="14.25" customHeight="1">
      <c r="A1356" s="7">
        <v>1343.0</v>
      </c>
      <c r="B1356" s="14">
        <f t="shared" si="1"/>
        <v>0.1259098754</v>
      </c>
      <c r="C1356" s="39">
        <f t="array" ref="C1356">NPV(B1356,FCFF!$C$9:$I$9)+FCFF!$B$9+FCFF!$I$9*(1+Inputs!$B$6)/(B1356-Inputs!$B$6)/(1+B1356)^7</f>
        <v>-1914.858067</v>
      </c>
    </row>
    <row r="1357" ht="14.25" customHeight="1">
      <c r="A1357" s="7">
        <v>1344.0</v>
      </c>
      <c r="B1357" s="14">
        <f t="shared" si="1"/>
        <v>0.1251367658</v>
      </c>
      <c r="C1357" s="39">
        <f t="array" ref="C1357">NPV(B1357,FCFF!$C$9:$I$9)+FCFF!$B$9+FCFF!$I$9*(1+Inputs!$B$6)/(B1357-Inputs!$B$6)/(1+B1357)^7</f>
        <v>-1903.378985</v>
      </c>
    </row>
    <row r="1358" ht="14.25" customHeight="1">
      <c r="A1358" s="7">
        <v>1345.0</v>
      </c>
      <c r="B1358" s="14">
        <f t="shared" si="1"/>
        <v>0.1324063522</v>
      </c>
      <c r="C1358" s="39">
        <f t="array" ref="C1358">NPV(B1358,FCFF!$C$9:$I$9)+FCFF!$B$9+FCFF!$I$9*(1+Inputs!$B$6)/(B1358-Inputs!$B$6)/(1+B1358)^7</f>
        <v>-2003.953877</v>
      </c>
    </row>
    <row r="1359" ht="14.25" customHeight="1">
      <c r="A1359" s="7">
        <v>1346.0</v>
      </c>
      <c r="B1359" s="14">
        <f t="shared" si="1"/>
        <v>0.1158685164</v>
      </c>
      <c r="C1359" s="39">
        <f t="array" ref="C1359">NPV(B1359,FCFF!$C$9:$I$9)+FCFF!$B$9+FCFF!$I$9*(1+Inputs!$B$6)/(B1359-Inputs!$B$6)/(1+B1359)^7</f>
        <v>-1748.552684</v>
      </c>
    </row>
    <row r="1360" ht="14.25" customHeight="1">
      <c r="A1360" s="7">
        <v>1347.0</v>
      </c>
      <c r="B1360" s="14">
        <f t="shared" si="1"/>
        <v>0.1024716397</v>
      </c>
      <c r="C1360" s="39">
        <f t="array" ref="C1360">NPV(B1360,FCFF!$C$9:$I$9)+FCFF!$B$9+FCFF!$I$9*(1+Inputs!$B$6)/(B1360-Inputs!$B$6)/(1+B1360)^7</f>
        <v>-1451.266207</v>
      </c>
    </row>
    <row r="1361" ht="14.25" customHeight="1">
      <c r="A1361" s="7">
        <v>1348.0</v>
      </c>
      <c r="B1361" s="14">
        <f t="shared" si="1"/>
        <v>0.1132455011</v>
      </c>
      <c r="C1361" s="39">
        <f t="array" ref="C1361">NPV(B1361,FCFF!$C$9:$I$9)+FCFF!$B$9+FCFF!$I$9*(1+Inputs!$B$6)/(B1361-Inputs!$B$6)/(1+B1361)^7</f>
        <v>-1698.122212</v>
      </c>
    </row>
    <row r="1362" ht="14.25" customHeight="1">
      <c r="A1362" s="7">
        <v>1349.0</v>
      </c>
      <c r="B1362" s="14">
        <f t="shared" si="1"/>
        <v>0.1196247725</v>
      </c>
      <c r="C1362" s="39">
        <f t="array" ref="C1362">NPV(B1362,FCFF!$C$9:$I$9)+FCFF!$B$9+FCFF!$I$9*(1+Inputs!$B$6)/(B1362-Inputs!$B$6)/(1+B1362)^7</f>
        <v>-1815.389536</v>
      </c>
    </row>
    <row r="1363" ht="14.25" customHeight="1">
      <c r="A1363" s="7">
        <v>1350.0</v>
      </c>
      <c r="B1363" s="14">
        <f t="shared" si="1"/>
        <v>0.1323352926</v>
      </c>
      <c r="C1363" s="39">
        <f t="array" ref="C1363">NPV(B1363,FCFF!$C$9:$I$9)+FCFF!$B$9+FCFF!$I$9*(1+Inputs!$B$6)/(B1363-Inputs!$B$6)/(1+B1363)^7</f>
        <v>-2003.045642</v>
      </c>
    </row>
    <row r="1364" ht="14.25" customHeight="1">
      <c r="A1364" s="7">
        <v>1351.0</v>
      </c>
      <c r="B1364" s="14">
        <f t="shared" si="1"/>
        <v>0.1124086462</v>
      </c>
      <c r="C1364" s="39">
        <f t="array" ref="C1364">NPV(B1364,FCFF!$C$9:$I$9)+FCFF!$B$9+FCFF!$I$9*(1+Inputs!$B$6)/(B1364-Inputs!$B$6)/(1+B1364)^7</f>
        <v>-1681.327867</v>
      </c>
    </row>
    <row r="1365" ht="14.25" customHeight="1">
      <c r="A1365" s="7">
        <v>1352.0</v>
      </c>
      <c r="B1365" s="14">
        <f t="shared" si="1"/>
        <v>0.1081539528</v>
      </c>
      <c r="C1365" s="39">
        <f t="array" ref="C1365">NPV(B1365,FCFF!$C$9:$I$9)+FCFF!$B$9+FCFF!$I$9*(1+Inputs!$B$6)/(B1365-Inputs!$B$6)/(1+B1365)^7</f>
        <v>-1590.172333</v>
      </c>
    </row>
    <row r="1366" ht="14.25" customHeight="1">
      <c r="A1366" s="7">
        <v>1353.0</v>
      </c>
      <c r="B1366" s="14">
        <f t="shared" si="1"/>
        <v>0.1126375064</v>
      </c>
      <c r="C1366" s="39">
        <f t="array" ref="C1366">NPV(B1366,FCFF!$C$9:$I$9)+FCFF!$B$9+FCFF!$I$9*(1+Inputs!$B$6)/(B1366-Inputs!$B$6)/(1+B1366)^7</f>
        <v>-1685.95587</v>
      </c>
    </row>
    <row r="1367" ht="14.25" customHeight="1">
      <c r="A1367" s="7">
        <v>1354.0</v>
      </c>
      <c r="B1367" s="14">
        <f t="shared" si="1"/>
        <v>0.1182780386</v>
      </c>
      <c r="C1367" s="39">
        <f t="array" ref="C1367">NPV(B1367,FCFF!$C$9:$I$9)+FCFF!$B$9+FCFF!$I$9*(1+Inputs!$B$6)/(B1367-Inputs!$B$6)/(1+B1367)^7</f>
        <v>-1792.115246</v>
      </c>
    </row>
    <row r="1368" ht="14.25" customHeight="1">
      <c r="A1368" s="7">
        <v>1355.0</v>
      </c>
      <c r="B1368" s="14">
        <f t="shared" si="1"/>
        <v>0.1063091416</v>
      </c>
      <c r="C1368" s="39">
        <f t="array" ref="C1368">NPV(B1368,FCFF!$C$9:$I$9)+FCFF!$B$9+FCFF!$I$9*(1+Inputs!$B$6)/(B1368-Inputs!$B$6)/(1+B1368)^7</f>
        <v>-1547.390862</v>
      </c>
    </row>
    <row r="1369" ht="14.25" customHeight="1">
      <c r="A1369" s="7">
        <v>1356.0</v>
      </c>
      <c r="B1369" s="14">
        <f t="shared" si="1"/>
        <v>0.1256261533</v>
      </c>
      <c r="C1369" s="39">
        <f t="array" ref="C1369">NPV(B1369,FCFF!$C$9:$I$9)+FCFF!$B$9+FCFF!$I$9*(1+Inputs!$B$6)/(B1369-Inputs!$B$6)/(1+B1369)^7</f>
        <v>-1910.668519</v>
      </c>
    </row>
    <row r="1370" ht="14.25" customHeight="1">
      <c r="A1370" s="7">
        <v>1357.0</v>
      </c>
      <c r="B1370" s="14">
        <f t="shared" si="1"/>
        <v>0.1151103567</v>
      </c>
      <c r="C1370" s="39">
        <f t="array" ref="C1370">NPV(B1370,FCFF!$C$9:$I$9)+FCFF!$B$9+FCFF!$I$9*(1+Inputs!$B$6)/(B1370-Inputs!$B$6)/(1+B1370)^7</f>
        <v>-1734.309899</v>
      </c>
    </row>
    <row r="1371" ht="14.25" customHeight="1">
      <c r="A1371" s="7">
        <v>1358.0</v>
      </c>
      <c r="B1371" s="14">
        <f t="shared" si="1"/>
        <v>0.1011044606</v>
      </c>
      <c r="C1371" s="39">
        <f t="array" ref="C1371">NPV(B1371,FCFF!$C$9:$I$9)+FCFF!$B$9+FCFF!$I$9*(1+Inputs!$B$6)/(B1371-Inputs!$B$6)/(1+B1371)^7</f>
        <v>-1414.474336</v>
      </c>
    </row>
    <row r="1372" ht="14.25" customHeight="1">
      <c r="A1372" s="7">
        <v>1359.0</v>
      </c>
      <c r="B1372" s="14">
        <f t="shared" si="1"/>
        <v>0.09412942358</v>
      </c>
      <c r="C1372" s="39">
        <f t="array" ref="C1372">NPV(B1372,FCFF!$C$9:$I$9)+FCFF!$B$9+FCFF!$I$9*(1+Inputs!$B$6)/(B1372-Inputs!$B$6)/(1+B1372)^7</f>
        <v>-1202.242659</v>
      </c>
    </row>
    <row r="1373" ht="14.25" customHeight="1">
      <c r="A1373" s="7">
        <v>1360.0</v>
      </c>
      <c r="B1373" s="14">
        <f t="shared" si="1"/>
        <v>0.1265730504</v>
      </c>
      <c r="C1373" s="39">
        <f t="array" ref="C1373">NPV(B1373,FCFF!$C$9:$I$9)+FCFF!$B$9+FCFF!$I$9*(1+Inputs!$B$6)/(B1373-Inputs!$B$6)/(1+B1373)^7</f>
        <v>-1924.547612</v>
      </c>
    </row>
    <row r="1374" ht="14.25" customHeight="1">
      <c r="A1374" s="7">
        <v>1361.0</v>
      </c>
      <c r="B1374" s="14">
        <f t="shared" si="1"/>
        <v>0.1234028748</v>
      </c>
      <c r="C1374" s="39">
        <f t="array" ref="C1374">NPV(B1374,FCFF!$C$9:$I$9)+FCFF!$B$9+FCFF!$I$9*(1+Inputs!$B$6)/(B1374-Inputs!$B$6)/(1+B1374)^7</f>
        <v>-1876.89312</v>
      </c>
    </row>
    <row r="1375" ht="14.25" customHeight="1">
      <c r="A1375" s="7">
        <v>1362.0</v>
      </c>
      <c r="B1375" s="14">
        <f t="shared" si="1"/>
        <v>0.09510693919</v>
      </c>
      <c r="C1375" s="39">
        <f t="array" ref="C1375">NPV(B1375,FCFF!$C$9:$I$9)+FCFF!$B$9+FCFF!$I$9*(1+Inputs!$B$6)/(B1375-Inputs!$B$6)/(1+B1375)^7</f>
        <v>-1234.719399</v>
      </c>
    </row>
    <row r="1376" ht="14.25" customHeight="1">
      <c r="A1376" s="7">
        <v>1363.0</v>
      </c>
      <c r="B1376" s="14">
        <f t="shared" si="1"/>
        <v>0.1083991623</v>
      </c>
      <c r="C1376" s="39">
        <f t="array" ref="C1376">NPV(B1376,FCFF!$C$9:$I$9)+FCFF!$B$9+FCFF!$I$9*(1+Inputs!$B$6)/(B1376-Inputs!$B$6)/(1+B1376)^7</f>
        <v>-1595.703213</v>
      </c>
    </row>
    <row r="1377" ht="14.25" customHeight="1">
      <c r="A1377" s="7">
        <v>1364.0</v>
      </c>
      <c r="B1377" s="14">
        <f t="shared" si="1"/>
        <v>0.116742056</v>
      </c>
      <c r="C1377" s="39">
        <f t="array" ref="C1377">NPV(B1377,FCFF!$C$9:$I$9)+FCFF!$B$9+FCFF!$I$9*(1+Inputs!$B$6)/(B1377-Inputs!$B$6)/(1+B1377)^7</f>
        <v>-1764.639608</v>
      </c>
    </row>
    <row r="1378" ht="14.25" customHeight="1">
      <c r="A1378" s="7">
        <v>1365.0</v>
      </c>
      <c r="B1378" s="14">
        <f t="shared" si="1"/>
        <v>0.09673605615</v>
      </c>
      <c r="C1378" s="39">
        <f t="array" ref="C1378">NPV(B1378,FCFF!$C$9:$I$9)+FCFF!$B$9+FCFF!$I$9*(1+Inputs!$B$6)/(B1378-Inputs!$B$6)/(1+B1378)^7</f>
        <v>-1286.743091</v>
      </c>
    </row>
    <row r="1379" ht="14.25" customHeight="1">
      <c r="A1379" s="7">
        <v>1366.0</v>
      </c>
      <c r="B1379" s="14">
        <f t="shared" si="1"/>
        <v>0.1158831651</v>
      </c>
      <c r="C1379" s="39">
        <f t="array" ref="C1379">NPV(B1379,FCFF!$C$9:$I$9)+FCFF!$B$9+FCFF!$I$9*(1+Inputs!$B$6)/(B1379-Inputs!$B$6)/(1+B1379)^7</f>
        <v>-1748.825281</v>
      </c>
    </row>
    <row r="1380" ht="14.25" customHeight="1">
      <c r="A1380" s="7">
        <v>1367.0</v>
      </c>
      <c r="B1380" s="14">
        <f t="shared" si="1"/>
        <v>0.1327250717</v>
      </c>
      <c r="C1380" s="39">
        <f t="array" ref="C1380">NPV(B1380,FCFF!$C$9:$I$9)+FCFF!$B$9+FCFF!$I$9*(1+Inputs!$B$6)/(B1380-Inputs!$B$6)/(1+B1380)^7</f>
        <v>-2008.010666</v>
      </c>
    </row>
    <row r="1381" ht="14.25" customHeight="1">
      <c r="A1381" s="7">
        <v>1368.0</v>
      </c>
      <c r="B1381" s="14">
        <f t="shared" si="1"/>
        <v>0.1265026283</v>
      </c>
      <c r="C1381" s="39">
        <f t="array" ref="C1381">NPV(B1381,FCFF!$C$9:$I$9)+FCFF!$B$9+FCFF!$I$9*(1+Inputs!$B$6)/(B1381-Inputs!$B$6)/(1+B1381)^7</f>
        <v>-1923.525482</v>
      </c>
    </row>
    <row r="1382" ht="14.25" customHeight="1">
      <c r="A1382" s="7">
        <v>1369.0</v>
      </c>
      <c r="B1382" s="14">
        <f t="shared" si="1"/>
        <v>0.1032425027</v>
      </c>
      <c r="C1382" s="39">
        <f t="array" ref="C1382">NPV(B1382,FCFF!$C$9:$I$9)+FCFF!$B$9+FCFF!$I$9*(1+Inputs!$B$6)/(B1382-Inputs!$B$6)/(1+B1382)^7</f>
        <v>-1471.397726</v>
      </c>
    </row>
    <row r="1383" ht="14.25" customHeight="1">
      <c r="A1383" s="7">
        <v>1370.0</v>
      </c>
      <c r="B1383" s="14">
        <f t="shared" si="1"/>
        <v>0.1214964735</v>
      </c>
      <c r="C1383" s="39">
        <f t="array" ref="C1383">NPV(B1383,FCFF!$C$9:$I$9)+FCFF!$B$9+FCFF!$I$9*(1+Inputs!$B$6)/(B1383-Inputs!$B$6)/(1+B1383)^7</f>
        <v>-1846.533547</v>
      </c>
    </row>
    <row r="1384" ht="14.25" customHeight="1">
      <c r="A1384" s="7">
        <v>1371.0</v>
      </c>
      <c r="B1384" s="14">
        <f t="shared" si="1"/>
        <v>0.1115755976</v>
      </c>
      <c r="C1384" s="39">
        <f t="array" ref="C1384">NPV(B1384,FCFF!$C$9:$I$9)+FCFF!$B$9+FCFF!$I$9*(1+Inputs!$B$6)/(B1384-Inputs!$B$6)/(1+B1384)^7</f>
        <v>-1664.254205</v>
      </c>
    </row>
    <row r="1385" ht="14.25" customHeight="1">
      <c r="A1385" s="7">
        <v>1372.0</v>
      </c>
      <c r="B1385" s="14">
        <f t="shared" si="1"/>
        <v>0.1245327835</v>
      </c>
      <c r="C1385" s="39">
        <f t="array" ref="C1385">NPV(B1385,FCFF!$C$9:$I$9)+FCFF!$B$9+FCFF!$I$9*(1+Inputs!$B$6)/(B1385-Inputs!$B$6)/(1+B1385)^7</f>
        <v>-1894.270922</v>
      </c>
    </row>
    <row r="1386" ht="14.25" customHeight="1">
      <c r="A1386" s="7">
        <v>1373.0</v>
      </c>
      <c r="B1386" s="14">
        <f t="shared" si="1"/>
        <v>0.1120418448</v>
      </c>
      <c r="C1386" s="39">
        <f t="array" ref="C1386">NPV(B1386,FCFF!$C$9:$I$9)+FCFF!$B$9+FCFF!$I$9*(1+Inputs!$B$6)/(B1386-Inputs!$B$6)/(1+B1386)^7</f>
        <v>-1673.85447</v>
      </c>
    </row>
    <row r="1387" ht="14.25" customHeight="1">
      <c r="A1387" s="7">
        <v>1374.0</v>
      </c>
      <c r="B1387" s="14">
        <f t="shared" si="1"/>
        <v>0.1309972055</v>
      </c>
      <c r="C1387" s="39">
        <f t="array" ref="C1387">NPV(B1387,FCFF!$C$9:$I$9)+FCFF!$B$9+FCFF!$I$9*(1+Inputs!$B$6)/(B1387-Inputs!$B$6)/(1+B1387)^7</f>
        <v>-1985.682721</v>
      </c>
    </row>
    <row r="1388" ht="14.25" customHeight="1">
      <c r="A1388" s="7">
        <v>1375.0</v>
      </c>
      <c r="B1388" s="14">
        <f t="shared" si="1"/>
        <v>0.1072120939</v>
      </c>
      <c r="C1388" s="39">
        <f t="array" ref="C1388">NPV(B1388,FCFF!$C$9:$I$9)+FCFF!$B$9+FCFF!$I$9*(1+Inputs!$B$6)/(B1388-Inputs!$B$6)/(1+B1388)^7</f>
        <v>-1568.592403</v>
      </c>
    </row>
    <row r="1389" ht="14.25" customHeight="1">
      <c r="A1389" s="7">
        <v>1376.0</v>
      </c>
      <c r="B1389" s="14">
        <f t="shared" si="1"/>
        <v>0.1169068098</v>
      </c>
      <c r="C1389" s="39">
        <f t="array" ref="C1389">NPV(B1389,FCFF!$C$9:$I$9)+FCFF!$B$9+FCFF!$I$9*(1+Inputs!$B$6)/(B1389-Inputs!$B$6)/(1+B1389)^7</f>
        <v>-1767.635639</v>
      </c>
    </row>
    <row r="1390" ht="14.25" customHeight="1">
      <c r="A1390" s="7">
        <v>1377.0</v>
      </c>
      <c r="B1390" s="14">
        <f t="shared" si="1"/>
        <v>0.1194920879</v>
      </c>
      <c r="C1390" s="39">
        <f t="array" ref="C1390">NPV(B1390,FCFF!$C$9:$I$9)+FCFF!$B$9+FCFF!$I$9*(1+Inputs!$B$6)/(B1390-Inputs!$B$6)/(1+B1390)^7</f>
        <v>-1813.129335</v>
      </c>
    </row>
    <row r="1391" ht="14.25" customHeight="1">
      <c r="A1391" s="7">
        <v>1378.0</v>
      </c>
      <c r="B1391" s="14">
        <f t="shared" si="1"/>
        <v>0.1217467511</v>
      </c>
      <c r="C1391" s="39">
        <f t="array" ref="C1391">NPV(B1391,FCFF!$C$9:$I$9)+FCFF!$B$9+FCFF!$I$9*(1+Inputs!$B$6)/(B1391-Inputs!$B$6)/(1+B1391)^7</f>
        <v>-1850.595853</v>
      </c>
    </row>
    <row r="1392" ht="14.25" customHeight="1">
      <c r="A1392" s="7">
        <v>1379.0</v>
      </c>
      <c r="B1392" s="14">
        <f t="shared" si="1"/>
        <v>0.12576478</v>
      </c>
      <c r="C1392" s="39">
        <f t="array" ref="C1392">NPV(B1392,FCFF!$C$9:$I$9)+FCFF!$B$9+FCFF!$I$9*(1+Inputs!$B$6)/(B1392-Inputs!$B$6)/(1+B1392)^7</f>
        <v>-1912.718864</v>
      </c>
    </row>
    <row r="1393" ht="14.25" customHeight="1">
      <c r="A1393" s="7">
        <v>1380.0</v>
      </c>
      <c r="B1393" s="14">
        <f t="shared" si="1"/>
        <v>0.1170297316</v>
      </c>
      <c r="C1393" s="39">
        <f t="array" ref="C1393">NPV(B1393,FCFF!$C$9:$I$9)+FCFF!$B$9+FCFF!$I$9*(1+Inputs!$B$6)/(B1393-Inputs!$B$6)/(1+B1393)^7</f>
        <v>-1769.863199</v>
      </c>
    </row>
    <row r="1394" ht="14.25" customHeight="1">
      <c r="A1394" s="7">
        <v>1381.0</v>
      </c>
      <c r="B1394" s="14">
        <f t="shared" si="1"/>
        <v>0.1220253087</v>
      </c>
      <c r="C1394" s="39">
        <f t="array" ref="C1394">NPV(B1394,FCFF!$C$9:$I$9)+FCFF!$B$9+FCFF!$I$9*(1+Inputs!$B$6)/(B1394-Inputs!$B$6)/(1+B1394)^7</f>
        <v>-1855.089553</v>
      </c>
    </row>
    <row r="1395" ht="14.25" customHeight="1">
      <c r="A1395" s="7">
        <v>1382.0</v>
      </c>
      <c r="B1395" s="14">
        <f t="shared" si="1"/>
        <v>0.1140562373</v>
      </c>
      <c r="C1395" s="39">
        <f t="array" ref="C1395">NPV(B1395,FCFF!$C$9:$I$9)+FCFF!$B$9+FCFF!$I$9*(1+Inputs!$B$6)/(B1395-Inputs!$B$6)/(1+B1395)^7</f>
        <v>-1714.060499</v>
      </c>
    </row>
    <row r="1396" ht="14.25" customHeight="1">
      <c r="A1396" s="7">
        <v>1383.0</v>
      </c>
      <c r="B1396" s="14">
        <f t="shared" si="1"/>
        <v>0.09683459551</v>
      </c>
      <c r="C1396" s="39">
        <f t="array" ref="C1396">NPV(B1396,FCFF!$C$9:$I$9)+FCFF!$B$9+FCFF!$I$9*(1+Inputs!$B$6)/(B1396-Inputs!$B$6)/(1+B1396)^7</f>
        <v>-1289.80876</v>
      </c>
    </row>
    <row r="1397" ht="14.25" customHeight="1">
      <c r="A1397" s="7">
        <v>1384.0</v>
      </c>
      <c r="B1397" s="14">
        <f t="shared" si="1"/>
        <v>0.1020593789</v>
      </c>
      <c r="C1397" s="39">
        <f t="array" ref="C1397">NPV(B1397,FCFF!$C$9:$I$9)+FCFF!$B$9+FCFF!$I$9*(1+Inputs!$B$6)/(B1397-Inputs!$B$6)/(1+B1397)^7</f>
        <v>-1440.320644</v>
      </c>
    </row>
    <row r="1398" ht="14.25" customHeight="1">
      <c r="A1398" s="7">
        <v>1385.0</v>
      </c>
      <c r="B1398" s="14">
        <f t="shared" si="1"/>
        <v>0.118483974</v>
      </c>
      <c r="C1398" s="39">
        <f t="array" ref="C1398">NPV(B1398,FCFF!$C$9:$I$9)+FCFF!$B$9+FCFF!$I$9*(1+Inputs!$B$6)/(B1398-Inputs!$B$6)/(1+B1398)^7</f>
        <v>-1795.722673</v>
      </c>
    </row>
    <row r="1399" ht="14.25" customHeight="1">
      <c r="A1399" s="7">
        <v>1386.0</v>
      </c>
      <c r="B1399" s="14">
        <f t="shared" si="1"/>
        <v>0.1149721357</v>
      </c>
      <c r="C1399" s="39">
        <f t="array" ref="C1399">NPV(B1399,FCFF!$C$9:$I$9)+FCFF!$B$9+FCFF!$I$9*(1+Inputs!$B$6)/(B1399-Inputs!$B$6)/(1+B1399)^7</f>
        <v>-1731.684606</v>
      </c>
    </row>
    <row r="1400" ht="14.25" customHeight="1">
      <c r="A1400" s="7">
        <v>1387.0</v>
      </c>
      <c r="B1400" s="14">
        <f t="shared" si="1"/>
        <v>0.1196348396</v>
      </c>
      <c r="C1400" s="39">
        <f t="array" ref="C1400">NPV(B1400,FCFF!$C$9:$I$9)+FCFF!$B$9+FCFF!$I$9*(1+Inputs!$B$6)/(B1400-Inputs!$B$6)/(1+B1400)^7</f>
        <v>-1815.560733</v>
      </c>
    </row>
    <row r="1401" ht="14.25" customHeight="1">
      <c r="A1401" s="7">
        <v>1388.0</v>
      </c>
      <c r="B1401" s="14">
        <f t="shared" si="1"/>
        <v>0.0979022712</v>
      </c>
      <c r="C1401" s="39">
        <f t="array" ref="C1401">NPV(B1401,FCFF!$C$9:$I$9)+FCFF!$B$9+FCFF!$I$9*(1+Inputs!$B$6)/(B1401-Inputs!$B$6)/(1+B1401)^7</f>
        <v>-1322.455431</v>
      </c>
    </row>
    <row r="1402" ht="14.25" customHeight="1">
      <c r="A1402" s="7">
        <v>1389.0</v>
      </c>
      <c r="B1402" s="14">
        <f t="shared" si="1"/>
        <v>0.1216319479</v>
      </c>
      <c r="C1402" s="39">
        <f t="array" ref="C1402">NPV(B1402,FCFF!$C$9:$I$9)+FCFF!$B$9+FCFF!$I$9*(1+Inputs!$B$6)/(B1402-Inputs!$B$6)/(1+B1402)^7</f>
        <v>-1848.735388</v>
      </c>
    </row>
    <row r="1403" ht="14.25" customHeight="1">
      <c r="A1403" s="7">
        <v>1390.0</v>
      </c>
      <c r="B1403" s="14">
        <f t="shared" si="1"/>
        <v>0.112611374</v>
      </c>
      <c r="C1403" s="39">
        <f t="array" ref="C1403">NPV(B1403,FCFF!$C$9:$I$9)+FCFF!$B$9+FCFF!$I$9*(1+Inputs!$B$6)/(B1403-Inputs!$B$6)/(1+B1403)^7</f>
        <v>-1685.428768</v>
      </c>
    </row>
    <row r="1404" ht="14.25" customHeight="1">
      <c r="A1404" s="7">
        <v>1391.0</v>
      </c>
      <c r="B1404" s="14">
        <f t="shared" si="1"/>
        <v>0.1035693599</v>
      </c>
      <c r="C1404" s="39">
        <f t="array" ref="C1404">NPV(B1404,FCFF!$C$9:$I$9)+FCFF!$B$9+FCFF!$I$9*(1+Inputs!$B$6)/(B1404-Inputs!$B$6)/(1+B1404)^7</f>
        <v>-1479.804563</v>
      </c>
    </row>
    <row r="1405" ht="14.25" customHeight="1">
      <c r="A1405" s="7">
        <v>1392.0</v>
      </c>
      <c r="B1405" s="14">
        <f t="shared" si="1"/>
        <v>0.1175647832</v>
      </c>
      <c r="C1405" s="39">
        <f t="array" ref="C1405">NPV(B1405,FCFF!$C$9:$I$9)+FCFF!$B$9+FCFF!$I$9*(1+Inputs!$B$6)/(B1405-Inputs!$B$6)/(1+B1405)^7</f>
        <v>-1779.482688</v>
      </c>
    </row>
    <row r="1406" ht="14.25" customHeight="1">
      <c r="A1406" s="7">
        <v>1393.0</v>
      </c>
      <c r="B1406" s="14">
        <f t="shared" si="1"/>
        <v>0.1215220741</v>
      </c>
      <c r="C1406" s="39">
        <f t="array" ref="C1406">NPV(B1406,FCFF!$C$9:$I$9)+FCFF!$B$9+FCFF!$I$9*(1+Inputs!$B$6)/(B1406-Inputs!$B$6)/(1+B1406)^7</f>
        <v>-1846.95016</v>
      </c>
    </row>
    <row r="1407" ht="14.25" customHeight="1">
      <c r="A1407" s="7">
        <v>1394.0</v>
      </c>
      <c r="B1407" s="14">
        <f t="shared" si="1"/>
        <v>0.128268858</v>
      </c>
      <c r="C1407" s="39">
        <f t="array" ref="C1407">NPV(B1407,FCFF!$C$9:$I$9)+FCFF!$B$9+FCFF!$I$9*(1+Inputs!$B$6)/(B1407-Inputs!$B$6)/(1+B1407)^7</f>
        <v>-1948.684893</v>
      </c>
    </row>
    <row r="1408" ht="14.25" customHeight="1">
      <c r="A1408" s="7">
        <v>1395.0</v>
      </c>
      <c r="B1408" s="14">
        <f t="shared" si="1"/>
        <v>0.1322767998</v>
      </c>
      <c r="C1408" s="39">
        <f t="array" ref="C1408">NPV(B1408,FCFF!$C$9:$I$9)+FCFF!$B$9+FCFF!$I$9*(1+Inputs!$B$6)/(B1408-Inputs!$B$6)/(1+B1408)^7</f>
        <v>-2002.296992</v>
      </c>
    </row>
    <row r="1409" ht="14.25" customHeight="1">
      <c r="A1409" s="7">
        <v>1396.0</v>
      </c>
      <c r="B1409" s="14">
        <f t="shared" si="1"/>
        <v>0.09658641554</v>
      </c>
      <c r="C1409" s="39">
        <f t="array" ref="C1409">NPV(B1409,FCFF!$C$9:$I$9)+FCFF!$B$9+FCFF!$I$9*(1+Inputs!$B$6)/(B1409-Inputs!$B$6)/(1+B1409)^7</f>
        <v>-1282.070293</v>
      </c>
    </row>
    <row r="1410" ht="14.25" customHeight="1">
      <c r="A1410" s="7">
        <v>1397.0</v>
      </c>
      <c r="B1410" s="14">
        <f t="shared" si="1"/>
        <v>0.1126600305</v>
      </c>
      <c r="C1410" s="39">
        <f t="array" ref="C1410">NPV(B1410,FCFF!$C$9:$I$9)+FCFF!$B$9+FCFF!$I$9*(1+Inputs!$B$6)/(B1410-Inputs!$B$6)/(1+B1410)^7</f>
        <v>-1686.409911</v>
      </c>
    </row>
    <row r="1411" ht="14.25" customHeight="1">
      <c r="A1411" s="7">
        <v>1398.0</v>
      </c>
      <c r="B1411" s="14">
        <f t="shared" si="1"/>
        <v>0.1255906154</v>
      </c>
      <c r="C1411" s="39">
        <f t="array" ref="C1411">NPV(B1411,FCFF!$C$9:$I$9)+FCFF!$B$9+FCFF!$I$9*(1+Inputs!$B$6)/(B1411-Inputs!$B$6)/(1+B1411)^7</f>
        <v>-1910.141872</v>
      </c>
    </row>
    <row r="1412" ht="14.25" customHeight="1">
      <c r="A1412" s="7">
        <v>1399.0</v>
      </c>
      <c r="B1412" s="14">
        <f t="shared" si="1"/>
        <v>0.1075532806</v>
      </c>
      <c r="C1412" s="39">
        <f t="array" ref="C1412">NPV(B1412,FCFF!$C$9:$I$9)+FCFF!$B$9+FCFF!$I$9*(1+Inputs!$B$6)/(B1412-Inputs!$B$6)/(1+B1412)^7</f>
        <v>-1576.471851</v>
      </c>
    </row>
    <row r="1413" ht="14.25" customHeight="1">
      <c r="A1413" s="7">
        <v>1400.0</v>
      </c>
      <c r="B1413" s="14">
        <f t="shared" si="1"/>
        <v>0.1044772842</v>
      </c>
      <c r="C1413" s="39">
        <f t="array" ref="C1413">NPV(B1413,FCFF!$C$9:$I$9)+FCFF!$B$9+FCFF!$I$9*(1+Inputs!$B$6)/(B1413-Inputs!$B$6)/(1+B1413)^7</f>
        <v>-1502.763122</v>
      </c>
    </row>
    <row r="1414" ht="14.25" customHeight="1">
      <c r="A1414" s="7">
        <v>1401.0</v>
      </c>
      <c r="B1414" s="14">
        <f t="shared" si="1"/>
        <v>0.1124119677</v>
      </c>
      <c r="C1414" s="39">
        <f t="array" ref="C1414">NPV(B1414,FCFF!$C$9:$I$9)+FCFF!$B$9+FCFF!$I$9*(1+Inputs!$B$6)/(B1414-Inputs!$B$6)/(1+B1414)^7</f>
        <v>-1681.395227</v>
      </c>
    </row>
    <row r="1415" ht="14.25" customHeight="1">
      <c r="A1415" s="7">
        <v>1402.0</v>
      </c>
      <c r="B1415" s="14">
        <f t="shared" si="1"/>
        <v>0.1044260815</v>
      </c>
      <c r="C1415" s="39">
        <f t="array" ref="C1415">NPV(B1415,FCFF!$C$9:$I$9)+FCFF!$B$9+FCFF!$I$9*(1+Inputs!$B$6)/(B1415-Inputs!$B$6)/(1+B1415)^7</f>
        <v>-1501.483529</v>
      </c>
    </row>
    <row r="1416" ht="14.25" customHeight="1">
      <c r="A1416" s="7">
        <v>1403.0</v>
      </c>
      <c r="B1416" s="14">
        <f t="shared" si="1"/>
        <v>0.1231986684</v>
      </c>
      <c r="C1416" s="39">
        <f t="array" ref="C1416">NPV(B1416,FCFF!$C$9:$I$9)+FCFF!$B$9+FCFF!$I$9*(1+Inputs!$B$6)/(B1416-Inputs!$B$6)/(1+B1416)^7</f>
        <v>-1873.704403</v>
      </c>
    </row>
    <row r="1417" ht="14.25" customHeight="1">
      <c r="A1417" s="7">
        <v>1404.0</v>
      </c>
      <c r="B1417" s="14">
        <f t="shared" si="1"/>
        <v>0.1225272589</v>
      </c>
      <c r="C1417" s="39">
        <f t="array" ref="C1417">NPV(B1417,FCFF!$C$9:$I$9)+FCFF!$B$9+FCFF!$I$9*(1+Inputs!$B$6)/(B1417-Inputs!$B$6)/(1+B1417)^7</f>
        <v>-1863.114353</v>
      </c>
    </row>
    <row r="1418" ht="14.25" customHeight="1">
      <c r="A1418" s="7">
        <v>1405.0</v>
      </c>
      <c r="B1418" s="14">
        <f t="shared" si="1"/>
        <v>0.1198612478</v>
      </c>
      <c r="C1418" s="39">
        <f t="array" ref="C1418">NPV(B1418,FCFF!$C$9:$I$9)+FCFF!$B$9+FCFF!$I$9*(1+Inputs!$B$6)/(B1418-Inputs!$B$6)/(1+B1418)^7</f>
        <v>-1819.400243</v>
      </c>
    </row>
    <row r="1419" ht="14.25" customHeight="1">
      <c r="A1419" s="7">
        <v>1406.0</v>
      </c>
      <c r="B1419" s="14">
        <f t="shared" si="1"/>
        <v>0.1315433694</v>
      </c>
      <c r="C1419" s="39">
        <f t="array" ref="C1419">NPV(B1419,FCFF!$C$9:$I$9)+FCFF!$B$9+FCFF!$I$9*(1+Inputs!$B$6)/(B1419-Inputs!$B$6)/(1+B1419)^7</f>
        <v>-1992.829927</v>
      </c>
    </row>
    <row r="1420" ht="14.25" customHeight="1">
      <c r="A1420" s="7">
        <v>1407.0</v>
      </c>
      <c r="B1420" s="14">
        <f t="shared" si="1"/>
        <v>0.09871441578</v>
      </c>
      <c r="C1420" s="39">
        <f t="array" ref="C1420">NPV(B1420,FCFF!$C$9:$I$9)+FCFF!$B$9+FCFF!$I$9*(1+Inputs!$B$6)/(B1420-Inputs!$B$6)/(1+B1420)^7</f>
        <v>-1346.608811</v>
      </c>
    </row>
    <row r="1421" ht="14.25" customHeight="1">
      <c r="A1421" s="7">
        <v>1408.0</v>
      </c>
      <c r="B1421" s="14">
        <f t="shared" si="1"/>
        <v>0.1260494992</v>
      </c>
      <c r="C1421" s="39">
        <f t="array" ref="C1421">NPV(B1421,FCFF!$C$9:$I$9)+FCFF!$B$9+FCFF!$I$9*(1+Inputs!$B$6)/(B1421-Inputs!$B$6)/(1+B1421)^7</f>
        <v>-1916.910044</v>
      </c>
    </row>
    <row r="1422" ht="14.25" customHeight="1">
      <c r="A1422" s="7">
        <v>1409.0</v>
      </c>
      <c r="B1422" s="14">
        <f t="shared" si="1"/>
        <v>0.1123274268</v>
      </c>
      <c r="C1422" s="39">
        <f t="array" ref="C1422">NPV(B1422,FCFF!$C$9:$I$9)+FCFF!$B$9+FCFF!$I$9*(1+Inputs!$B$6)/(B1422-Inputs!$B$6)/(1+B1422)^7</f>
        <v>-1679.679023</v>
      </c>
    </row>
    <row r="1423" ht="14.25" customHeight="1">
      <c r="A1423" s="7">
        <v>1410.0</v>
      </c>
      <c r="B1423" s="14">
        <f t="shared" si="1"/>
        <v>0.101211678</v>
      </c>
      <c r="C1423" s="39">
        <f t="array" ref="C1423">NPV(B1423,FCFF!$C$9:$I$9)+FCFF!$B$9+FCFF!$I$9*(1+Inputs!$B$6)/(B1423-Inputs!$B$6)/(1+B1423)^7</f>
        <v>-1417.411241</v>
      </c>
    </row>
    <row r="1424" ht="14.25" customHeight="1">
      <c r="A1424" s="7">
        <v>1411.0</v>
      </c>
      <c r="B1424" s="14">
        <f t="shared" si="1"/>
        <v>0.1089137609</v>
      </c>
      <c r="C1424" s="39">
        <f t="array" ref="C1424">NPV(B1424,FCFF!$C$9:$I$9)+FCFF!$B$9+FCFF!$I$9*(1+Inputs!$B$6)/(B1424-Inputs!$B$6)/(1+B1424)^7</f>
        <v>-1607.195408</v>
      </c>
    </row>
    <row r="1425" ht="14.25" customHeight="1">
      <c r="A1425" s="7">
        <v>1412.0</v>
      </c>
      <c r="B1425" s="14">
        <f t="shared" si="1"/>
        <v>0.09306643657</v>
      </c>
      <c r="C1425" s="39">
        <f t="array" ref="C1425">NPV(B1425,FCFF!$C$9:$I$9)+FCFF!$B$9+FCFF!$I$9*(1+Inputs!$B$6)/(B1425-Inputs!$B$6)/(1+B1425)^7</f>
        <v>-1165.794352</v>
      </c>
    </row>
    <row r="1426" ht="14.25" customHeight="1">
      <c r="A1426" s="7">
        <v>1413.0</v>
      </c>
      <c r="B1426" s="14">
        <f t="shared" si="1"/>
        <v>0.1310184192</v>
      </c>
      <c r="C1426" s="39">
        <f t="array" ref="C1426">NPV(B1426,FCFF!$C$9:$I$9)+FCFF!$B$9+FCFF!$I$9*(1+Inputs!$B$6)/(B1426-Inputs!$B$6)/(1+B1426)^7</f>
        <v>-1985.961898</v>
      </c>
    </row>
    <row r="1427" ht="14.25" customHeight="1">
      <c r="A1427" s="7">
        <v>1414.0</v>
      </c>
      <c r="B1427" s="14">
        <f t="shared" si="1"/>
        <v>0.115725291</v>
      </c>
      <c r="C1427" s="39">
        <f t="array" ref="C1427">NPV(B1427,FCFF!$C$9:$I$9)+FCFF!$B$9+FCFF!$I$9*(1+Inputs!$B$6)/(B1427-Inputs!$B$6)/(1+B1427)^7</f>
        <v>-1745.882263</v>
      </c>
    </row>
    <row r="1428" ht="14.25" customHeight="1">
      <c r="A1428" s="7">
        <v>1415.0</v>
      </c>
      <c r="B1428" s="14">
        <f t="shared" si="1"/>
        <v>0.09788789709</v>
      </c>
      <c r="C1428" s="39">
        <f t="array" ref="C1428">NPV(B1428,FCFF!$C$9:$I$9)+FCFF!$B$9+FCFF!$I$9*(1+Inputs!$B$6)/(B1428-Inputs!$B$6)/(1+B1428)^7</f>
        <v>-1322.022728</v>
      </c>
    </row>
    <row r="1429" ht="14.25" customHeight="1">
      <c r="A1429" s="7">
        <v>1416.0</v>
      </c>
      <c r="B1429" s="14">
        <f t="shared" si="1"/>
        <v>0.1216415878</v>
      </c>
      <c r="C1429" s="39">
        <f t="array" ref="C1429">NPV(B1429,FCFF!$C$9:$I$9)+FCFF!$B$9+FCFF!$I$9*(1+Inputs!$B$6)/(B1429-Inputs!$B$6)/(1+B1429)^7</f>
        <v>-1848.8918</v>
      </c>
    </row>
    <row r="1430" ht="14.25" customHeight="1">
      <c r="A1430" s="7">
        <v>1417.0</v>
      </c>
      <c r="B1430" s="14">
        <f t="shared" si="1"/>
        <v>0.1077946122</v>
      </c>
      <c r="C1430" s="39">
        <f t="array" ref="C1430">NPV(B1430,FCFF!$C$9:$I$9)+FCFF!$B$9+FCFF!$I$9*(1+Inputs!$B$6)/(B1430-Inputs!$B$6)/(1+B1430)^7</f>
        <v>-1582.002396</v>
      </c>
    </row>
    <row r="1431" ht="14.25" customHeight="1">
      <c r="A1431" s="7">
        <v>1418.0</v>
      </c>
      <c r="B1431" s="14">
        <f t="shared" si="1"/>
        <v>0.1292639561</v>
      </c>
      <c r="C1431" s="39">
        <f t="array" ref="C1431">NPV(B1431,FCFF!$C$9:$I$9)+FCFF!$B$9+FCFF!$I$9*(1+Inputs!$B$6)/(B1431-Inputs!$B$6)/(1+B1431)^7</f>
        <v>-1962.434381</v>
      </c>
    </row>
    <row r="1432" ht="14.25" customHeight="1">
      <c r="A1432" s="7">
        <v>1419.0</v>
      </c>
      <c r="B1432" s="14">
        <f t="shared" si="1"/>
        <v>0.1044045153</v>
      </c>
      <c r="C1432" s="39">
        <f t="array" ref="C1432">NPV(B1432,FCFF!$C$9:$I$9)+FCFF!$B$9+FCFF!$I$9*(1+Inputs!$B$6)/(B1432-Inputs!$B$6)/(1+B1432)^7</f>
        <v>-1500.944037</v>
      </c>
    </row>
    <row r="1433" ht="14.25" customHeight="1">
      <c r="A1433" s="7">
        <v>1420.0</v>
      </c>
      <c r="B1433" s="14">
        <f t="shared" si="1"/>
        <v>0.1145058543</v>
      </c>
      <c r="C1433" s="39">
        <f t="array" ref="C1433">NPV(B1433,FCFF!$C$9:$I$9)+FCFF!$B$9+FCFF!$I$9*(1+Inputs!$B$6)/(B1433-Inputs!$B$6)/(1+B1433)^7</f>
        <v>-1722.762081</v>
      </c>
    </row>
    <row r="1434" ht="14.25" customHeight="1">
      <c r="A1434" s="7">
        <v>1421.0</v>
      </c>
      <c r="B1434" s="14">
        <f t="shared" si="1"/>
        <v>0.1317814971</v>
      </c>
      <c r="C1434" s="39">
        <f t="array" ref="C1434">NPV(B1434,FCFF!$C$9:$I$9)+FCFF!$B$9+FCFF!$I$9*(1+Inputs!$B$6)/(B1434-Inputs!$B$6)/(1+B1434)^7</f>
        <v>-1995.919969</v>
      </c>
    </row>
    <row r="1435" ht="14.25" customHeight="1">
      <c r="A1435" s="7">
        <v>1422.0</v>
      </c>
      <c r="B1435" s="14">
        <f t="shared" si="1"/>
        <v>0.1080547158</v>
      </c>
      <c r="C1435" s="39">
        <f t="array" ref="C1435">NPV(B1435,FCFF!$C$9:$I$9)+FCFF!$B$9+FCFF!$I$9*(1+Inputs!$B$6)/(B1435-Inputs!$B$6)/(1+B1435)^7</f>
        <v>-1587.923812</v>
      </c>
    </row>
    <row r="1436" ht="14.25" customHeight="1">
      <c r="A1436" s="7">
        <v>1423.0</v>
      </c>
      <c r="B1436" s="14">
        <f t="shared" si="1"/>
        <v>0.1106979612</v>
      </c>
      <c r="C1436" s="39">
        <f t="array" ref="C1436">NPV(B1436,FCFF!$C$9:$I$9)+FCFF!$B$9+FCFF!$I$9*(1+Inputs!$B$6)/(B1436-Inputs!$B$6)/(1+B1436)^7</f>
        <v>-1645.871213</v>
      </c>
    </row>
    <row r="1437" ht="14.25" customHeight="1">
      <c r="A1437" s="7">
        <v>1424.0</v>
      </c>
      <c r="B1437" s="14">
        <f t="shared" si="1"/>
        <v>0.1223223353</v>
      </c>
      <c r="C1437" s="39">
        <f t="array" ref="C1437">NPV(B1437,FCFF!$C$9:$I$9)+FCFF!$B$9+FCFF!$I$9*(1+Inputs!$B$6)/(B1437-Inputs!$B$6)/(1+B1437)^7</f>
        <v>-1859.849413</v>
      </c>
    </row>
    <row r="1438" ht="14.25" customHeight="1">
      <c r="A1438" s="7">
        <v>1425.0</v>
      </c>
      <c r="B1438" s="14">
        <f t="shared" si="1"/>
        <v>0.107575202</v>
      </c>
      <c r="C1438" s="39">
        <f t="array" ref="C1438">NPV(B1438,FCFF!$C$9:$I$9)+FCFF!$B$9+FCFF!$I$9*(1+Inputs!$B$6)/(B1438-Inputs!$B$6)/(1+B1438)^7</f>
        <v>-1576.975676</v>
      </c>
    </row>
    <row r="1439" ht="14.25" customHeight="1">
      <c r="A1439" s="7">
        <v>1426.0</v>
      </c>
      <c r="B1439" s="14">
        <f t="shared" si="1"/>
        <v>0.1056206044</v>
      </c>
      <c r="C1439" s="39">
        <f t="array" ref="C1439">NPV(B1439,FCFF!$C$9:$I$9)+FCFF!$B$9+FCFF!$I$9*(1+Inputs!$B$6)/(B1439-Inputs!$B$6)/(1+B1439)^7</f>
        <v>-1530.8756</v>
      </c>
    </row>
    <row r="1440" ht="14.25" customHeight="1">
      <c r="A1440" s="7">
        <v>1427.0</v>
      </c>
      <c r="B1440" s="14">
        <f t="shared" si="1"/>
        <v>0.1177430424</v>
      </c>
      <c r="C1440" s="39">
        <f t="array" ref="C1440">NPV(B1440,FCFF!$C$9:$I$9)+FCFF!$B$9+FCFF!$I$9*(1+Inputs!$B$6)/(B1440-Inputs!$B$6)/(1+B1440)^7</f>
        <v>-1782.660135</v>
      </c>
    </row>
    <row r="1441" ht="14.25" customHeight="1">
      <c r="A1441" s="7">
        <v>1428.0</v>
      </c>
      <c r="B1441" s="14">
        <f t="shared" si="1"/>
        <v>0.1058789322</v>
      </c>
      <c r="C1441" s="39">
        <f t="array" ref="C1441">NPV(B1441,FCFF!$C$9:$I$9)+FCFF!$B$9+FCFF!$I$9*(1+Inputs!$B$6)/(B1441-Inputs!$B$6)/(1+B1441)^7</f>
        <v>-1537.107761</v>
      </c>
    </row>
    <row r="1442" ht="14.25" customHeight="1">
      <c r="A1442" s="7">
        <v>1429.0</v>
      </c>
      <c r="B1442" s="14">
        <f t="shared" si="1"/>
        <v>0.09604312706</v>
      </c>
      <c r="C1442" s="39">
        <f t="array" ref="C1442">NPV(B1442,FCFF!$C$9:$I$9)+FCFF!$B$9+FCFF!$I$9*(1+Inputs!$B$6)/(B1442-Inputs!$B$6)/(1+B1442)^7</f>
        <v>-1264.927655</v>
      </c>
    </row>
    <row r="1443" ht="14.25" customHeight="1">
      <c r="A1443" s="7">
        <v>1430.0</v>
      </c>
      <c r="B1443" s="14">
        <f t="shared" si="1"/>
        <v>0.09397191719</v>
      </c>
      <c r="C1443" s="39">
        <f t="array" ref="C1443">NPV(B1443,FCFF!$C$9:$I$9)+FCFF!$B$9+FCFF!$I$9*(1+Inputs!$B$6)/(B1443-Inputs!$B$6)/(1+B1443)^7</f>
        <v>-1196.917649</v>
      </c>
    </row>
    <row r="1444" ht="14.25" customHeight="1">
      <c r="A1444" s="7">
        <v>1431.0</v>
      </c>
      <c r="B1444" s="14">
        <f t="shared" si="1"/>
        <v>0.1274873366</v>
      </c>
      <c r="C1444" s="39">
        <f t="array" ref="C1444">NPV(B1444,FCFF!$C$9:$I$9)+FCFF!$B$9+FCFF!$I$9*(1+Inputs!$B$6)/(B1444-Inputs!$B$6)/(1+B1444)^7</f>
        <v>-1937.673606</v>
      </c>
    </row>
    <row r="1445" ht="14.25" customHeight="1">
      <c r="A1445" s="7">
        <v>1432.0</v>
      </c>
      <c r="B1445" s="14">
        <f t="shared" si="1"/>
        <v>0.102693379</v>
      </c>
      <c r="C1445" s="39">
        <f t="array" ref="C1445">NPV(B1445,FCFF!$C$9:$I$9)+FCFF!$B$9+FCFF!$I$9*(1+Inputs!$B$6)/(B1445-Inputs!$B$6)/(1+B1445)^7</f>
        <v>-1457.101405</v>
      </c>
    </row>
    <row r="1446" ht="14.25" customHeight="1">
      <c r="A1446" s="7">
        <v>1433.0</v>
      </c>
      <c r="B1446" s="14">
        <f t="shared" si="1"/>
        <v>0.09422968962</v>
      </c>
      <c r="C1446" s="39">
        <f t="array" ref="C1446">NPV(B1446,FCFF!$C$9:$I$9)+FCFF!$B$9+FCFF!$I$9*(1+Inputs!$B$6)/(B1446-Inputs!$B$6)/(1+B1446)^7</f>
        <v>-1205.618996</v>
      </c>
    </row>
    <row r="1447" ht="14.25" customHeight="1">
      <c r="A1447" s="7">
        <v>1434.0</v>
      </c>
      <c r="B1447" s="14">
        <f t="shared" si="1"/>
        <v>0.1299160806</v>
      </c>
      <c r="C1447" s="39">
        <f t="array" ref="C1447">NPV(B1447,FCFF!$C$9:$I$9)+FCFF!$B$9+FCFF!$I$9*(1+Inputs!$B$6)/(B1447-Inputs!$B$6)/(1+B1447)^7</f>
        <v>-1971.284163</v>
      </c>
    </row>
    <row r="1448" ht="14.25" customHeight="1">
      <c r="A1448" s="7">
        <v>1435.0</v>
      </c>
      <c r="B1448" s="14">
        <f t="shared" si="1"/>
        <v>0.09614966996</v>
      </c>
      <c r="C1448" s="39">
        <f t="array" ref="C1448">NPV(B1448,FCFF!$C$9:$I$9)+FCFF!$B$9+FCFF!$I$9*(1+Inputs!$B$6)/(B1448-Inputs!$B$6)/(1+B1448)^7</f>
        <v>-1268.311573</v>
      </c>
    </row>
    <row r="1449" ht="14.25" customHeight="1">
      <c r="A1449" s="7">
        <v>1436.0</v>
      </c>
      <c r="B1449" s="14">
        <f t="shared" si="1"/>
        <v>0.1249606264</v>
      </c>
      <c r="C1449" s="39">
        <f t="array" ref="C1449">NPV(B1449,FCFF!$C$9:$I$9)+FCFF!$B$9+FCFF!$I$9*(1+Inputs!$B$6)/(B1449-Inputs!$B$6)/(1+B1449)^7</f>
        <v>-1900.735624</v>
      </c>
    </row>
    <row r="1450" ht="14.25" customHeight="1">
      <c r="A1450" s="7">
        <v>1437.0</v>
      </c>
      <c r="B1450" s="14">
        <f t="shared" si="1"/>
        <v>0.1226350011</v>
      </c>
      <c r="C1450" s="39">
        <f t="array" ref="C1450">NPV(B1450,FCFF!$C$9:$I$9)+FCFF!$B$9+FCFF!$I$9*(1+Inputs!$B$6)/(B1450-Inputs!$B$6)/(1+B1450)^7</f>
        <v>-1864.824781</v>
      </c>
    </row>
    <row r="1451" ht="14.25" customHeight="1">
      <c r="A1451" s="7">
        <v>1438.0</v>
      </c>
      <c r="B1451" s="14">
        <f t="shared" si="1"/>
        <v>0.1102324523</v>
      </c>
      <c r="C1451" s="39">
        <f t="array" ref="C1451">NPV(B1451,FCFF!$C$9:$I$9)+FCFF!$B$9+FCFF!$I$9*(1+Inputs!$B$6)/(B1451-Inputs!$B$6)/(1+B1451)^7</f>
        <v>-1635.951688</v>
      </c>
    </row>
    <row r="1452" ht="14.25" customHeight="1">
      <c r="A1452" s="7">
        <v>1439.0</v>
      </c>
      <c r="B1452" s="14">
        <f t="shared" si="1"/>
        <v>0.1325752469</v>
      </c>
      <c r="C1452" s="39">
        <f t="array" ref="C1452">NPV(B1452,FCFF!$C$9:$I$9)+FCFF!$B$9+FCFF!$I$9*(1+Inputs!$B$6)/(B1452-Inputs!$B$6)/(1+B1452)^7</f>
        <v>-2006.107065</v>
      </c>
    </row>
    <row r="1453" ht="14.25" customHeight="1">
      <c r="A1453" s="7">
        <v>1440.0</v>
      </c>
      <c r="B1453" s="14">
        <f t="shared" si="1"/>
        <v>0.09346782641</v>
      </c>
      <c r="C1453" s="39">
        <f t="array" ref="C1453">NPV(B1453,FCFF!$C$9:$I$9)+FCFF!$B$9+FCFF!$I$9*(1+Inputs!$B$6)/(B1453-Inputs!$B$6)/(1+B1453)^7</f>
        <v>-1179.699362</v>
      </c>
    </row>
    <row r="1454" ht="14.25" customHeight="1">
      <c r="A1454" s="7">
        <v>1441.0</v>
      </c>
      <c r="B1454" s="14">
        <f t="shared" si="1"/>
        <v>0.1261421125</v>
      </c>
      <c r="C1454" s="39">
        <f t="array" ref="C1454">NPV(B1454,FCFF!$C$9:$I$9)+FCFF!$B$9+FCFF!$I$9*(1+Inputs!$B$6)/(B1454-Inputs!$B$6)/(1+B1454)^7</f>
        <v>-1918.267598</v>
      </c>
    </row>
    <row r="1455" ht="14.25" customHeight="1">
      <c r="A1455" s="7">
        <v>1442.0</v>
      </c>
      <c r="B1455" s="14">
        <f t="shared" si="1"/>
        <v>0.1002787184</v>
      </c>
      <c r="C1455" s="39">
        <f t="array" ref="C1455">NPV(B1455,FCFF!$C$9:$I$9)+FCFF!$B$9+FCFF!$I$9*(1+Inputs!$B$6)/(B1455-Inputs!$B$6)/(1+B1455)^7</f>
        <v>-1391.552631</v>
      </c>
    </row>
    <row r="1456" ht="14.25" customHeight="1">
      <c r="A1456" s="7">
        <v>1443.0</v>
      </c>
      <c r="B1456" s="14">
        <f t="shared" si="1"/>
        <v>0.1317707163</v>
      </c>
      <c r="C1456" s="39">
        <f t="array" ref="C1456">NPV(B1456,FCFF!$C$9:$I$9)+FCFF!$B$9+FCFF!$I$9*(1+Inputs!$B$6)/(B1456-Inputs!$B$6)/(1+B1456)^7</f>
        <v>-1995.780414</v>
      </c>
    </row>
    <row r="1457" ht="14.25" customHeight="1">
      <c r="A1457" s="7">
        <v>1444.0</v>
      </c>
      <c r="B1457" s="14">
        <f t="shared" si="1"/>
        <v>0.1260474656</v>
      </c>
      <c r="C1457" s="39">
        <f t="array" ref="C1457">NPV(B1457,FCFF!$C$9:$I$9)+FCFF!$B$9+FCFF!$I$9*(1+Inputs!$B$6)/(B1457-Inputs!$B$6)/(1+B1457)^7</f>
        <v>-1916.880202</v>
      </c>
    </row>
    <row r="1458" ht="14.25" customHeight="1">
      <c r="A1458" s="7">
        <v>1445.0</v>
      </c>
      <c r="B1458" s="14">
        <f t="shared" si="1"/>
        <v>0.1191262704</v>
      </c>
      <c r="C1458" s="39">
        <f t="array" ref="C1458">NPV(B1458,FCFF!$C$9:$I$9)+FCFF!$B$9+FCFF!$I$9*(1+Inputs!$B$6)/(B1458-Inputs!$B$6)/(1+B1458)^7</f>
        <v>-1806.861002</v>
      </c>
    </row>
    <row r="1459" ht="14.25" customHeight="1">
      <c r="A1459" s="7">
        <v>1446.0</v>
      </c>
      <c r="B1459" s="14">
        <f t="shared" si="1"/>
        <v>0.1276658333</v>
      </c>
      <c r="C1459" s="39">
        <f t="array" ref="C1459">NPV(B1459,FCFF!$C$9:$I$9)+FCFF!$B$9+FCFF!$I$9*(1+Inputs!$B$6)/(B1459-Inputs!$B$6)/(1+B1459)^7</f>
        <v>-1940.205307</v>
      </c>
    </row>
    <row r="1460" ht="14.25" customHeight="1">
      <c r="A1460" s="7">
        <v>1447.0</v>
      </c>
      <c r="B1460" s="14">
        <f t="shared" si="1"/>
        <v>0.09612527995</v>
      </c>
      <c r="C1460" s="39">
        <f t="array" ref="C1460">NPV(B1460,FCFF!$C$9:$I$9)+FCFF!$B$9+FCFF!$I$9*(1+Inputs!$B$6)/(B1460-Inputs!$B$6)/(1+B1460)^7</f>
        <v>-1267.537879</v>
      </c>
    </row>
    <row r="1461" ht="14.25" customHeight="1">
      <c r="A1461" s="7">
        <v>1448.0</v>
      </c>
      <c r="B1461" s="14">
        <f t="shared" si="1"/>
        <v>0.109334525</v>
      </c>
      <c r="C1461" s="39">
        <f t="array" ref="C1461">NPV(B1461,FCFF!$C$9:$I$9)+FCFF!$B$9+FCFF!$I$9*(1+Inputs!$B$6)/(B1461-Inputs!$B$6)/(1+B1461)^7</f>
        <v>-1616.477992</v>
      </c>
    </row>
    <row r="1462" ht="14.25" customHeight="1">
      <c r="A1462" s="7">
        <v>1449.0</v>
      </c>
      <c r="B1462" s="14">
        <f t="shared" si="1"/>
        <v>0.09578745424</v>
      </c>
      <c r="C1462" s="39">
        <f t="array" ref="C1462">NPV(B1462,FCFF!$C$9:$I$9)+FCFF!$B$9+FCFF!$I$9*(1+Inputs!$B$6)/(B1462-Inputs!$B$6)/(1+B1462)^7</f>
        <v>-1256.762687</v>
      </c>
    </row>
    <row r="1463" ht="14.25" customHeight="1">
      <c r="A1463" s="7">
        <v>1450.0</v>
      </c>
      <c r="B1463" s="14">
        <f t="shared" si="1"/>
        <v>0.09595878703</v>
      </c>
      <c r="C1463" s="39">
        <f t="array" ref="C1463">NPV(B1463,FCFF!$C$9:$I$9)+FCFF!$B$9+FCFF!$I$9*(1+Inputs!$B$6)/(B1463-Inputs!$B$6)/(1+B1463)^7</f>
        <v>-1262.241204</v>
      </c>
    </row>
    <row r="1464" ht="14.25" customHeight="1">
      <c r="A1464" s="7">
        <v>1451.0</v>
      </c>
      <c r="B1464" s="14">
        <f t="shared" si="1"/>
        <v>0.125456761</v>
      </c>
      <c r="C1464" s="39">
        <f t="array" ref="C1464">NPV(B1464,FCFF!$C$9:$I$9)+FCFF!$B$9+FCFF!$I$9*(1+Inputs!$B$6)/(B1464-Inputs!$B$6)/(1+B1464)^7</f>
        <v>-1908.15446</v>
      </c>
    </row>
    <row r="1465" ht="14.25" customHeight="1">
      <c r="A1465" s="7">
        <v>1452.0</v>
      </c>
      <c r="B1465" s="14">
        <f t="shared" si="1"/>
        <v>0.1290388527</v>
      </c>
      <c r="C1465" s="39">
        <f t="array" ref="C1465">NPV(B1465,FCFF!$C$9:$I$9)+FCFF!$B$9+FCFF!$I$9*(1+Inputs!$B$6)/(B1465-Inputs!$B$6)/(1+B1465)^7</f>
        <v>-1959.350242</v>
      </c>
    </row>
    <row r="1466" ht="14.25" customHeight="1">
      <c r="A1466" s="7">
        <v>1453.0</v>
      </c>
      <c r="B1466" s="14">
        <f t="shared" si="1"/>
        <v>0.1235052528</v>
      </c>
      <c r="C1466" s="39">
        <f t="array" ref="C1466">NPV(B1466,FCFF!$C$9:$I$9)+FCFF!$B$9+FCFF!$I$9*(1+Inputs!$B$6)/(B1466-Inputs!$B$6)/(1+B1466)^7</f>
        <v>-1878.486173</v>
      </c>
    </row>
    <row r="1467" ht="14.25" customHeight="1">
      <c r="A1467" s="7">
        <v>1454.0</v>
      </c>
      <c r="B1467" s="14">
        <f t="shared" si="1"/>
        <v>0.1329307867</v>
      </c>
      <c r="C1467" s="39">
        <f t="array" ref="C1467">NPV(B1467,FCFF!$C$9:$I$9)+FCFF!$B$9+FCFF!$I$9*(1+Inputs!$B$6)/(B1467-Inputs!$B$6)/(1+B1467)^7</f>
        <v>-2010.614517</v>
      </c>
    </row>
    <row r="1468" ht="14.25" customHeight="1">
      <c r="A1468" s="7">
        <v>1455.0</v>
      </c>
      <c r="B1468" s="14">
        <f t="shared" si="1"/>
        <v>0.1319043624</v>
      </c>
      <c r="C1468" s="39">
        <f t="array" ref="C1468">NPV(B1468,FCFF!$C$9:$I$9)+FCFF!$B$9+FCFF!$I$9*(1+Inputs!$B$6)/(B1468-Inputs!$B$6)/(1+B1468)^7</f>
        <v>-1997.508166</v>
      </c>
    </row>
    <row r="1469" ht="14.25" customHeight="1">
      <c r="A1469" s="7">
        <v>1456.0</v>
      </c>
      <c r="B1469" s="14">
        <f t="shared" si="1"/>
        <v>0.09663921884</v>
      </c>
      <c r="C1469" s="39">
        <f t="array" ref="C1469">NPV(B1469,FCFF!$C$9:$I$9)+FCFF!$B$9+FCFF!$I$9*(1+Inputs!$B$6)/(B1469-Inputs!$B$6)/(1+B1469)^7</f>
        <v>-1283.721562</v>
      </c>
    </row>
    <row r="1470" ht="14.25" customHeight="1">
      <c r="A1470" s="7">
        <v>1457.0</v>
      </c>
      <c r="B1470" s="14">
        <f t="shared" si="1"/>
        <v>0.1000229747</v>
      </c>
      <c r="C1470" s="39">
        <f t="array" ref="C1470">NPV(B1470,FCFF!$C$9:$I$9)+FCFF!$B$9+FCFF!$I$9*(1+Inputs!$B$6)/(B1470-Inputs!$B$6)/(1+B1470)^7</f>
        <v>-1384.342965</v>
      </c>
    </row>
    <row r="1471" ht="14.25" customHeight="1">
      <c r="A1471" s="7">
        <v>1458.0</v>
      </c>
      <c r="B1471" s="14">
        <f t="shared" si="1"/>
        <v>0.1237187534</v>
      </c>
      <c r="C1471" s="39">
        <f t="array" ref="C1471">NPV(B1471,FCFF!$C$9:$I$9)+FCFF!$B$9+FCFF!$I$9*(1+Inputs!$B$6)/(B1471-Inputs!$B$6)/(1+B1471)^7</f>
        <v>-1881.796392</v>
      </c>
    </row>
    <row r="1472" ht="14.25" customHeight="1">
      <c r="A1472" s="7">
        <v>1459.0</v>
      </c>
      <c r="B1472" s="14">
        <f t="shared" si="1"/>
        <v>0.116822649</v>
      </c>
      <c r="C1472" s="39">
        <f t="array" ref="C1472">NPV(B1472,FCFF!$C$9:$I$9)+FCFF!$B$9+FCFF!$I$9*(1+Inputs!$B$6)/(B1472-Inputs!$B$6)/(1+B1472)^7</f>
        <v>-1766.106676</v>
      </c>
    </row>
    <row r="1473" ht="14.25" customHeight="1">
      <c r="A1473" s="7">
        <v>1460.0</v>
      </c>
      <c r="B1473" s="14">
        <f t="shared" si="1"/>
        <v>0.1093508969</v>
      </c>
      <c r="C1473" s="39">
        <f t="array" ref="C1473">NPV(B1473,FCFF!$C$9:$I$9)+FCFF!$B$9+FCFF!$I$9*(1+Inputs!$B$6)/(B1473-Inputs!$B$6)/(1+B1473)^7</f>
        <v>-1616.837125</v>
      </c>
    </row>
    <row r="1474" ht="14.25" customHeight="1">
      <c r="A1474" s="7">
        <v>1461.0</v>
      </c>
      <c r="B1474" s="14">
        <f t="shared" si="1"/>
        <v>0.1245256916</v>
      </c>
      <c r="C1474" s="39">
        <f t="array" ref="C1474">NPV(B1474,FCFF!$C$9:$I$9)+FCFF!$B$9+FCFF!$I$9*(1+Inputs!$B$6)/(B1474-Inputs!$B$6)/(1+B1474)^7</f>
        <v>-1894.163235</v>
      </c>
    </row>
    <row r="1475" ht="14.25" customHeight="1">
      <c r="A1475" s="7">
        <v>1462.0</v>
      </c>
      <c r="B1475" s="14">
        <f t="shared" si="1"/>
        <v>0.1112983413</v>
      </c>
      <c r="C1475" s="39">
        <f t="array" ref="C1475">NPV(B1475,FCFF!$C$9:$I$9)+FCFF!$B$9+FCFF!$I$9*(1+Inputs!$B$6)/(B1475-Inputs!$B$6)/(1+B1475)^7</f>
        <v>-1658.491209</v>
      </c>
    </row>
    <row r="1476" ht="14.25" customHeight="1">
      <c r="A1476" s="7">
        <v>1463.0</v>
      </c>
      <c r="B1476" s="14">
        <f t="shared" si="1"/>
        <v>0.09421411111</v>
      </c>
      <c r="C1476" s="39">
        <f t="array" ref="C1476">NPV(B1476,FCFF!$C$9:$I$9)+FCFF!$B$9+FCFF!$I$9*(1+Inputs!$B$6)/(B1476-Inputs!$B$6)/(1+B1476)^7</f>
        <v>-1205.095094</v>
      </c>
    </row>
    <row r="1477" ht="14.25" customHeight="1">
      <c r="A1477" s="7">
        <v>1464.0</v>
      </c>
      <c r="B1477" s="14">
        <f t="shared" si="1"/>
        <v>0.1154138535</v>
      </c>
      <c r="C1477" s="39">
        <f t="array" ref="C1477">NPV(B1477,FCFF!$C$9:$I$9)+FCFF!$B$9+FCFF!$I$9*(1+Inputs!$B$6)/(B1477-Inputs!$B$6)/(1+B1477)^7</f>
        <v>-1740.043163</v>
      </c>
    </row>
    <row r="1478" ht="14.25" customHeight="1">
      <c r="A1478" s="7">
        <v>1465.0</v>
      </c>
      <c r="B1478" s="14">
        <f t="shared" si="1"/>
        <v>0.1081847116</v>
      </c>
      <c r="C1478" s="39">
        <f t="array" ref="C1478">NPV(B1478,FCFF!$C$9:$I$9)+FCFF!$B$9+FCFF!$I$9*(1+Inputs!$B$6)/(B1478-Inputs!$B$6)/(1+B1478)^7</f>
        <v>-1590.868076</v>
      </c>
    </row>
    <row r="1479" ht="14.25" customHeight="1">
      <c r="A1479" s="7">
        <v>1466.0</v>
      </c>
      <c r="B1479" s="14">
        <f t="shared" si="1"/>
        <v>0.1150170112</v>
      </c>
      <c r="C1479" s="39">
        <f t="array" ref="C1479">NPV(B1479,FCFF!$C$9:$I$9)+FCFF!$B$9+FCFF!$I$9*(1+Inputs!$B$6)/(B1479-Inputs!$B$6)/(1+B1479)^7</f>
        <v>-1732.537926</v>
      </c>
    </row>
    <row r="1480" ht="14.25" customHeight="1">
      <c r="A1480" s="7">
        <v>1467.0</v>
      </c>
      <c r="B1480" s="14">
        <f t="shared" si="1"/>
        <v>0.09887048276</v>
      </c>
      <c r="C1480" s="39">
        <f t="array" ref="C1480">NPV(B1480,FCFF!$C$9:$I$9)+FCFF!$B$9+FCFF!$I$9*(1+Inputs!$B$6)/(B1480-Inputs!$B$6)/(1+B1480)^7</f>
        <v>-1351.184867</v>
      </c>
    </row>
    <row r="1481" ht="14.25" customHeight="1">
      <c r="A1481" s="7">
        <v>1468.0</v>
      </c>
      <c r="B1481" s="14">
        <f t="shared" si="1"/>
        <v>0.1281940066</v>
      </c>
      <c r="C1481" s="39">
        <f t="array" ref="C1481">NPV(B1481,FCFF!$C$9:$I$9)+FCFF!$B$9+FCFF!$I$9*(1+Inputs!$B$6)/(B1481-Inputs!$B$6)/(1+B1481)^7</f>
        <v>-1947.638465</v>
      </c>
    </row>
    <row r="1482" ht="14.25" customHeight="1">
      <c r="A1482" s="7">
        <v>1469.0</v>
      </c>
      <c r="B1482" s="14">
        <f t="shared" si="1"/>
        <v>0.1314988191</v>
      </c>
      <c r="C1482" s="39">
        <f t="array" ref="C1482">NPV(B1482,FCFF!$C$9:$I$9)+FCFF!$B$9+FCFF!$I$9*(1+Inputs!$B$6)/(B1482-Inputs!$B$6)/(1+B1482)^7</f>
        <v>-1992.250071</v>
      </c>
    </row>
    <row r="1483" ht="14.25" customHeight="1">
      <c r="A1483" s="7">
        <v>1470.0</v>
      </c>
      <c r="B1483" s="14">
        <f t="shared" si="1"/>
        <v>0.1224939969</v>
      </c>
      <c r="C1483" s="39">
        <f t="array" ref="C1483">NPV(B1483,FCFF!$C$9:$I$9)+FCFF!$B$9+FCFF!$I$9*(1+Inputs!$B$6)/(B1483-Inputs!$B$6)/(1+B1483)^7</f>
        <v>-1862.585454</v>
      </c>
    </row>
    <row r="1484" ht="14.25" customHeight="1">
      <c r="A1484" s="7">
        <v>1471.0</v>
      </c>
      <c r="B1484" s="14">
        <f t="shared" si="1"/>
        <v>0.0972757795</v>
      </c>
      <c r="C1484" s="39">
        <f t="array" ref="C1484">NPV(B1484,FCFF!$C$9:$I$9)+FCFF!$B$9+FCFF!$I$9*(1+Inputs!$B$6)/(B1484-Inputs!$B$6)/(1+B1484)^7</f>
        <v>-1303.424541</v>
      </c>
    </row>
    <row r="1485" ht="14.25" customHeight="1">
      <c r="A1485" s="7">
        <v>1472.0</v>
      </c>
      <c r="B1485" s="14">
        <f t="shared" si="1"/>
        <v>0.1002852776</v>
      </c>
      <c r="C1485" s="39">
        <f t="array" ref="C1485">NPV(B1485,FCFF!$C$9:$I$9)+FCFF!$B$9+FCFF!$I$9*(1+Inputs!$B$6)/(B1485-Inputs!$B$6)/(1+B1485)^7</f>
        <v>-1391.736847</v>
      </c>
    </row>
    <row r="1486" ht="14.25" customHeight="1">
      <c r="A1486" s="7">
        <v>1473.0</v>
      </c>
      <c r="B1486" s="14">
        <f t="shared" si="1"/>
        <v>0.1037704101</v>
      </c>
      <c r="C1486" s="39">
        <f t="array" ref="C1486">NPV(B1486,FCFF!$C$9:$I$9)+FCFF!$B$9+FCFF!$I$9*(1+Inputs!$B$6)/(B1486-Inputs!$B$6)/(1+B1486)^7</f>
        <v>-1484.938031</v>
      </c>
    </row>
    <row r="1487" ht="14.25" customHeight="1">
      <c r="A1487" s="7">
        <v>1474.0</v>
      </c>
      <c r="B1487" s="14">
        <f t="shared" si="1"/>
        <v>0.1110163058</v>
      </c>
      <c r="C1487" s="39">
        <f t="array" ref="C1487">NPV(B1487,FCFF!$C$9:$I$9)+FCFF!$B$9+FCFF!$I$9*(1+Inputs!$B$6)/(B1487-Inputs!$B$6)/(1+B1487)^7</f>
        <v>-1652.586939</v>
      </c>
    </row>
    <row r="1488" ht="14.25" customHeight="1">
      <c r="A1488" s="7">
        <v>1475.0</v>
      </c>
      <c r="B1488" s="14">
        <f t="shared" si="1"/>
        <v>0.1054568563</v>
      </c>
      <c r="C1488" s="39">
        <f t="array" ref="C1488">NPV(B1488,FCFF!$C$9:$I$9)+FCFF!$B$9+FCFF!$I$9*(1+Inputs!$B$6)/(B1488-Inputs!$B$6)/(1+B1488)^7</f>
        <v>-1526.902605</v>
      </c>
    </row>
    <row r="1489" ht="14.25" customHeight="1">
      <c r="A1489" s="7">
        <v>1476.0</v>
      </c>
      <c r="B1489" s="14">
        <f t="shared" si="1"/>
        <v>0.112745504</v>
      </c>
      <c r="C1489" s="39">
        <f t="array" ref="C1489">NPV(B1489,FCFF!$C$9:$I$9)+FCFF!$B$9+FCFF!$I$9*(1+Inputs!$B$6)/(B1489-Inputs!$B$6)/(1+B1489)^7</f>
        <v>-1688.13055</v>
      </c>
    </row>
    <row r="1490" ht="14.25" customHeight="1">
      <c r="A1490" s="7">
        <v>1477.0</v>
      </c>
      <c r="B1490" s="14">
        <f t="shared" si="1"/>
        <v>0.09431246577</v>
      </c>
      <c r="C1490" s="39">
        <f t="array" ref="C1490">NPV(B1490,FCFF!$C$9:$I$9)+FCFF!$B$9+FCFF!$I$9*(1+Inputs!$B$6)/(B1490-Inputs!$B$6)/(1+B1490)^7</f>
        <v>-1208.398519</v>
      </c>
    </row>
    <row r="1491" ht="14.25" customHeight="1">
      <c r="A1491" s="7">
        <v>1478.0</v>
      </c>
      <c r="B1491" s="14">
        <f t="shared" si="1"/>
        <v>0.1116302297</v>
      </c>
      <c r="C1491" s="39">
        <f t="array" ref="C1491">NPV(B1491,FCFF!$C$9:$I$9)+FCFF!$B$9+FCFF!$I$9*(1+Inputs!$B$6)/(B1491-Inputs!$B$6)/(1+B1491)^7</f>
        <v>-1665.384991</v>
      </c>
    </row>
    <row r="1492" ht="14.25" customHeight="1">
      <c r="A1492" s="7">
        <v>1479.0</v>
      </c>
      <c r="B1492" s="14">
        <f t="shared" si="1"/>
        <v>0.1303500855</v>
      </c>
      <c r="C1492" s="39">
        <f t="array" ref="C1492">NPV(B1492,FCFF!$C$9:$I$9)+FCFF!$B$9+FCFF!$I$9*(1+Inputs!$B$6)/(B1492-Inputs!$B$6)/(1+B1492)^7</f>
        <v>-1977.104789</v>
      </c>
    </row>
    <row r="1493" ht="14.25" customHeight="1">
      <c r="A1493" s="7">
        <v>1480.0</v>
      </c>
      <c r="B1493" s="14">
        <f t="shared" si="1"/>
        <v>0.1147945816</v>
      </c>
      <c r="C1493" s="39">
        <f t="array" ref="C1493">NPV(B1493,FCFF!$C$9:$I$9)+FCFF!$B$9+FCFF!$I$9*(1+Inputs!$B$6)/(B1493-Inputs!$B$6)/(1+B1493)^7</f>
        <v>-1728.299112</v>
      </c>
    </row>
    <row r="1494" ht="14.25" customHeight="1">
      <c r="A1494" s="7">
        <v>1481.0</v>
      </c>
      <c r="B1494" s="14">
        <f t="shared" si="1"/>
        <v>0.1254901329</v>
      </c>
      <c r="C1494" s="39">
        <f t="array" ref="C1494">NPV(B1494,FCFF!$C$9:$I$9)+FCFF!$B$9+FCFF!$I$9*(1+Inputs!$B$6)/(B1494-Inputs!$B$6)/(1+B1494)^7</f>
        <v>-1908.650511</v>
      </c>
    </row>
    <row r="1495" ht="14.25" customHeight="1">
      <c r="A1495" s="7">
        <v>1482.0</v>
      </c>
      <c r="B1495" s="14">
        <f t="shared" si="1"/>
        <v>0.1024481262</v>
      </c>
      <c r="C1495" s="39">
        <f t="array" ref="C1495">NPV(B1495,FCFF!$C$9:$I$9)+FCFF!$B$9+FCFF!$I$9*(1+Inputs!$B$6)/(B1495-Inputs!$B$6)/(1+B1495)^7</f>
        <v>-1450.645315</v>
      </c>
    </row>
    <row r="1496" ht="14.25" customHeight="1">
      <c r="A1496" s="7">
        <v>1483.0</v>
      </c>
      <c r="B1496" s="14">
        <f t="shared" si="1"/>
        <v>0.1298855737</v>
      </c>
      <c r="C1496" s="39">
        <f t="array" ref="C1496">NPV(B1496,FCFF!$C$9:$I$9)+FCFF!$B$9+FCFF!$I$9*(1+Inputs!$B$6)/(B1496-Inputs!$B$6)/(1+B1496)^7</f>
        <v>-1970.872956</v>
      </c>
    </row>
    <row r="1497" ht="14.25" customHeight="1">
      <c r="A1497" s="7">
        <v>1484.0</v>
      </c>
      <c r="B1497" s="14">
        <f t="shared" si="1"/>
        <v>0.1057485102</v>
      </c>
      <c r="C1497" s="39">
        <f t="array" ref="C1497">NPV(B1497,FCFF!$C$9:$I$9)+FCFF!$B$9+FCFF!$I$9*(1+Inputs!$B$6)/(B1497-Inputs!$B$6)/(1+B1497)^7</f>
        <v>-1533.966758</v>
      </c>
    </row>
    <row r="1498" ht="14.25" customHeight="1">
      <c r="A1498" s="7">
        <v>1485.0</v>
      </c>
      <c r="B1498" s="14">
        <f t="shared" si="1"/>
        <v>0.1244584745</v>
      </c>
      <c r="C1498" s="39">
        <f t="array" ref="C1498">NPV(B1498,FCFF!$C$9:$I$9)+FCFF!$B$9+FCFF!$I$9*(1+Inputs!$B$6)/(B1498-Inputs!$B$6)/(1+B1498)^7</f>
        <v>-1893.141721</v>
      </c>
    </row>
    <row r="1499" ht="14.25" customHeight="1">
      <c r="A1499" s="7">
        <v>1486.0</v>
      </c>
      <c r="B1499" s="14">
        <f t="shared" si="1"/>
        <v>0.107260576</v>
      </c>
      <c r="C1499" s="39">
        <f t="array" ref="C1499">NPV(B1499,FCFF!$C$9:$I$9)+FCFF!$B$9+FCFF!$I$9*(1+Inputs!$B$6)/(B1499-Inputs!$B$6)/(1+B1499)^7</f>
        <v>-1569.716412</v>
      </c>
    </row>
    <row r="1500" ht="14.25" customHeight="1">
      <c r="A1500" s="7">
        <v>1487.0</v>
      </c>
      <c r="B1500" s="14">
        <f t="shared" si="1"/>
        <v>0.1118731399</v>
      </c>
      <c r="C1500" s="39">
        <f t="array" ref="C1500">NPV(B1500,FCFF!$C$9:$I$9)+FCFF!$B$9+FCFF!$I$9*(1+Inputs!$B$6)/(B1500-Inputs!$B$6)/(1+B1500)^7</f>
        <v>-1670.393849</v>
      </c>
    </row>
    <row r="1501" ht="14.25" customHeight="1">
      <c r="A1501" s="7">
        <v>1488.0</v>
      </c>
      <c r="B1501" s="14">
        <f t="shared" si="1"/>
        <v>0.1036583416</v>
      </c>
      <c r="C1501" s="39">
        <f t="array" ref="C1501">NPV(B1501,FCFF!$C$9:$I$9)+FCFF!$B$9+FCFF!$I$9*(1+Inputs!$B$6)/(B1501-Inputs!$B$6)/(1+B1501)^7</f>
        <v>-1482.08007</v>
      </c>
    </row>
    <row r="1502" ht="14.25" customHeight="1">
      <c r="A1502" s="7">
        <v>1489.0</v>
      </c>
      <c r="B1502" s="14">
        <f t="shared" si="1"/>
        <v>0.1234657867</v>
      </c>
      <c r="C1502" s="39">
        <f t="array" ref="C1502">NPV(B1502,FCFF!$C$9:$I$9)+FCFF!$B$9+FCFF!$I$9*(1+Inputs!$B$6)/(B1502-Inputs!$B$6)/(1+B1502)^7</f>
        <v>-1877.872501</v>
      </c>
    </row>
    <row r="1503" ht="14.25" customHeight="1">
      <c r="A1503" s="7">
        <v>1490.0</v>
      </c>
      <c r="B1503" s="14">
        <f t="shared" si="1"/>
        <v>0.121364298</v>
      </c>
      <c r="C1503" s="39">
        <f t="array" ref="C1503">NPV(B1503,FCFF!$C$9:$I$9)+FCFF!$B$9+FCFF!$I$9*(1+Inputs!$B$6)/(B1503-Inputs!$B$6)/(1+B1503)^7</f>
        <v>-1844.378633</v>
      </c>
    </row>
    <row r="1504" ht="14.25" customHeight="1">
      <c r="A1504" s="7">
        <v>1491.0</v>
      </c>
      <c r="B1504" s="14">
        <f t="shared" si="1"/>
        <v>0.122907107</v>
      </c>
      <c r="C1504" s="39">
        <f t="array" ref="C1504">NPV(B1504,FCFF!$C$9:$I$9)+FCFF!$B$9+FCFF!$I$9*(1+Inputs!$B$6)/(B1504-Inputs!$B$6)/(1+B1504)^7</f>
        <v>-1869.125694</v>
      </c>
    </row>
    <row r="1505" ht="14.25" customHeight="1">
      <c r="A1505" s="7">
        <v>1492.0</v>
      </c>
      <c r="B1505" s="14">
        <f t="shared" si="1"/>
        <v>0.09406834783</v>
      </c>
      <c r="C1505" s="39">
        <f t="array" ref="C1505">NPV(B1505,FCFF!$C$9:$I$9)+FCFF!$B$9+FCFF!$I$9*(1+Inputs!$B$6)/(B1505-Inputs!$B$6)/(1+B1505)^7</f>
        <v>-1200.180876</v>
      </c>
    </row>
    <row r="1506" ht="14.25" customHeight="1">
      <c r="A1506" s="7">
        <v>1493.0</v>
      </c>
      <c r="B1506" s="14">
        <f t="shared" si="1"/>
        <v>0.117849663</v>
      </c>
      <c r="C1506" s="39">
        <f t="array" ref="C1506">NPV(B1506,FCFF!$C$9:$I$9)+FCFF!$B$9+FCFF!$I$9*(1+Inputs!$B$6)/(B1506-Inputs!$B$6)/(1+B1506)^7</f>
        <v>-1784.554144</v>
      </c>
    </row>
    <row r="1507" ht="14.25" customHeight="1">
      <c r="A1507" s="7">
        <v>1494.0</v>
      </c>
      <c r="B1507" s="14">
        <f t="shared" si="1"/>
        <v>0.1085865501</v>
      </c>
      <c r="C1507" s="39">
        <f t="array" ref="C1507">NPV(B1507,FCFF!$C$9:$I$9)+FCFF!$B$9+FCFF!$I$9*(1+Inputs!$B$6)/(B1507-Inputs!$B$6)/(1+B1507)^7</f>
        <v>-1599.905954</v>
      </c>
    </row>
    <row r="1508" ht="14.25" customHeight="1">
      <c r="A1508" s="7">
        <v>1495.0</v>
      </c>
      <c r="B1508" s="14">
        <f t="shared" si="1"/>
        <v>0.09588974412</v>
      </c>
      <c r="C1508" s="39">
        <f t="array" ref="C1508">NPV(B1508,FCFF!$C$9:$I$9)+FCFF!$B$9+FCFF!$I$9*(1+Inputs!$B$6)/(B1508-Inputs!$B$6)/(1+B1508)^7</f>
        <v>-1260.036908</v>
      </c>
    </row>
    <row r="1509" ht="14.25" customHeight="1">
      <c r="A1509" s="7">
        <v>1496.0</v>
      </c>
      <c r="B1509" s="14">
        <f t="shared" si="1"/>
        <v>0.1175029996</v>
      </c>
      <c r="C1509" s="39">
        <f t="array" ref="C1509">NPV(B1509,FCFF!$C$9:$I$9)+FCFF!$B$9+FCFF!$I$9*(1+Inputs!$B$6)/(B1509-Inputs!$B$6)/(1+B1509)^7</f>
        <v>-1778.378222</v>
      </c>
    </row>
    <row r="1510" ht="14.25" customHeight="1">
      <c r="A1510" s="7">
        <v>1497.0</v>
      </c>
      <c r="B1510" s="14">
        <f t="shared" si="1"/>
        <v>0.1163608341</v>
      </c>
      <c r="C1510" s="39">
        <f t="array" ref="C1510">NPV(B1510,FCFF!$C$9:$I$9)+FCFF!$B$9+FCFF!$I$9*(1+Inputs!$B$6)/(B1510-Inputs!$B$6)/(1+B1510)^7</f>
        <v>-1757.661093</v>
      </c>
    </row>
    <row r="1511" ht="14.25" customHeight="1">
      <c r="A1511" s="7">
        <v>1498.0</v>
      </c>
      <c r="B1511" s="14">
        <f t="shared" si="1"/>
        <v>0.1118070338</v>
      </c>
      <c r="C1511" s="39">
        <f t="array" ref="C1511">NPV(B1511,FCFF!$C$9:$I$9)+FCFF!$B$9+FCFF!$I$9*(1+Inputs!$B$6)/(B1511-Inputs!$B$6)/(1+B1511)^7</f>
        <v>-1669.033783</v>
      </c>
    </row>
    <row r="1512" ht="14.25" customHeight="1">
      <c r="A1512" s="7">
        <v>1499.0</v>
      </c>
      <c r="B1512" s="14">
        <f t="shared" si="1"/>
        <v>0.1284060452</v>
      </c>
      <c r="C1512" s="39">
        <f t="array" ref="C1512">NPV(B1512,FCFF!$C$9:$I$9)+FCFF!$B$9+FCFF!$I$9*(1+Inputs!$B$6)/(B1512-Inputs!$B$6)/(1+B1512)^7</f>
        <v>-1950.598316</v>
      </c>
    </row>
    <row r="1513" ht="14.25" customHeight="1">
      <c r="A1513" s="7">
        <v>1500.0</v>
      </c>
      <c r="B1513" s="14">
        <f t="shared" si="1"/>
        <v>0.09573771974</v>
      </c>
      <c r="C1513" s="39">
        <f t="array" ref="C1513">NPV(B1513,FCFF!$C$9:$I$9)+FCFF!$B$9+FCFF!$I$9*(1+Inputs!$B$6)/(B1513-Inputs!$B$6)/(1+B1513)^7</f>
        <v>-1255.167059</v>
      </c>
    </row>
    <row r="1514" ht="14.25" customHeight="1">
      <c r="A1514" s="7">
        <v>1501.0</v>
      </c>
      <c r="B1514" s="14">
        <f t="shared" si="1"/>
        <v>0.1302075875</v>
      </c>
      <c r="C1514" s="39">
        <f t="array" ref="C1514">NPV(B1514,FCFF!$C$9:$I$9)+FCFF!$B$9+FCFF!$I$9*(1+Inputs!$B$6)/(B1514-Inputs!$B$6)/(1+B1514)^7</f>
        <v>-1975.199722</v>
      </c>
    </row>
    <row r="1515" ht="14.25" customHeight="1">
      <c r="A1515" s="7">
        <v>1502.0</v>
      </c>
      <c r="B1515" s="14">
        <f t="shared" si="1"/>
        <v>0.09384864069</v>
      </c>
      <c r="C1515" s="39">
        <f t="array" ref="C1515">NPV(B1515,FCFF!$C$9:$I$9)+FCFF!$B$9+FCFF!$I$9*(1+Inputs!$B$6)/(B1515-Inputs!$B$6)/(1+B1515)^7</f>
        <v>-1192.731739</v>
      </c>
    </row>
    <row r="1516" ht="14.25" customHeight="1">
      <c r="A1516" s="7">
        <v>1503.0</v>
      </c>
      <c r="B1516" s="14">
        <f t="shared" si="1"/>
        <v>0.1140653004</v>
      </c>
      <c r="C1516" s="39">
        <f t="array" ref="C1516">NPV(B1516,FCFF!$C$9:$I$9)+FCFF!$B$9+FCFF!$I$9*(1+Inputs!$B$6)/(B1516-Inputs!$B$6)/(1+B1516)^7</f>
        <v>-1714.236859</v>
      </c>
    </row>
    <row r="1517" ht="14.25" customHeight="1">
      <c r="A1517" s="7">
        <v>1504.0</v>
      </c>
      <c r="B1517" s="14">
        <f t="shared" si="1"/>
        <v>0.1146036365</v>
      </c>
      <c r="C1517" s="39">
        <f t="array" ref="C1517">NPV(B1517,FCFF!$C$9:$I$9)+FCFF!$B$9+FCFF!$I$9*(1+Inputs!$B$6)/(B1517-Inputs!$B$6)/(1+B1517)^7</f>
        <v>-1724.641708</v>
      </c>
    </row>
    <row r="1518" ht="14.25" customHeight="1">
      <c r="A1518" s="7">
        <v>1505.0</v>
      </c>
      <c r="B1518" s="14">
        <f t="shared" si="1"/>
        <v>0.1052214211</v>
      </c>
      <c r="C1518" s="39">
        <f t="array" ref="C1518">NPV(B1518,FCFF!$C$9:$I$9)+FCFF!$B$9+FCFF!$I$9*(1+Inputs!$B$6)/(B1518-Inputs!$B$6)/(1+B1518)^7</f>
        <v>-1521.15933</v>
      </c>
    </row>
    <row r="1519" ht="14.25" customHeight="1">
      <c r="A1519" s="7">
        <v>1506.0</v>
      </c>
      <c r="B1519" s="14">
        <f t="shared" si="1"/>
        <v>0.1164286934</v>
      </c>
      <c r="C1519" s="39">
        <f t="array" ref="C1519">NPV(B1519,FCFF!$C$9:$I$9)+FCFF!$B$9+FCFF!$I$9*(1+Inputs!$B$6)/(B1519-Inputs!$B$6)/(1+B1519)^7</f>
        <v>-1758.90803</v>
      </c>
    </row>
    <row r="1520" ht="14.25" customHeight="1">
      <c r="A1520" s="7">
        <v>1507.0</v>
      </c>
      <c r="B1520" s="14">
        <f t="shared" si="1"/>
        <v>0.1050577764</v>
      </c>
      <c r="C1520" s="39">
        <f t="array" ref="C1520">NPV(B1520,FCFF!$C$9:$I$9)+FCFF!$B$9+FCFF!$I$9*(1+Inputs!$B$6)/(B1520-Inputs!$B$6)/(1+B1520)^7</f>
        <v>-1517.145676</v>
      </c>
    </row>
    <row r="1521" ht="14.25" customHeight="1">
      <c r="A1521" s="7">
        <v>1508.0</v>
      </c>
      <c r="B1521" s="14">
        <f t="shared" si="1"/>
        <v>0.115021895</v>
      </c>
      <c r="C1521" s="39">
        <f t="array" ref="C1521">NPV(B1521,FCFF!$C$9:$I$9)+FCFF!$B$9+FCFF!$I$9*(1+Inputs!$B$6)/(B1521-Inputs!$B$6)/(1+B1521)^7</f>
        <v>-1732.630735</v>
      </c>
    </row>
    <row r="1522" ht="14.25" customHeight="1">
      <c r="A1522" s="7">
        <v>1509.0</v>
      </c>
      <c r="B1522" s="14">
        <f t="shared" si="1"/>
        <v>0.1058023573</v>
      </c>
      <c r="C1522" s="39">
        <f t="array" ref="C1522">NPV(B1522,FCFF!$C$9:$I$9)+FCFF!$B$9+FCFF!$I$9*(1+Inputs!$B$6)/(B1522-Inputs!$B$6)/(1+B1522)^7</f>
        <v>-1535.264916</v>
      </c>
    </row>
    <row r="1523" ht="14.25" customHeight="1">
      <c r="A1523" s="7">
        <v>1510.0</v>
      </c>
      <c r="B1523" s="14">
        <f t="shared" si="1"/>
        <v>0.1119326426</v>
      </c>
      <c r="C1523" s="39">
        <f t="array" ref="C1523">NPV(B1523,FCFF!$C$9:$I$9)+FCFF!$B$9+FCFF!$I$9*(1+Inputs!$B$6)/(B1523-Inputs!$B$6)/(1+B1523)^7</f>
        <v>-1671.616108</v>
      </c>
    </row>
    <row r="1524" ht="14.25" customHeight="1">
      <c r="A1524" s="7">
        <v>1511.0</v>
      </c>
      <c r="B1524" s="14">
        <f t="shared" si="1"/>
        <v>0.1065575819</v>
      </c>
      <c r="C1524" s="39">
        <f t="array" ref="C1524">NPV(B1524,FCFF!$C$9:$I$9)+FCFF!$B$9+FCFF!$I$9*(1+Inputs!$B$6)/(B1524-Inputs!$B$6)/(1+B1524)^7</f>
        <v>-1553.275376</v>
      </c>
    </row>
    <row r="1525" ht="14.25" customHeight="1">
      <c r="A1525" s="7">
        <v>1512.0</v>
      </c>
      <c r="B1525" s="14">
        <f t="shared" si="1"/>
        <v>0.09415840127</v>
      </c>
      <c r="C1525" s="39">
        <f t="array" ref="C1525">NPV(B1525,FCFF!$C$9:$I$9)+FCFF!$B$9+FCFF!$I$9*(1+Inputs!$B$6)/(B1525-Inputs!$B$6)/(1+B1525)^7</f>
        <v>-1203.219522</v>
      </c>
    </row>
    <row r="1526" ht="14.25" customHeight="1">
      <c r="A1526" s="7">
        <v>1513.0</v>
      </c>
      <c r="B1526" s="14">
        <f t="shared" si="1"/>
        <v>0.1298101935</v>
      </c>
      <c r="C1526" s="39">
        <f t="array" ref="C1526">NPV(B1526,FCFF!$C$9:$I$9)+FCFF!$B$9+FCFF!$I$9*(1+Inputs!$B$6)/(B1526-Inputs!$B$6)/(1+B1526)^7</f>
        <v>-1969.855727</v>
      </c>
    </row>
    <row r="1527" ht="14.25" customHeight="1">
      <c r="A1527" s="7">
        <v>1514.0</v>
      </c>
      <c r="B1527" s="14">
        <f t="shared" si="1"/>
        <v>0.1260924977</v>
      </c>
      <c r="C1527" s="39">
        <f t="array" ref="C1527">NPV(B1527,FCFF!$C$9:$I$9)+FCFF!$B$9+FCFF!$I$9*(1+Inputs!$B$6)/(B1527-Inputs!$B$6)/(1+B1527)^7</f>
        <v>-1917.540679</v>
      </c>
    </row>
    <row r="1528" ht="14.25" customHeight="1">
      <c r="A1528" s="7">
        <v>1515.0</v>
      </c>
      <c r="B1528" s="14">
        <f t="shared" si="1"/>
        <v>0.1122356612</v>
      </c>
      <c r="C1528" s="39">
        <f t="array" ref="C1528">NPV(B1528,FCFF!$C$9:$I$9)+FCFF!$B$9+FCFF!$I$9*(1+Inputs!$B$6)/(B1528-Inputs!$B$6)/(1+B1528)^7</f>
        <v>-1677.812011</v>
      </c>
    </row>
    <row r="1529" ht="14.25" customHeight="1">
      <c r="A1529" s="7">
        <v>1516.0</v>
      </c>
      <c r="B1529" s="14">
        <f t="shared" si="1"/>
        <v>0.1050351769</v>
      </c>
      <c r="C1529" s="39">
        <f t="array" ref="C1529">NPV(B1529,FCFF!$C$9:$I$9)+FCFF!$B$9+FCFF!$I$9*(1+Inputs!$B$6)/(B1529-Inputs!$B$6)/(1+B1529)^7</f>
        <v>-1516.589984</v>
      </c>
    </row>
    <row r="1530" ht="14.25" customHeight="1">
      <c r="A1530" s="7">
        <v>1517.0</v>
      </c>
      <c r="B1530" s="14">
        <f t="shared" si="1"/>
        <v>0.130325752</v>
      </c>
      <c r="C1530" s="39">
        <f t="array" ref="C1530">NPV(B1530,FCFF!$C$9:$I$9)+FCFF!$B$9+FCFF!$I$9*(1+Inputs!$B$6)/(B1530-Inputs!$B$6)/(1+B1530)^7</f>
        <v>-1976.779888</v>
      </c>
    </row>
    <row r="1531" ht="14.25" customHeight="1">
      <c r="A1531" s="7">
        <v>1518.0</v>
      </c>
      <c r="B1531" s="14">
        <f t="shared" si="1"/>
        <v>0.1092225727</v>
      </c>
      <c r="C1531" s="39">
        <f t="array" ref="C1531">NPV(B1531,FCFF!$C$9:$I$9)+FCFF!$B$9+FCFF!$I$9*(1+Inputs!$B$6)/(B1531-Inputs!$B$6)/(1+B1531)^7</f>
        <v>-1614.018104</v>
      </c>
    </row>
    <row r="1532" ht="14.25" customHeight="1">
      <c r="A1532" s="7">
        <v>1519.0</v>
      </c>
      <c r="B1532" s="14">
        <f t="shared" si="1"/>
        <v>0.125029621</v>
      </c>
      <c r="C1532" s="39">
        <f t="array" ref="C1532">NPV(B1532,FCFF!$C$9:$I$9)+FCFF!$B$9+FCFF!$I$9*(1+Inputs!$B$6)/(B1532-Inputs!$B$6)/(1+B1532)^7</f>
        <v>-1901.772292</v>
      </c>
    </row>
    <row r="1533" ht="14.25" customHeight="1">
      <c r="A1533" s="7">
        <v>1520.0</v>
      </c>
      <c r="B1533" s="14">
        <f t="shared" si="1"/>
        <v>0.1256298218</v>
      </c>
      <c r="C1533" s="39">
        <f t="array" ref="C1533">NPV(B1533,FCFF!$C$9:$I$9)+FCFF!$B$9+FCFF!$I$9*(1+Inputs!$B$6)/(B1533-Inputs!$B$6)/(1+B1533)^7</f>
        <v>-1910.722861</v>
      </c>
    </row>
    <row r="1534" ht="14.25" customHeight="1">
      <c r="A1534" s="7">
        <v>1521.0</v>
      </c>
      <c r="B1534" s="14">
        <f t="shared" si="1"/>
        <v>0.1032140232</v>
      </c>
      <c r="C1534" s="39">
        <f t="array" ref="C1534">NPV(B1534,FCFF!$C$9:$I$9)+FCFF!$B$9+FCFF!$I$9*(1+Inputs!$B$6)/(B1534-Inputs!$B$6)/(1+B1534)^7</f>
        <v>-1470.661617</v>
      </c>
    </row>
    <row r="1535" ht="14.25" customHeight="1">
      <c r="A1535" s="7">
        <v>1522.0</v>
      </c>
      <c r="B1535" s="14">
        <f t="shared" si="1"/>
        <v>0.1094854559</v>
      </c>
      <c r="C1535" s="39">
        <f t="array" ref="C1535">NPV(B1535,FCFF!$C$9:$I$9)+FCFF!$B$9+FCFF!$I$9*(1+Inputs!$B$6)/(B1535-Inputs!$B$6)/(1+B1535)^7</f>
        <v>-1619.783033</v>
      </c>
    </row>
    <row r="1536" ht="14.25" customHeight="1">
      <c r="A1536" s="7">
        <v>1523.0</v>
      </c>
      <c r="B1536" s="14">
        <f t="shared" si="1"/>
        <v>0.1084499475</v>
      </c>
      <c r="C1536" s="39">
        <f t="array" ref="C1536">NPV(B1536,FCFF!$C$9:$I$9)+FCFF!$B$9+FCFF!$I$9*(1+Inputs!$B$6)/(B1536-Inputs!$B$6)/(1+B1536)^7</f>
        <v>-1596.844266</v>
      </c>
    </row>
    <row r="1537" ht="14.25" customHeight="1">
      <c r="A1537" s="7">
        <v>1524.0</v>
      </c>
      <c r="B1537" s="14">
        <f t="shared" si="1"/>
        <v>0.1274398836</v>
      </c>
      <c r="C1537" s="39">
        <f t="array" ref="C1537">NPV(B1537,FCFF!$C$9:$I$9)+FCFF!$B$9+FCFF!$I$9*(1+Inputs!$B$6)/(B1537-Inputs!$B$6)/(1+B1537)^7</f>
        <v>-1936.998874</v>
      </c>
    </row>
    <row r="1538" ht="14.25" customHeight="1">
      <c r="A1538" s="7">
        <v>1525.0</v>
      </c>
      <c r="B1538" s="14">
        <f t="shared" si="1"/>
        <v>0.1086788861</v>
      </c>
      <c r="C1538" s="39">
        <f t="array" ref="C1538">NPV(B1538,FCFF!$C$9:$I$9)+FCFF!$B$9+FCFF!$I$9*(1+Inputs!$B$6)/(B1538-Inputs!$B$6)/(1+B1538)^7</f>
        <v>-1601.969295</v>
      </c>
    </row>
    <row r="1539" ht="14.25" customHeight="1">
      <c r="A1539" s="7">
        <v>1526.0</v>
      </c>
      <c r="B1539" s="14">
        <f t="shared" si="1"/>
        <v>0.1137314106</v>
      </c>
      <c r="C1539" s="39">
        <f t="array" ref="C1539">NPV(B1539,FCFF!$C$9:$I$9)+FCFF!$B$9+FCFF!$I$9*(1+Inputs!$B$6)/(B1539-Inputs!$B$6)/(1+B1539)^7</f>
        <v>-1707.713344</v>
      </c>
    </row>
    <row r="1540" ht="14.25" customHeight="1">
      <c r="A1540" s="7">
        <v>1527.0</v>
      </c>
      <c r="B1540" s="14">
        <f t="shared" si="1"/>
        <v>0.1210849588</v>
      </c>
      <c r="C1540" s="39">
        <f t="array" ref="C1540">NPV(B1540,FCFF!$C$9:$I$9)+FCFF!$B$9+FCFF!$I$9*(1+Inputs!$B$6)/(B1540-Inputs!$B$6)/(1+B1540)^7</f>
        <v>-1839.80259</v>
      </c>
    </row>
    <row r="1541" ht="14.25" customHeight="1">
      <c r="A1541" s="7">
        <v>1528.0</v>
      </c>
      <c r="B1541" s="14">
        <f t="shared" si="1"/>
        <v>0.1286842675</v>
      </c>
      <c r="C1541" s="39">
        <f t="array" ref="C1541">NPV(B1541,FCFF!$C$9:$I$9)+FCFF!$B$9+FCFF!$I$9*(1+Inputs!$B$6)/(B1541-Inputs!$B$6)/(1+B1541)^7</f>
        <v>-1954.461174</v>
      </c>
    </row>
    <row r="1542" ht="14.25" customHeight="1">
      <c r="A1542" s="7">
        <v>1529.0</v>
      </c>
      <c r="B1542" s="14">
        <f t="shared" si="1"/>
        <v>0.1105069267</v>
      </c>
      <c r="C1542" s="39">
        <f t="array" ref="C1542">NPV(B1542,FCFF!$C$9:$I$9)+FCFF!$B$9+FCFF!$I$9*(1+Inputs!$B$6)/(B1542-Inputs!$B$6)/(1+B1542)^7</f>
        <v>-1641.814812</v>
      </c>
    </row>
    <row r="1543" ht="14.25" customHeight="1">
      <c r="A1543" s="7">
        <v>1530.0</v>
      </c>
      <c r="B1543" s="14">
        <f t="shared" si="1"/>
        <v>0.1097747382</v>
      </c>
      <c r="C1543" s="39">
        <f t="array" ref="C1543">NPV(B1543,FCFF!$C$9:$I$9)+FCFF!$B$9+FCFF!$I$9*(1+Inputs!$B$6)/(B1543-Inputs!$B$6)/(1+B1543)^7</f>
        <v>-1626.081602</v>
      </c>
    </row>
    <row r="1544" ht="14.25" customHeight="1">
      <c r="A1544" s="7">
        <v>1531.0</v>
      </c>
      <c r="B1544" s="14">
        <f t="shared" si="1"/>
        <v>0.1005996654</v>
      </c>
      <c r="C1544" s="39">
        <f t="array" ref="C1544">NPV(B1544,FCFF!$C$9:$I$9)+FCFF!$B$9+FCFF!$I$9*(1+Inputs!$B$6)/(B1544-Inputs!$B$6)/(1+B1544)^7</f>
        <v>-1400.525997</v>
      </c>
    </row>
    <row r="1545" ht="14.25" customHeight="1">
      <c r="A1545" s="7">
        <v>1532.0</v>
      </c>
      <c r="B1545" s="14">
        <f t="shared" si="1"/>
        <v>0.1087590996</v>
      </c>
      <c r="C1545" s="39">
        <f t="array" ref="C1545">NPV(B1545,FCFF!$C$9:$I$9)+FCFF!$B$9+FCFF!$I$9*(1+Inputs!$B$6)/(B1545-Inputs!$B$6)/(1+B1545)^7</f>
        <v>-1603.757705</v>
      </c>
    </row>
    <row r="1546" ht="14.25" customHeight="1">
      <c r="A1546" s="7">
        <v>1533.0</v>
      </c>
      <c r="B1546" s="14">
        <f t="shared" si="1"/>
        <v>0.09845567588</v>
      </c>
      <c r="C1546" s="39">
        <f t="array" ref="C1546">NPV(B1546,FCFF!$C$9:$I$9)+FCFF!$B$9+FCFF!$I$9*(1+Inputs!$B$6)/(B1546-Inputs!$B$6)/(1+B1546)^7</f>
        <v>-1338.976164</v>
      </c>
    </row>
    <row r="1547" ht="14.25" customHeight="1">
      <c r="A1547" s="7">
        <v>1534.0</v>
      </c>
      <c r="B1547" s="14">
        <f t="shared" si="1"/>
        <v>0.128540928</v>
      </c>
      <c r="C1547" s="39">
        <f t="array" ref="C1547">NPV(B1547,FCFF!$C$9:$I$9)+FCFF!$B$9+FCFF!$I$9*(1+Inputs!$B$6)/(B1547-Inputs!$B$6)/(1+B1547)^7</f>
        <v>-1952.473984</v>
      </c>
    </row>
    <row r="1548" ht="14.25" customHeight="1">
      <c r="A1548" s="7">
        <v>1535.0</v>
      </c>
      <c r="B1548" s="14">
        <f t="shared" si="1"/>
        <v>0.1234065067</v>
      </c>
      <c r="C1548" s="39">
        <f t="array" ref="C1548">NPV(B1548,FCFF!$C$9:$I$9)+FCFF!$B$9+FCFF!$I$9*(1+Inputs!$B$6)/(B1548-Inputs!$B$6)/(1+B1548)^7</f>
        <v>-1876.949698</v>
      </c>
    </row>
    <row r="1549" ht="14.25" customHeight="1">
      <c r="A1549" s="7">
        <v>1536.0</v>
      </c>
      <c r="B1549" s="14">
        <f t="shared" si="1"/>
        <v>0.1082608045</v>
      </c>
      <c r="C1549" s="39">
        <f t="array" ref="C1549">NPV(B1549,FCFF!$C$9:$I$9)+FCFF!$B$9+FCFF!$I$9*(1+Inputs!$B$6)/(B1549-Inputs!$B$6)/(1+B1549)^7</f>
        <v>-1592.586831</v>
      </c>
    </row>
    <row r="1550" ht="14.25" customHeight="1">
      <c r="A1550" s="7">
        <v>1537.0</v>
      </c>
      <c r="B1550" s="14">
        <f t="shared" si="1"/>
        <v>0.107249395</v>
      </c>
      <c r="C1550" s="39">
        <f t="array" ref="C1550">NPV(B1550,FCFF!$C$9:$I$9)+FCFF!$B$9+FCFF!$I$9*(1+Inputs!$B$6)/(B1550-Inputs!$B$6)/(1+B1550)^7</f>
        <v>-1569.457319</v>
      </c>
    </row>
    <row r="1551" ht="14.25" customHeight="1">
      <c r="A1551" s="7">
        <v>1538.0</v>
      </c>
      <c r="B1551" s="14">
        <f t="shared" si="1"/>
        <v>0.1053387675</v>
      </c>
      <c r="C1551" s="39">
        <f t="array" ref="C1551">NPV(B1551,FCFF!$C$9:$I$9)+FCFF!$B$9+FCFF!$I$9*(1+Inputs!$B$6)/(B1551-Inputs!$B$6)/(1+B1551)^7</f>
        <v>-1524.026492</v>
      </c>
    </row>
    <row r="1552" ht="14.25" customHeight="1">
      <c r="A1552" s="7">
        <v>1539.0</v>
      </c>
      <c r="B1552" s="14">
        <f t="shared" si="1"/>
        <v>0.1123187693</v>
      </c>
      <c r="C1552" s="39">
        <f t="array" ref="C1552">NPV(B1552,FCFF!$C$9:$I$9)+FCFF!$B$9+FCFF!$I$9*(1+Inputs!$B$6)/(B1552-Inputs!$B$6)/(1+B1552)^7</f>
        <v>-1679.503068</v>
      </c>
    </row>
    <row r="1553" ht="14.25" customHeight="1">
      <c r="A1553" s="7">
        <v>1540.0</v>
      </c>
      <c r="B1553" s="14">
        <f t="shared" si="1"/>
        <v>0.1228344462</v>
      </c>
      <c r="C1553" s="39">
        <f t="array" ref="C1553">NPV(B1553,FCFF!$C$9:$I$9)+FCFF!$B$9+FCFF!$I$9*(1+Inputs!$B$6)/(B1553-Inputs!$B$6)/(1+B1553)^7</f>
        <v>-1867.979846</v>
      </c>
    </row>
    <row r="1554" ht="14.25" customHeight="1">
      <c r="A1554" s="7">
        <v>1541.0</v>
      </c>
      <c r="B1554" s="14">
        <f t="shared" si="1"/>
        <v>0.09990335945</v>
      </c>
      <c r="C1554" s="39">
        <f t="array" ref="C1554">NPV(B1554,FCFF!$C$9:$I$9)+FCFF!$B$9+FCFF!$I$9*(1+Inputs!$B$6)/(B1554-Inputs!$B$6)/(1+B1554)^7</f>
        <v>-1380.952665</v>
      </c>
    </row>
    <row r="1555" ht="14.25" customHeight="1">
      <c r="A1555" s="7">
        <v>1542.0</v>
      </c>
      <c r="B1555" s="14">
        <f t="shared" si="1"/>
        <v>0.09658184715</v>
      </c>
      <c r="C1555" s="39">
        <f t="array" ref="C1555">NPV(B1555,FCFF!$C$9:$I$9)+FCFF!$B$9+FCFF!$I$9*(1+Inputs!$B$6)/(B1555-Inputs!$B$6)/(1+B1555)^7</f>
        <v>-1281.927307</v>
      </c>
    </row>
    <row r="1556" ht="14.25" customHeight="1">
      <c r="A1556" s="7">
        <v>1543.0</v>
      </c>
      <c r="B1556" s="14">
        <f t="shared" si="1"/>
        <v>0.0968802727</v>
      </c>
      <c r="C1556" s="39">
        <f t="array" ref="C1556">NPV(B1556,FCFF!$C$9:$I$9)+FCFF!$B$9+FCFF!$I$9*(1+Inputs!$B$6)/(B1556-Inputs!$B$6)/(1+B1556)^7</f>
        <v>-1291.226769</v>
      </c>
    </row>
    <row r="1557" ht="14.25" customHeight="1">
      <c r="A1557" s="7">
        <v>1544.0</v>
      </c>
      <c r="B1557" s="14">
        <f t="shared" si="1"/>
        <v>0.1193006959</v>
      </c>
      <c r="C1557" s="39">
        <f t="array" ref="C1557">NPV(B1557,FCFF!$C$9:$I$9)+FCFF!$B$9+FCFF!$I$9*(1+Inputs!$B$6)/(B1557-Inputs!$B$6)/(1+B1557)^7</f>
        <v>-1809.856578</v>
      </c>
    </row>
    <row r="1558" ht="14.25" customHeight="1">
      <c r="A1558" s="7">
        <v>1545.0</v>
      </c>
      <c r="B1558" s="14">
        <f t="shared" si="1"/>
        <v>0.1236054081</v>
      </c>
      <c r="C1558" s="39">
        <f t="array" ref="C1558">NPV(B1558,FCFF!$C$9:$I$9)+FCFF!$B$9+FCFF!$I$9*(1+Inputs!$B$6)/(B1558-Inputs!$B$6)/(1+B1558)^7</f>
        <v>-1880.04104</v>
      </c>
    </row>
    <row r="1559" ht="14.25" customHeight="1">
      <c r="A1559" s="7">
        <v>1546.0</v>
      </c>
      <c r="B1559" s="14">
        <f t="shared" si="1"/>
        <v>0.1016042619</v>
      </c>
      <c r="C1559" s="39">
        <f t="array" ref="C1559">NPV(B1559,FCFF!$C$9:$I$9)+FCFF!$B$9+FCFF!$I$9*(1+Inputs!$B$6)/(B1559-Inputs!$B$6)/(1+B1559)^7</f>
        <v>-1428.089117</v>
      </c>
    </row>
    <row r="1560" ht="14.25" customHeight="1">
      <c r="A1560" s="7">
        <v>1547.0</v>
      </c>
      <c r="B1560" s="14">
        <f t="shared" si="1"/>
        <v>0.1296977604</v>
      </c>
      <c r="C1560" s="39">
        <f t="array" ref="C1560">NPV(B1560,FCFF!$C$9:$I$9)+FCFF!$B$9+FCFF!$I$9*(1+Inputs!$B$6)/(B1560-Inputs!$B$6)/(1+B1560)^7</f>
        <v>-1968.335382</v>
      </c>
    </row>
    <row r="1561" ht="14.25" customHeight="1">
      <c r="A1561" s="7">
        <v>1548.0</v>
      </c>
      <c r="B1561" s="14">
        <f t="shared" si="1"/>
        <v>0.09896012396</v>
      </c>
      <c r="C1561" s="39">
        <f t="array" ref="C1561">NPV(B1561,FCFF!$C$9:$I$9)+FCFF!$B$9+FCFF!$I$9*(1+Inputs!$B$6)/(B1561-Inputs!$B$6)/(1+B1561)^7</f>
        <v>-1353.803848</v>
      </c>
    </row>
    <row r="1562" ht="14.25" customHeight="1">
      <c r="A1562" s="7">
        <v>1549.0</v>
      </c>
      <c r="B1562" s="14">
        <f t="shared" si="1"/>
        <v>0.1131413133</v>
      </c>
      <c r="C1562" s="39">
        <f t="array" ref="C1562">NPV(B1562,FCFF!$C$9:$I$9)+FCFF!$B$9+FCFF!$I$9*(1+Inputs!$B$6)/(B1562-Inputs!$B$6)/(1+B1562)^7</f>
        <v>-1696.050495</v>
      </c>
    </row>
    <row r="1563" ht="14.25" customHeight="1">
      <c r="A1563" s="7">
        <v>1550.0</v>
      </c>
      <c r="B1563" s="14">
        <f t="shared" si="1"/>
        <v>0.1087855804</v>
      </c>
      <c r="C1563" s="39">
        <f t="array" ref="C1563">NPV(B1563,FCFF!$C$9:$I$9)+FCFF!$B$9+FCFF!$I$9*(1+Inputs!$B$6)/(B1563-Inputs!$B$6)/(1+B1563)^7</f>
        <v>-1604.347288</v>
      </c>
    </row>
    <row r="1564" ht="14.25" customHeight="1">
      <c r="A1564" s="7">
        <v>1551.0</v>
      </c>
      <c r="B1564" s="14">
        <f t="shared" si="1"/>
        <v>0.1069852005</v>
      </c>
      <c r="C1564" s="39">
        <f t="array" ref="C1564">NPV(B1564,FCFF!$C$9:$I$9)+FCFF!$B$9+FCFF!$I$9*(1+Inputs!$B$6)/(B1564-Inputs!$B$6)/(1+B1564)^7</f>
        <v>-1563.312817</v>
      </c>
    </row>
    <row r="1565" ht="14.25" customHeight="1">
      <c r="A1565" s="7">
        <v>1552.0</v>
      </c>
      <c r="B1565" s="14">
        <f t="shared" si="1"/>
        <v>0.1256687942</v>
      </c>
      <c r="C1565" s="39">
        <f t="array" ref="C1565">NPV(B1565,FCFF!$C$9:$I$9)+FCFF!$B$9+FCFF!$I$9*(1+Inputs!$B$6)/(B1565-Inputs!$B$6)/(1+B1565)^7</f>
        <v>-1911.299875</v>
      </c>
    </row>
    <row r="1566" ht="14.25" customHeight="1">
      <c r="A1566" s="7">
        <v>1553.0</v>
      </c>
      <c r="B1566" s="14">
        <f t="shared" si="1"/>
        <v>0.1298583751</v>
      </c>
      <c r="C1566" s="39">
        <f t="array" ref="C1566">NPV(B1566,FCFF!$C$9:$I$9)+FCFF!$B$9+FCFF!$I$9*(1+Inputs!$B$6)/(B1566-Inputs!$B$6)/(1+B1566)^7</f>
        <v>-1970.506112</v>
      </c>
    </row>
    <row r="1567" ht="14.25" customHeight="1">
      <c r="A1567" s="7">
        <v>1554.0</v>
      </c>
      <c r="B1567" s="14">
        <f t="shared" si="1"/>
        <v>0.1310204864</v>
      </c>
      <c r="C1567" s="39">
        <f t="array" ref="C1567">NPV(B1567,FCFF!$C$9:$I$9)+FCFF!$B$9+FCFF!$I$9*(1+Inputs!$B$6)/(B1567-Inputs!$B$6)/(1+B1567)^7</f>
        <v>-1985.989096</v>
      </c>
    </row>
    <row r="1568" ht="14.25" customHeight="1">
      <c r="A1568" s="7">
        <v>1555.0</v>
      </c>
      <c r="B1568" s="14">
        <f t="shared" si="1"/>
        <v>0.1126620549</v>
      </c>
      <c r="C1568" s="39">
        <f t="array" ref="C1568">NPV(B1568,FCFF!$C$9:$I$9)+FCFF!$B$9+FCFF!$I$9*(1+Inputs!$B$6)/(B1568-Inputs!$B$6)/(1+B1568)^7</f>
        <v>-1686.450706</v>
      </c>
    </row>
    <row r="1569" ht="14.25" customHeight="1">
      <c r="A1569" s="7">
        <v>1556.0</v>
      </c>
      <c r="B1569" s="14">
        <f t="shared" si="1"/>
        <v>0.105224474</v>
      </c>
      <c r="C1569" s="39">
        <f t="array" ref="C1569">NPV(B1569,FCFF!$C$9:$I$9)+FCFF!$B$9+FCFF!$I$9*(1+Inputs!$B$6)/(B1569-Inputs!$B$6)/(1+B1569)^7</f>
        <v>-1521.234039</v>
      </c>
    </row>
    <row r="1570" ht="14.25" customHeight="1">
      <c r="A1570" s="7">
        <v>1557.0</v>
      </c>
      <c r="B1570" s="14">
        <f t="shared" si="1"/>
        <v>0.1234194223</v>
      </c>
      <c r="C1570" s="39">
        <f t="array" ref="C1570">NPV(B1570,FCFF!$C$9:$I$9)+FCFF!$B$9+FCFF!$I$9*(1+Inputs!$B$6)/(B1570-Inputs!$B$6)/(1+B1570)^7</f>
        <v>-1877.15086</v>
      </c>
    </row>
    <row r="1571" ht="14.25" customHeight="1">
      <c r="A1571" s="7">
        <v>1558.0</v>
      </c>
      <c r="B1571" s="14">
        <f t="shared" si="1"/>
        <v>0.1176388075</v>
      </c>
      <c r="C1571" s="39">
        <f t="array" ref="C1571">NPV(B1571,FCFF!$C$9:$I$9)+FCFF!$B$9+FCFF!$I$9*(1+Inputs!$B$6)/(B1571-Inputs!$B$6)/(1+B1571)^7</f>
        <v>-1780.803813</v>
      </c>
    </row>
    <row r="1572" ht="14.25" customHeight="1">
      <c r="A1572" s="7">
        <v>1559.0</v>
      </c>
      <c r="B1572" s="14">
        <f t="shared" si="1"/>
        <v>0.1027303698</v>
      </c>
      <c r="C1572" s="39">
        <f t="array" ref="C1572">NPV(B1572,FCFF!$C$9:$I$9)+FCFF!$B$9+FCFF!$I$9*(1+Inputs!$B$6)/(B1572-Inputs!$B$6)/(1+B1572)^7</f>
        <v>-1458.07133</v>
      </c>
    </row>
    <row r="1573" ht="14.25" customHeight="1">
      <c r="A1573" s="7">
        <v>1560.0</v>
      </c>
      <c r="B1573" s="14">
        <f t="shared" si="1"/>
        <v>0.1277980827</v>
      </c>
      <c r="C1573" s="39">
        <f t="array" ref="C1573">NPV(B1573,FCFF!$C$9:$I$9)+FCFF!$B$9+FCFF!$I$9*(1+Inputs!$B$6)/(B1573-Inputs!$B$6)/(1+B1573)^7</f>
        <v>-1942.074632</v>
      </c>
    </row>
    <row r="1574" ht="14.25" customHeight="1">
      <c r="A1574" s="7">
        <v>1561.0</v>
      </c>
      <c r="B1574" s="14">
        <f t="shared" si="1"/>
        <v>0.1291072426</v>
      </c>
      <c r="C1574" s="39">
        <f t="array" ref="C1574">NPV(B1574,FCFF!$C$9:$I$9)+FCFF!$B$9+FCFF!$I$9*(1+Inputs!$B$6)/(B1574-Inputs!$B$6)/(1+B1574)^7</f>
        <v>-1960.288856</v>
      </c>
    </row>
    <row r="1575" ht="14.25" customHeight="1">
      <c r="A1575" s="7">
        <v>1562.0</v>
      </c>
      <c r="B1575" s="14">
        <f t="shared" si="1"/>
        <v>0.1282019582</v>
      </c>
      <c r="C1575" s="39">
        <f t="array" ref="C1575">NPV(B1575,FCFF!$C$9:$I$9)+FCFF!$B$9+FCFF!$I$9*(1+Inputs!$B$6)/(B1575-Inputs!$B$6)/(1+B1575)^7</f>
        <v>-1947.749711</v>
      </c>
    </row>
    <row r="1576" ht="14.25" customHeight="1">
      <c r="A1576" s="7">
        <v>1563.0</v>
      </c>
      <c r="B1576" s="14">
        <f t="shared" si="1"/>
        <v>0.1302883354</v>
      </c>
      <c r="C1576" s="39">
        <f t="array" ref="C1576">NPV(B1576,FCFF!$C$9:$I$9)+FCFF!$B$9+FCFF!$I$9*(1+Inputs!$B$6)/(B1576-Inputs!$B$6)/(1+B1576)^7</f>
        <v>-1976.279969</v>
      </c>
    </row>
    <row r="1577" ht="14.25" customHeight="1">
      <c r="A1577" s="7">
        <v>1564.0</v>
      </c>
      <c r="B1577" s="14">
        <f t="shared" si="1"/>
        <v>0.1265903046</v>
      </c>
      <c r="C1577" s="39">
        <f t="array" ref="C1577">NPV(B1577,FCFF!$C$9:$I$9)+FCFF!$B$9+FCFF!$I$9*(1+Inputs!$B$6)/(B1577-Inputs!$B$6)/(1+B1577)^7</f>
        <v>-1924.7978</v>
      </c>
    </row>
    <row r="1578" ht="14.25" customHeight="1">
      <c r="A1578" s="7">
        <v>1565.0</v>
      </c>
      <c r="B1578" s="14">
        <f t="shared" si="1"/>
        <v>0.1251972502</v>
      </c>
      <c r="C1578" s="39">
        <f t="array" ref="C1578">NPV(B1578,FCFF!$C$9:$I$9)+FCFF!$B$9+FCFF!$I$9*(1+Inputs!$B$6)/(B1578-Inputs!$B$6)/(1+B1578)^7</f>
        <v>-1904.284268</v>
      </c>
    </row>
    <row r="1579" ht="14.25" customHeight="1">
      <c r="A1579" s="7">
        <v>1566.0</v>
      </c>
      <c r="B1579" s="14">
        <f t="shared" si="1"/>
        <v>0.1081721255</v>
      </c>
      <c r="C1579" s="39">
        <f t="array" ref="C1579">NPV(B1579,FCFF!$C$9:$I$9)+FCFF!$B$9+FCFF!$I$9*(1+Inputs!$B$6)/(B1579-Inputs!$B$6)/(1+B1579)^7</f>
        <v>-1590.583454</v>
      </c>
    </row>
    <row r="1580" ht="14.25" customHeight="1">
      <c r="A1580" s="7">
        <v>1567.0</v>
      </c>
      <c r="B1580" s="14">
        <f t="shared" si="1"/>
        <v>0.1214208183</v>
      </c>
      <c r="C1580" s="39">
        <f t="array" ref="C1580">NPV(B1580,FCFF!$C$9:$I$9)+FCFF!$B$9+FCFF!$I$9*(1+Inputs!$B$6)/(B1580-Inputs!$B$6)/(1+B1580)^7</f>
        <v>-1845.300918</v>
      </c>
    </row>
    <row r="1581" ht="14.25" customHeight="1">
      <c r="A1581" s="7">
        <v>1568.0</v>
      </c>
      <c r="B1581" s="14">
        <f t="shared" si="1"/>
        <v>0.1035886088</v>
      </c>
      <c r="C1581" s="39">
        <f t="array" ref="C1581">NPV(B1581,FCFF!$C$9:$I$9)+FCFF!$B$9+FCFF!$I$9*(1+Inputs!$B$6)/(B1581-Inputs!$B$6)/(1+B1581)^7</f>
        <v>-1480.297283</v>
      </c>
    </row>
    <row r="1582" ht="14.25" customHeight="1">
      <c r="A1582" s="7">
        <v>1569.0</v>
      </c>
      <c r="B1582" s="14">
        <f t="shared" si="1"/>
        <v>0.1329240395</v>
      </c>
      <c r="C1582" s="39">
        <f t="array" ref="C1582">NPV(B1582,FCFF!$C$9:$I$9)+FCFF!$B$9+FCFF!$I$9*(1+Inputs!$B$6)/(B1582-Inputs!$B$6)/(1+B1582)^7</f>
        <v>-2010.529293</v>
      </c>
    </row>
    <row r="1583" ht="14.25" customHeight="1">
      <c r="A1583" s="7">
        <v>1570.0</v>
      </c>
      <c r="B1583" s="14">
        <f t="shared" si="1"/>
        <v>0.09727086316</v>
      </c>
      <c r="C1583" s="39">
        <f t="array" ref="C1583">NPV(B1583,FCFF!$C$9:$I$9)+FCFF!$B$9+FCFF!$I$9*(1+Inputs!$B$6)/(B1583-Inputs!$B$6)/(1+B1583)^7</f>
        <v>-1303.273796</v>
      </c>
    </row>
    <row r="1584" ht="14.25" customHeight="1">
      <c r="A1584" s="7">
        <v>1571.0</v>
      </c>
      <c r="B1584" s="14">
        <f t="shared" si="1"/>
        <v>0.1283401401</v>
      </c>
      <c r="C1584" s="39">
        <f t="array" ref="C1584">NPV(B1584,FCFF!$C$9:$I$9)+FCFF!$B$9+FCFF!$I$9*(1+Inputs!$B$6)/(B1584-Inputs!$B$6)/(1+B1584)^7</f>
        <v>-1949.679823</v>
      </c>
    </row>
    <row r="1585" ht="14.25" customHeight="1">
      <c r="A1585" s="7">
        <v>1572.0</v>
      </c>
      <c r="B1585" s="14">
        <f t="shared" si="1"/>
        <v>0.1072452425</v>
      </c>
      <c r="C1585" s="39">
        <f t="array" ref="C1585">NPV(B1585,FCFF!$C$9:$I$9)+FCFF!$B$9+FCFF!$I$9*(1+Inputs!$B$6)/(B1585-Inputs!$B$6)/(1+B1585)^7</f>
        <v>-1569.361077</v>
      </c>
    </row>
    <row r="1586" ht="14.25" customHeight="1">
      <c r="A1586" s="7">
        <v>1573.0</v>
      </c>
      <c r="B1586" s="14">
        <f t="shared" si="1"/>
        <v>0.1058252612</v>
      </c>
      <c r="C1586" s="39">
        <f t="array" ref="C1586">NPV(B1586,FCFF!$C$9:$I$9)+FCFF!$B$9+FCFF!$I$9*(1+Inputs!$B$6)/(B1586-Inputs!$B$6)/(1+B1586)^7</f>
        <v>-1535.816519</v>
      </c>
    </row>
    <row r="1587" ht="14.25" customHeight="1">
      <c r="A1587" s="7">
        <v>1574.0</v>
      </c>
      <c r="B1587" s="14">
        <f t="shared" si="1"/>
        <v>0.1284140393</v>
      </c>
      <c r="C1587" s="39">
        <f t="array" ref="C1587">NPV(B1587,FCFF!$C$9:$I$9)+FCFF!$B$9+FCFF!$I$9*(1+Inputs!$B$6)/(B1587-Inputs!$B$6)/(1+B1587)^7</f>
        <v>-1950.709637</v>
      </c>
    </row>
    <row r="1588" ht="14.25" customHeight="1">
      <c r="A1588" s="7">
        <v>1575.0</v>
      </c>
      <c r="B1588" s="14">
        <f t="shared" si="1"/>
        <v>0.1285332135</v>
      </c>
      <c r="C1588" s="39">
        <f t="array" ref="C1588">NPV(B1588,FCFF!$C$9:$I$9)+FCFF!$B$9+FCFF!$I$9*(1+Inputs!$B$6)/(B1588-Inputs!$B$6)/(1+B1588)^7</f>
        <v>-1952.366857</v>
      </c>
    </row>
    <row r="1589" ht="14.25" customHeight="1">
      <c r="A1589" s="7">
        <v>1576.0</v>
      </c>
      <c r="B1589" s="14">
        <f t="shared" si="1"/>
        <v>0.1170920574</v>
      </c>
      <c r="C1589" s="39">
        <f t="array" ref="C1589">NPV(B1589,FCFF!$C$9:$I$9)+FCFF!$B$9+FCFF!$I$9*(1+Inputs!$B$6)/(B1589-Inputs!$B$6)/(1+B1589)^7</f>
        <v>-1770.990126</v>
      </c>
    </row>
    <row r="1590" ht="14.25" customHeight="1">
      <c r="A1590" s="7">
        <v>1577.0</v>
      </c>
      <c r="B1590" s="14">
        <f t="shared" si="1"/>
        <v>0.1257540876</v>
      </c>
      <c r="C1590" s="39">
        <f t="array" ref="C1590">NPV(B1590,FCFF!$C$9:$I$9)+FCFF!$B$9+FCFF!$I$9*(1+Inputs!$B$6)/(B1590-Inputs!$B$6)/(1+B1590)^7</f>
        <v>-1912.560946</v>
      </c>
    </row>
    <row r="1591" ht="14.25" customHeight="1">
      <c r="A1591" s="7">
        <v>1578.0</v>
      </c>
      <c r="B1591" s="14">
        <f t="shared" si="1"/>
        <v>0.1184304295</v>
      </c>
      <c r="C1591" s="39">
        <f t="array" ref="C1591">NPV(B1591,FCFF!$C$9:$I$9)+FCFF!$B$9+FCFF!$I$9*(1+Inputs!$B$6)/(B1591-Inputs!$B$6)/(1+B1591)^7</f>
        <v>-1794.786423</v>
      </c>
    </row>
    <row r="1592" ht="14.25" customHeight="1">
      <c r="A1592" s="7">
        <v>1579.0</v>
      </c>
      <c r="B1592" s="14">
        <f t="shared" si="1"/>
        <v>0.1273039462</v>
      </c>
      <c r="C1592" s="39">
        <f t="array" ref="C1592">NPV(B1592,FCFF!$C$9:$I$9)+FCFF!$B$9+FCFF!$I$9*(1+Inputs!$B$6)/(B1592-Inputs!$B$6)/(1+B1592)^7</f>
        <v>-1935.06206</v>
      </c>
    </row>
    <row r="1593" ht="14.25" customHeight="1">
      <c r="A1593" s="7">
        <v>1580.0</v>
      </c>
      <c r="B1593" s="14">
        <f t="shared" si="1"/>
        <v>0.1167533524</v>
      </c>
      <c r="C1593" s="39">
        <f t="array" ref="C1593">NPV(B1593,FCFF!$C$9:$I$9)+FCFF!$B$9+FCFF!$I$9*(1+Inputs!$B$6)/(B1593-Inputs!$B$6)/(1+B1593)^7</f>
        <v>-1764.845414</v>
      </c>
    </row>
    <row r="1594" ht="14.25" customHeight="1">
      <c r="A1594" s="7">
        <v>1581.0</v>
      </c>
      <c r="B1594" s="14">
        <f t="shared" si="1"/>
        <v>0.1196093392</v>
      </c>
      <c r="C1594" s="39">
        <f t="array" ref="C1594">NPV(B1594,FCFF!$C$9:$I$9)+FCFF!$B$9+FCFF!$I$9*(1+Inputs!$B$6)/(B1594-Inputs!$B$6)/(1+B1594)^7</f>
        <v>-1815.127003</v>
      </c>
    </row>
    <row r="1595" ht="14.25" customHeight="1">
      <c r="A1595" s="7">
        <v>1582.0</v>
      </c>
      <c r="B1595" s="14">
        <f t="shared" si="1"/>
        <v>0.1113415299</v>
      </c>
      <c r="C1595" s="39">
        <f t="array" ref="C1595">NPV(B1595,FCFF!$C$9:$I$9)+FCFF!$B$9+FCFF!$I$9*(1+Inputs!$B$6)/(B1595-Inputs!$B$6)/(1+B1595)^7</f>
        <v>-1659.391596</v>
      </c>
    </row>
    <row r="1596" ht="14.25" customHeight="1">
      <c r="A1596" s="7">
        <v>1583.0</v>
      </c>
      <c r="B1596" s="14">
        <f t="shared" si="1"/>
        <v>0.1159826491</v>
      </c>
      <c r="C1596" s="39">
        <f t="array" ref="C1596">NPV(B1596,FCFF!$C$9:$I$9)+FCFF!$B$9+FCFF!$I$9*(1+Inputs!$B$6)/(B1596-Inputs!$B$6)/(1+B1596)^7</f>
        <v>-1750.674002</v>
      </c>
    </row>
    <row r="1597" ht="14.25" customHeight="1">
      <c r="A1597" s="7">
        <v>1584.0</v>
      </c>
      <c r="B1597" s="14">
        <f t="shared" si="1"/>
        <v>0.1195132304</v>
      </c>
      <c r="C1597" s="39">
        <f t="array" ref="C1597">NPV(B1597,FCFF!$C$9:$I$9)+FCFF!$B$9+FCFF!$I$9*(1+Inputs!$B$6)/(B1597-Inputs!$B$6)/(1+B1597)^7</f>
        <v>-1813.489959</v>
      </c>
    </row>
    <row r="1598" ht="14.25" customHeight="1">
      <c r="A1598" s="7">
        <v>1585.0</v>
      </c>
      <c r="B1598" s="14">
        <f t="shared" si="1"/>
        <v>0.09384014661</v>
      </c>
      <c r="C1598" s="39">
        <f t="array" ref="C1598">NPV(B1598,FCFF!$C$9:$I$9)+FCFF!$B$9+FCFF!$I$9*(1+Inputs!$B$6)/(B1598-Inputs!$B$6)/(1+B1598)^7</f>
        <v>-1192.442729</v>
      </c>
    </row>
    <row r="1599" ht="14.25" customHeight="1">
      <c r="A1599" s="7">
        <v>1586.0</v>
      </c>
      <c r="B1599" s="14">
        <f t="shared" si="1"/>
        <v>0.1108005018</v>
      </c>
      <c r="C1599" s="39">
        <f t="array" ref="C1599">NPV(B1599,FCFF!$C$9:$I$9)+FCFF!$B$9+FCFF!$I$9*(1+Inputs!$B$6)/(B1599-Inputs!$B$6)/(1+B1599)^7</f>
        <v>-1648.040366</v>
      </c>
    </row>
    <row r="1600" ht="14.25" customHeight="1">
      <c r="A1600" s="7">
        <v>1587.0</v>
      </c>
      <c r="B1600" s="14">
        <f t="shared" si="1"/>
        <v>0.09920698281</v>
      </c>
      <c r="C1600" s="39">
        <f t="array" ref="C1600">NPV(B1600,FCFF!$C$9:$I$9)+FCFF!$B$9+FCFF!$I$9*(1+Inputs!$B$6)/(B1600-Inputs!$B$6)/(1+B1600)^7</f>
        <v>-1360.980939</v>
      </c>
    </row>
    <row r="1601" ht="14.25" customHeight="1">
      <c r="A1601" s="7">
        <v>1588.0</v>
      </c>
      <c r="B1601" s="14">
        <f t="shared" si="1"/>
        <v>0.1095392748</v>
      </c>
      <c r="C1601" s="39">
        <f t="array" ref="C1601">NPV(B1601,FCFF!$C$9:$I$9)+FCFF!$B$9+FCFF!$I$9*(1+Inputs!$B$6)/(B1601-Inputs!$B$6)/(1+B1601)^7</f>
        <v>-1620.958417</v>
      </c>
    </row>
    <row r="1602" ht="14.25" customHeight="1">
      <c r="A1602" s="7">
        <v>1589.0</v>
      </c>
      <c r="B1602" s="14">
        <f t="shared" si="1"/>
        <v>0.1130398645</v>
      </c>
      <c r="C1602" s="39">
        <f t="array" ref="C1602">NPV(B1602,FCFF!$C$9:$I$9)+FCFF!$B$9+FCFF!$I$9*(1+Inputs!$B$6)/(B1602-Inputs!$B$6)/(1+B1602)^7</f>
        <v>-1694.028043</v>
      </c>
    </row>
    <row r="1603" ht="14.25" customHeight="1">
      <c r="A1603" s="7">
        <v>1590.0</v>
      </c>
      <c r="B1603" s="14">
        <f t="shared" si="1"/>
        <v>0.1103584535</v>
      </c>
      <c r="C1603" s="39">
        <f t="array" ref="C1603">NPV(B1603,FCFF!$C$9:$I$9)+FCFF!$B$9+FCFF!$I$9*(1+Inputs!$B$6)/(B1603-Inputs!$B$6)/(1+B1603)^7</f>
        <v>-1638.648373</v>
      </c>
    </row>
    <row r="1604" ht="14.25" customHeight="1">
      <c r="A1604" s="7">
        <v>1591.0</v>
      </c>
      <c r="B1604" s="14">
        <f t="shared" si="1"/>
        <v>0.1320617989</v>
      </c>
      <c r="C1604" s="39">
        <f t="array" ref="C1604">NPV(B1604,FCFF!$C$9:$I$9)+FCFF!$B$9+FCFF!$I$9*(1+Inputs!$B$6)/(B1604-Inputs!$B$6)/(1+B1604)^7</f>
        <v>-1999.537147</v>
      </c>
    </row>
    <row r="1605" ht="14.25" customHeight="1">
      <c r="A1605" s="7">
        <v>1592.0</v>
      </c>
      <c r="B1605" s="14">
        <f t="shared" si="1"/>
        <v>0.09705965923</v>
      </c>
      <c r="C1605" s="39">
        <f t="array" ref="C1605">NPV(B1605,FCFF!$C$9:$I$9)+FCFF!$B$9+FCFF!$I$9*(1+Inputs!$B$6)/(B1605-Inputs!$B$6)/(1+B1605)^7</f>
        <v>-1296.777012</v>
      </c>
    </row>
    <row r="1606" ht="14.25" customHeight="1">
      <c r="A1606" s="7">
        <v>1593.0</v>
      </c>
      <c r="B1606" s="14">
        <f t="shared" si="1"/>
        <v>0.1244517275</v>
      </c>
      <c r="C1606" s="39">
        <f t="array" ref="C1606">NPV(B1606,FCFF!$C$9:$I$9)+FCFF!$B$9+FCFF!$I$9*(1+Inputs!$B$6)/(B1606-Inputs!$B$6)/(1+B1606)^7</f>
        <v>-1893.039099</v>
      </c>
    </row>
    <row r="1607" ht="14.25" customHeight="1">
      <c r="A1607" s="7">
        <v>1594.0</v>
      </c>
      <c r="B1607" s="14">
        <f t="shared" si="1"/>
        <v>0.1185465831</v>
      </c>
      <c r="C1607" s="39">
        <f t="array" ref="C1607">NPV(B1607,FCFF!$C$9:$I$9)+FCFF!$B$9+FCFF!$I$9*(1+Inputs!$B$6)/(B1607-Inputs!$B$6)/(1+B1607)^7</f>
        <v>-1796.815906</v>
      </c>
    </row>
    <row r="1608" ht="14.25" customHeight="1">
      <c r="A1608" s="7">
        <v>1595.0</v>
      </c>
      <c r="B1608" s="14">
        <f t="shared" si="1"/>
        <v>0.1014980413</v>
      </c>
      <c r="C1608" s="39">
        <f t="array" ref="C1608">NPV(B1608,FCFF!$C$9:$I$9)+FCFF!$B$9+FCFF!$I$9*(1+Inputs!$B$6)/(B1608-Inputs!$B$6)/(1+B1608)^7</f>
        <v>-1425.211715</v>
      </c>
    </row>
    <row r="1609" ht="14.25" customHeight="1">
      <c r="A1609" s="7">
        <v>1596.0</v>
      </c>
      <c r="B1609" s="14">
        <f t="shared" si="1"/>
        <v>0.1172361326</v>
      </c>
      <c r="C1609" s="39">
        <f t="array" ref="C1609">NPV(B1609,FCFF!$C$9:$I$9)+FCFF!$B$9+FCFF!$I$9*(1+Inputs!$B$6)/(B1609-Inputs!$B$6)/(1+B1609)^7</f>
        <v>-1773.588705</v>
      </c>
    </row>
    <row r="1610" ht="14.25" customHeight="1">
      <c r="A1610" s="7">
        <v>1597.0</v>
      </c>
      <c r="B1610" s="14">
        <f t="shared" si="1"/>
        <v>0.1319665842</v>
      </c>
      <c r="C1610" s="39">
        <f t="array" ref="C1610">NPV(B1610,FCFF!$C$9:$I$9)+FCFF!$B$9+FCFF!$I$9*(1+Inputs!$B$6)/(B1610-Inputs!$B$6)/(1+B1610)^7</f>
        <v>-1998.310873</v>
      </c>
    </row>
    <row r="1611" ht="14.25" customHeight="1">
      <c r="A1611" s="7">
        <v>1598.0</v>
      </c>
      <c r="B1611" s="14">
        <f t="shared" si="1"/>
        <v>0.1003330298</v>
      </c>
      <c r="C1611" s="39">
        <f t="array" ref="C1611">NPV(B1611,FCFF!$C$9:$I$9)+FCFF!$B$9+FCFF!$I$9*(1+Inputs!$B$6)/(B1611-Inputs!$B$6)/(1+B1611)^7</f>
        <v>-1393.076926</v>
      </c>
    </row>
    <row r="1612" ht="14.25" customHeight="1">
      <c r="A1612" s="7">
        <v>1599.0</v>
      </c>
      <c r="B1612" s="14">
        <f t="shared" si="1"/>
        <v>0.1263336877</v>
      </c>
      <c r="C1612" s="39">
        <f t="array" ref="C1612">NPV(B1612,FCFF!$C$9:$I$9)+FCFF!$B$9+FCFF!$I$9*(1+Inputs!$B$6)/(B1612-Inputs!$B$6)/(1+B1612)^7</f>
        <v>-1921.066865</v>
      </c>
    </row>
    <row r="1613" ht="14.25" customHeight="1">
      <c r="A1613" s="7">
        <v>1600.0</v>
      </c>
      <c r="B1613" s="14">
        <f t="shared" si="1"/>
        <v>0.1101706153</v>
      </c>
      <c r="C1613" s="39">
        <f t="array" ref="C1613">NPV(B1613,FCFF!$C$9:$I$9)+FCFF!$B$9+FCFF!$I$9*(1+Inputs!$B$6)/(B1613-Inputs!$B$6)/(1+B1613)^7</f>
        <v>-1634.625043</v>
      </c>
    </row>
    <row r="1614" ht="14.25" customHeight="1">
      <c r="A1614" s="7">
        <v>1601.0</v>
      </c>
      <c r="B1614" s="14">
        <f t="shared" si="1"/>
        <v>0.1112008365</v>
      </c>
      <c r="C1614" s="39">
        <f t="array" ref="C1614">NPV(B1614,FCFF!$C$9:$I$9)+FCFF!$B$9+FCFF!$I$9*(1+Inputs!$B$6)/(B1614-Inputs!$B$6)/(1+B1614)^7</f>
        <v>-1656.4548</v>
      </c>
    </row>
    <row r="1615" ht="14.25" customHeight="1">
      <c r="A1615" s="7">
        <v>1602.0</v>
      </c>
      <c r="B1615" s="14">
        <f t="shared" si="1"/>
        <v>0.09733357407</v>
      </c>
      <c r="C1615" s="39">
        <f t="array" ref="C1615">NPV(B1615,FCFF!$C$9:$I$9)+FCFF!$B$9+FCFF!$I$9*(1+Inputs!$B$6)/(B1615-Inputs!$B$6)/(1+B1615)^7</f>
        <v>-1305.194988</v>
      </c>
    </row>
    <row r="1616" ht="14.25" customHeight="1">
      <c r="A1616" s="7">
        <v>1603.0</v>
      </c>
      <c r="B1616" s="14">
        <f t="shared" si="1"/>
        <v>0.0962725181</v>
      </c>
      <c r="C1616" s="39">
        <f t="array" ref="C1616">NPV(B1616,FCFF!$C$9:$I$9)+FCFF!$B$9+FCFF!$I$9*(1+Inputs!$B$6)/(B1616-Inputs!$B$6)/(1+B1616)^7</f>
        <v>-1272.199908</v>
      </c>
    </row>
    <row r="1617" ht="14.25" customHeight="1">
      <c r="A1617" s="7">
        <v>1604.0</v>
      </c>
      <c r="B1617" s="14">
        <f t="shared" si="1"/>
        <v>0.1234284631</v>
      </c>
      <c r="C1617" s="39">
        <f t="array" ref="C1617">NPV(B1617,FCFF!$C$9:$I$9)+FCFF!$B$9+FCFF!$I$9*(1+Inputs!$B$6)/(B1617-Inputs!$B$6)/(1+B1617)^7</f>
        <v>-1877.291635</v>
      </c>
    </row>
    <row r="1618" ht="14.25" customHeight="1">
      <c r="A1618" s="7">
        <v>1605.0</v>
      </c>
      <c r="B1618" s="14">
        <f t="shared" si="1"/>
        <v>0.1115005361</v>
      </c>
      <c r="C1618" s="39">
        <f t="array" ref="C1618">NPV(B1618,FCFF!$C$9:$I$9)+FCFF!$B$9+FCFF!$I$9*(1+Inputs!$B$6)/(B1618-Inputs!$B$6)/(1+B1618)^7</f>
        <v>-1662.698002</v>
      </c>
    </row>
    <row r="1619" ht="14.25" customHeight="1">
      <c r="A1619" s="7">
        <v>1606.0</v>
      </c>
      <c r="B1619" s="14">
        <f t="shared" si="1"/>
        <v>0.1062256523</v>
      </c>
      <c r="C1619" s="39">
        <f t="array" ref="C1619">NPV(B1619,FCFF!$C$9:$I$9)+FCFF!$B$9+FCFF!$I$9*(1+Inputs!$B$6)/(B1619-Inputs!$B$6)/(1+B1619)^7</f>
        <v>-1545.404538</v>
      </c>
    </row>
    <row r="1620" ht="14.25" customHeight="1">
      <c r="A1620" s="7">
        <v>1607.0</v>
      </c>
      <c r="B1620" s="14">
        <f t="shared" si="1"/>
        <v>0.1027593211</v>
      </c>
      <c r="C1620" s="39">
        <f t="array" ref="C1620">NPV(B1620,FCFF!$C$9:$I$9)+FCFF!$B$9+FCFF!$I$9*(1+Inputs!$B$6)/(B1620-Inputs!$B$6)/(1+B1620)^7</f>
        <v>-1458.829756</v>
      </c>
    </row>
    <row r="1621" ht="14.25" customHeight="1">
      <c r="A1621" s="7">
        <v>1608.0</v>
      </c>
      <c r="B1621" s="14">
        <f t="shared" si="1"/>
        <v>0.09865677211</v>
      </c>
      <c r="C1621" s="39">
        <f t="array" ref="C1621">NPV(B1621,FCFF!$C$9:$I$9)+FCFF!$B$9+FCFF!$I$9*(1+Inputs!$B$6)/(B1621-Inputs!$B$6)/(1+B1621)^7</f>
        <v>-1344.913358</v>
      </c>
    </row>
    <row r="1622" ht="14.25" customHeight="1">
      <c r="A1622" s="7">
        <v>1609.0</v>
      </c>
      <c r="B1622" s="14">
        <f t="shared" si="1"/>
        <v>0.1312253931</v>
      </c>
      <c r="C1622" s="39">
        <f t="array" ref="C1622">NPV(B1622,FCFF!$C$9:$I$9)+FCFF!$B$9+FCFF!$I$9*(1+Inputs!$B$6)/(B1622-Inputs!$B$6)/(1+B1622)^7</f>
        <v>-1988.679039</v>
      </c>
    </row>
    <row r="1623" ht="14.25" customHeight="1">
      <c r="A1623" s="7">
        <v>1610.0</v>
      </c>
      <c r="B1623" s="14">
        <f t="shared" si="1"/>
        <v>0.1081354712</v>
      </c>
      <c r="C1623" s="39">
        <f t="array" ref="C1623">NPV(B1623,FCFF!$C$9:$I$9)+FCFF!$B$9+FCFF!$I$9*(1+Inputs!$B$6)/(B1623-Inputs!$B$6)/(1+B1623)^7</f>
        <v>-1589.754019</v>
      </c>
    </row>
    <row r="1624" ht="14.25" customHeight="1">
      <c r="A1624" s="7">
        <v>1611.0</v>
      </c>
      <c r="B1624" s="14">
        <f t="shared" si="1"/>
        <v>0.09312294452</v>
      </c>
      <c r="C1624" s="39">
        <f t="array" ref="C1624">NPV(B1624,FCFF!$C$9:$I$9)+FCFF!$B$9+FCFF!$I$9*(1+Inputs!$B$6)/(B1624-Inputs!$B$6)/(1+B1624)^7</f>
        <v>-1167.76248</v>
      </c>
    </row>
    <row r="1625" ht="14.25" customHeight="1">
      <c r="A1625" s="7">
        <v>1612.0</v>
      </c>
      <c r="B1625" s="14">
        <f t="shared" si="1"/>
        <v>0.1203214079</v>
      </c>
      <c r="C1625" s="39">
        <f t="array" ref="C1625">NPV(B1625,FCFF!$C$9:$I$9)+FCFF!$B$9+FCFF!$I$9*(1+Inputs!$B$6)/(B1625-Inputs!$B$6)/(1+B1625)^7</f>
        <v>-1827.141018</v>
      </c>
    </row>
    <row r="1626" ht="14.25" customHeight="1">
      <c r="A1626" s="7">
        <v>1613.0</v>
      </c>
      <c r="B1626" s="14">
        <f t="shared" si="1"/>
        <v>0.09942427513</v>
      </c>
      <c r="C1626" s="39">
        <f t="array" ref="C1626">NPV(B1626,FCFF!$C$9:$I$9)+FCFF!$B$9+FCFF!$I$9*(1+Inputs!$B$6)/(B1626-Inputs!$B$6)/(1+B1626)^7</f>
        <v>-1367.256001</v>
      </c>
    </row>
    <row r="1627" ht="14.25" customHeight="1">
      <c r="A1627" s="7">
        <v>1614.0</v>
      </c>
      <c r="B1627" s="14">
        <f t="shared" si="1"/>
        <v>0.1113382873</v>
      </c>
      <c r="C1627" s="39">
        <f t="array" ref="C1627">NPV(B1627,FCFF!$C$9:$I$9)+FCFF!$B$9+FCFF!$I$9*(1+Inputs!$B$6)/(B1627-Inputs!$B$6)/(1+B1627)^7</f>
        <v>-1659.324029</v>
      </c>
    </row>
    <row r="1628" ht="14.25" customHeight="1">
      <c r="A1628" s="7">
        <v>1615.0</v>
      </c>
      <c r="B1628" s="14">
        <f t="shared" si="1"/>
        <v>0.1243414307</v>
      </c>
      <c r="C1628" s="39">
        <f t="array" ref="C1628">NPV(B1628,FCFF!$C$9:$I$9)+FCFF!$B$9+FCFF!$I$9*(1+Inputs!$B$6)/(B1628-Inputs!$B$6)/(1+B1628)^7</f>
        <v>-1891.359258</v>
      </c>
    </row>
    <row r="1629" ht="14.25" customHeight="1">
      <c r="A1629" s="7">
        <v>1616.0</v>
      </c>
      <c r="B1629" s="14">
        <f t="shared" si="1"/>
        <v>0.0972817471</v>
      </c>
      <c r="C1629" s="39">
        <f t="array" ref="C1629">NPV(B1629,FCFF!$C$9:$I$9)+FCFF!$B$9+FCFF!$I$9*(1+Inputs!$B$6)/(B1629-Inputs!$B$6)/(1+B1629)^7</f>
        <v>-1303.60749</v>
      </c>
    </row>
    <row r="1630" ht="14.25" customHeight="1">
      <c r="A1630" s="7">
        <v>1617.0</v>
      </c>
      <c r="B1630" s="14">
        <f t="shared" si="1"/>
        <v>0.1300215747</v>
      </c>
      <c r="C1630" s="39">
        <f t="array" ref="C1630">NPV(B1630,FCFF!$C$9:$I$9)+FCFF!$B$9+FCFF!$I$9*(1+Inputs!$B$6)/(B1630-Inputs!$B$6)/(1+B1630)^7</f>
        <v>-1972.704034</v>
      </c>
    </row>
    <row r="1631" ht="14.25" customHeight="1">
      <c r="A1631" s="7">
        <v>1618.0</v>
      </c>
      <c r="B1631" s="14">
        <f t="shared" si="1"/>
        <v>0.1154322791</v>
      </c>
      <c r="C1631" s="39">
        <f t="array" ref="C1631">NPV(B1631,FCFF!$C$9:$I$9)+FCFF!$B$9+FCFF!$I$9*(1+Inputs!$B$6)/(B1631-Inputs!$B$6)/(1+B1631)^7</f>
        <v>-1740.389864</v>
      </c>
    </row>
    <row r="1632" ht="14.25" customHeight="1">
      <c r="A1632" s="7">
        <v>1619.0</v>
      </c>
      <c r="B1632" s="14">
        <f t="shared" si="1"/>
        <v>0.1038962621</v>
      </c>
      <c r="C1632" s="39">
        <f t="array" ref="C1632">NPV(B1632,FCFF!$C$9:$I$9)+FCFF!$B$9+FCFF!$I$9*(1+Inputs!$B$6)/(B1632-Inputs!$B$6)/(1+B1632)^7</f>
        <v>-1488.136993</v>
      </c>
    </row>
    <row r="1633" ht="14.25" customHeight="1">
      <c r="A1633" s="7">
        <v>1620.0</v>
      </c>
      <c r="B1633" s="14">
        <f t="shared" si="1"/>
        <v>0.09686743765</v>
      </c>
      <c r="C1633" s="39">
        <f t="array" ref="C1633">NPV(B1633,FCFF!$C$9:$I$9)+FCFF!$B$9+FCFF!$I$9*(1+Inputs!$B$6)/(B1633-Inputs!$B$6)/(1+B1633)^7</f>
        <v>-1290.828511</v>
      </c>
    </row>
    <row r="1634" ht="14.25" customHeight="1">
      <c r="A1634" s="7">
        <v>1621.0</v>
      </c>
      <c r="B1634" s="14">
        <f t="shared" si="1"/>
        <v>0.09389164892</v>
      </c>
      <c r="C1634" s="39">
        <f t="array" ref="C1634">NPV(B1634,FCFF!$C$9:$I$9)+FCFF!$B$9+FCFF!$I$9*(1+Inputs!$B$6)/(B1634-Inputs!$B$6)/(1+B1634)^7</f>
        <v>-1194.19392</v>
      </c>
    </row>
    <row r="1635" ht="14.25" customHeight="1">
      <c r="A1635" s="7">
        <v>1622.0</v>
      </c>
      <c r="B1635" s="14">
        <f t="shared" si="1"/>
        <v>0.1272167032</v>
      </c>
      <c r="C1635" s="39">
        <f t="array" ref="C1635">NPV(B1635,FCFF!$C$9:$I$9)+FCFF!$B$9+FCFF!$I$9*(1+Inputs!$B$6)/(B1635-Inputs!$B$6)/(1+B1635)^7</f>
        <v>-1933.815958</v>
      </c>
    </row>
    <row r="1636" ht="14.25" customHeight="1">
      <c r="A1636" s="7">
        <v>1623.0</v>
      </c>
      <c r="B1636" s="14">
        <f t="shared" si="1"/>
        <v>0.1225655865</v>
      </c>
      <c r="C1636" s="39">
        <f t="array" ref="C1636">NPV(B1636,FCFF!$C$9:$I$9)+FCFF!$B$9+FCFF!$I$9*(1+Inputs!$B$6)/(B1636-Inputs!$B$6)/(1+B1636)^7</f>
        <v>-1863.723298</v>
      </c>
    </row>
    <row r="1637" ht="14.25" customHeight="1">
      <c r="A1637" s="7">
        <v>1624.0</v>
      </c>
      <c r="B1637" s="14">
        <f t="shared" si="1"/>
        <v>0.1163168056</v>
      </c>
      <c r="C1637" s="39">
        <f t="array" ref="C1637">NPV(B1637,FCFF!$C$9:$I$9)+FCFF!$B$9+FCFF!$I$9*(1+Inputs!$B$6)/(B1637-Inputs!$B$6)/(1+B1637)^7</f>
        <v>-1756.850955</v>
      </c>
    </row>
    <row r="1638" ht="14.25" customHeight="1">
      <c r="A1638" s="7">
        <v>1625.0</v>
      </c>
      <c r="B1638" s="14">
        <f t="shared" si="1"/>
        <v>0.1197063359</v>
      </c>
      <c r="C1638" s="39">
        <f t="array" ref="C1638">NPV(B1638,FCFF!$C$9:$I$9)+FCFF!$B$9+FCFF!$I$9*(1+Inputs!$B$6)/(B1638-Inputs!$B$6)/(1+B1638)^7</f>
        <v>-1816.775408</v>
      </c>
    </row>
    <row r="1639" ht="14.25" customHeight="1">
      <c r="A1639" s="7">
        <v>1626.0</v>
      </c>
      <c r="B1639" s="14">
        <f t="shared" si="1"/>
        <v>0.1168253724</v>
      </c>
      <c r="C1639" s="39">
        <f t="array" ref="C1639">NPV(B1639,FCFF!$C$9:$I$9)+FCFF!$B$9+FCFF!$I$9*(1+Inputs!$B$6)/(B1639-Inputs!$B$6)/(1+B1639)^7</f>
        <v>-1766.1562</v>
      </c>
    </row>
    <row r="1640" ht="14.25" customHeight="1">
      <c r="A1640" s="7">
        <v>1627.0</v>
      </c>
      <c r="B1640" s="14">
        <f t="shared" si="1"/>
        <v>0.1276390788</v>
      </c>
      <c r="C1640" s="39">
        <f t="array" ref="C1640">NPV(B1640,FCFF!$C$9:$I$9)+FCFF!$B$9+FCFF!$I$9*(1+Inputs!$B$6)/(B1640-Inputs!$B$6)/(1+B1640)^7</f>
        <v>-1939.826471</v>
      </c>
    </row>
    <row r="1641" ht="14.25" customHeight="1">
      <c r="A1641" s="7">
        <v>1628.0</v>
      </c>
      <c r="B1641" s="14">
        <f t="shared" si="1"/>
        <v>0.1178818315</v>
      </c>
      <c r="C1641" s="39">
        <f t="array" ref="C1641">NPV(B1641,FCFF!$C$9:$I$9)+FCFF!$B$9+FCFF!$I$9*(1+Inputs!$B$6)/(B1641-Inputs!$B$6)/(1+B1641)^7</f>
        <v>-1785.124637</v>
      </c>
    </row>
    <row r="1642" ht="14.25" customHeight="1">
      <c r="A1642" s="7">
        <v>1629.0</v>
      </c>
      <c r="B1642" s="14">
        <f t="shared" si="1"/>
        <v>0.1261983732</v>
      </c>
      <c r="C1642" s="39">
        <f t="array" ref="C1642">NPV(B1642,FCFF!$C$9:$I$9)+FCFF!$B$9+FCFF!$I$9*(1+Inputs!$B$6)/(B1642-Inputs!$B$6)/(1+B1642)^7</f>
        <v>-1919.090914</v>
      </c>
    </row>
    <row r="1643" ht="14.25" customHeight="1">
      <c r="A1643" s="7">
        <v>1630.0</v>
      </c>
      <c r="B1643" s="14">
        <f t="shared" si="1"/>
        <v>0.09723678353</v>
      </c>
      <c r="C1643" s="39">
        <f t="array" ref="C1643">NPV(B1643,FCFF!$C$9:$I$9)+FCFF!$B$9+FCFF!$I$9*(1+Inputs!$B$6)/(B1643-Inputs!$B$6)/(1+B1643)^7</f>
        <v>-1302.228241</v>
      </c>
    </row>
    <row r="1644" ht="14.25" customHeight="1">
      <c r="A1644" s="7">
        <v>1631.0</v>
      </c>
      <c r="B1644" s="14">
        <f t="shared" si="1"/>
        <v>0.1149199151</v>
      </c>
      <c r="C1644" s="39">
        <f t="array" ref="C1644">NPV(B1644,FCFF!$C$9:$I$9)+FCFF!$B$9+FCFF!$I$9*(1+Inputs!$B$6)/(B1644-Inputs!$B$6)/(1+B1644)^7</f>
        <v>-1730.690432</v>
      </c>
    </row>
    <row r="1645" ht="14.25" customHeight="1">
      <c r="A1645" s="7">
        <v>1632.0</v>
      </c>
      <c r="B1645" s="14">
        <f t="shared" si="1"/>
        <v>0.1115999445</v>
      </c>
      <c r="C1645" s="39">
        <f t="array" ref="C1645">NPV(B1645,FCFF!$C$9:$I$9)+FCFF!$B$9+FCFF!$I$9*(1+Inputs!$B$6)/(B1645-Inputs!$B$6)/(1+B1645)^7</f>
        <v>-1664.758335</v>
      </c>
    </row>
    <row r="1646" ht="14.25" customHeight="1">
      <c r="A1646" s="7">
        <v>1633.0</v>
      </c>
      <c r="B1646" s="14">
        <f t="shared" si="1"/>
        <v>0.1064913528</v>
      </c>
      <c r="C1646" s="39">
        <f t="array" ref="C1646">NPV(B1646,FCFF!$C$9:$I$9)+FCFF!$B$9+FCFF!$I$9*(1+Inputs!$B$6)/(B1646-Inputs!$B$6)/(1+B1646)^7</f>
        <v>-1551.71051</v>
      </c>
    </row>
    <row r="1647" ht="14.25" customHeight="1">
      <c r="A1647" s="7">
        <v>1634.0</v>
      </c>
      <c r="B1647" s="14">
        <f t="shared" si="1"/>
        <v>0.1011025635</v>
      </c>
      <c r="C1647" s="39">
        <f t="array" ref="C1647">NPV(B1647,FCFF!$C$9:$I$9)+FCFF!$B$9+FCFF!$I$9*(1+Inputs!$B$6)/(B1647-Inputs!$B$6)/(1+B1647)^7</f>
        <v>-1414.422291</v>
      </c>
    </row>
    <row r="1648" ht="14.25" customHeight="1">
      <c r="A1648" s="7">
        <v>1635.0</v>
      </c>
      <c r="B1648" s="14">
        <f t="shared" si="1"/>
        <v>0.1140121663</v>
      </c>
      <c r="C1648" s="39">
        <f t="array" ref="C1648">NPV(B1648,FCFF!$C$9:$I$9)+FCFF!$B$9+FCFF!$I$9*(1+Inputs!$B$6)/(B1648-Inputs!$B$6)/(1+B1648)^7</f>
        <v>-1713.202347</v>
      </c>
    </row>
    <row r="1649" ht="14.25" customHeight="1">
      <c r="A1649" s="7">
        <v>1636.0</v>
      </c>
      <c r="B1649" s="14">
        <f t="shared" si="1"/>
        <v>0.1036781874</v>
      </c>
      <c r="C1649" s="39">
        <f t="array" ref="C1649">NPV(B1649,FCFF!$C$9:$I$9)+FCFF!$B$9+FCFF!$I$9*(1+Inputs!$B$6)/(B1649-Inputs!$B$6)/(1+B1649)^7</f>
        <v>-1482.586818</v>
      </c>
    </row>
    <row r="1650" ht="14.25" customHeight="1">
      <c r="A1650" s="7">
        <v>1637.0</v>
      </c>
      <c r="B1650" s="14">
        <f t="shared" si="1"/>
        <v>0.1094046602</v>
      </c>
      <c r="C1650" s="39">
        <f t="array" ref="C1650">NPV(B1650,FCFF!$C$9:$I$9)+FCFF!$B$9+FCFF!$I$9*(1+Inputs!$B$6)/(B1650-Inputs!$B$6)/(1+B1650)^7</f>
        <v>-1618.015403</v>
      </c>
    </row>
    <row r="1651" ht="14.25" customHeight="1">
      <c r="A1651" s="7">
        <v>1638.0</v>
      </c>
      <c r="B1651" s="14">
        <f t="shared" si="1"/>
        <v>0.1159061665</v>
      </c>
      <c r="C1651" s="39">
        <f t="array" ref="C1651">NPV(B1651,FCFF!$C$9:$I$9)+FCFF!$B$9+FCFF!$I$9*(1+Inputs!$B$6)/(B1651-Inputs!$B$6)/(1+B1651)^7</f>
        <v>-1749.253118</v>
      </c>
    </row>
    <row r="1652" ht="14.25" customHeight="1">
      <c r="A1652" s="7">
        <v>1639.0</v>
      </c>
      <c r="B1652" s="14">
        <f t="shared" si="1"/>
        <v>0.1237746864</v>
      </c>
      <c r="C1652" s="39">
        <f t="array" ref="C1652">NPV(B1652,FCFF!$C$9:$I$9)+FCFF!$B$9+FCFF!$I$9*(1+Inputs!$B$6)/(B1652-Inputs!$B$6)/(1+B1652)^7</f>
        <v>-1882.660943</v>
      </c>
    </row>
    <row r="1653" ht="14.25" customHeight="1">
      <c r="A1653" s="7">
        <v>1640.0</v>
      </c>
      <c r="B1653" s="14">
        <f t="shared" si="1"/>
        <v>0.1186306282</v>
      </c>
      <c r="C1653" s="39">
        <f t="array" ref="C1653">NPV(B1653,FCFF!$C$9:$I$9)+FCFF!$B$9+FCFF!$I$9*(1+Inputs!$B$6)/(B1653-Inputs!$B$6)/(1+B1653)^7</f>
        <v>-1798.280877</v>
      </c>
    </row>
    <row r="1654" ht="14.25" customHeight="1">
      <c r="A1654" s="7">
        <v>1641.0</v>
      </c>
      <c r="B1654" s="14">
        <f t="shared" si="1"/>
        <v>0.09314964929</v>
      </c>
      <c r="C1654" s="39">
        <f t="array" ref="C1654">NPV(B1654,FCFF!$C$9:$I$9)+FCFF!$B$9+FCFF!$I$9*(1+Inputs!$B$6)/(B1654-Inputs!$B$6)/(1+B1654)^7</f>
        <v>-1168.691376</v>
      </c>
    </row>
    <row r="1655" ht="14.25" customHeight="1">
      <c r="A1655" s="7">
        <v>1642.0</v>
      </c>
      <c r="B1655" s="14">
        <f t="shared" si="1"/>
        <v>0.1017841354</v>
      </c>
      <c r="C1655" s="39">
        <f t="array" ref="C1655">NPV(B1655,FCFF!$C$9:$I$9)+FCFF!$B$9+FCFF!$I$9*(1+Inputs!$B$6)/(B1655-Inputs!$B$6)/(1+B1655)^7</f>
        <v>-1432.942063</v>
      </c>
    </row>
    <row r="1656" ht="14.25" customHeight="1">
      <c r="A1656" s="7">
        <v>1643.0</v>
      </c>
      <c r="B1656" s="14">
        <f t="shared" si="1"/>
        <v>0.1034554473</v>
      </c>
      <c r="C1656" s="39">
        <f t="array" ref="C1656">NPV(B1656,FCFF!$C$9:$I$9)+FCFF!$B$9+FCFF!$I$9*(1+Inputs!$B$6)/(B1656-Inputs!$B$6)/(1+B1656)^7</f>
        <v>-1476.883332</v>
      </c>
    </row>
    <row r="1657" ht="14.25" customHeight="1">
      <c r="A1657" s="7">
        <v>1644.0</v>
      </c>
      <c r="B1657" s="14">
        <f t="shared" si="1"/>
        <v>0.1297551933</v>
      </c>
      <c r="C1657" s="39">
        <f t="array" ref="C1657">NPV(B1657,FCFF!$C$9:$I$9)+FCFF!$B$9+FCFF!$I$9*(1+Inputs!$B$6)/(B1657-Inputs!$B$6)/(1+B1657)^7</f>
        <v>-1969.112467</v>
      </c>
    </row>
    <row r="1658" ht="14.25" customHeight="1">
      <c r="A1658" s="7">
        <v>1645.0</v>
      </c>
      <c r="B1658" s="14">
        <f t="shared" si="1"/>
        <v>0.103591145</v>
      </c>
      <c r="C1658" s="39">
        <f t="array" ref="C1658">NPV(B1658,FCFF!$C$9:$I$9)+FCFF!$B$9+FCFF!$I$9*(1+Inputs!$B$6)/(B1658-Inputs!$B$6)/(1+B1658)^7</f>
        <v>-1480.362185</v>
      </c>
    </row>
    <row r="1659" ht="14.25" customHeight="1">
      <c r="A1659" s="7">
        <v>1646.0</v>
      </c>
      <c r="B1659" s="14">
        <f t="shared" si="1"/>
        <v>0.09591247472</v>
      </c>
      <c r="C1659" s="39">
        <f t="array" ref="C1659">NPV(B1659,FCFF!$C$9:$I$9)+FCFF!$B$9+FCFF!$I$9*(1+Inputs!$B$6)/(B1659-Inputs!$B$6)/(1+B1659)^7</f>
        <v>-1260.763123</v>
      </c>
    </row>
    <row r="1660" ht="14.25" customHeight="1">
      <c r="A1660" s="7">
        <v>1647.0</v>
      </c>
      <c r="B1660" s="14">
        <f t="shared" si="1"/>
        <v>0.09990301222</v>
      </c>
      <c r="C1660" s="39">
        <f t="array" ref="C1660">NPV(B1660,FCFF!$C$9:$I$9)+FCFF!$B$9+FCFF!$I$9*(1+Inputs!$B$6)/(B1660-Inputs!$B$6)/(1+B1660)^7</f>
        <v>-1380.942807</v>
      </c>
    </row>
    <row r="1661" ht="14.25" customHeight="1">
      <c r="A1661" s="7">
        <v>1648.0</v>
      </c>
      <c r="B1661" s="14">
        <f t="shared" si="1"/>
        <v>0.1152314179</v>
      </c>
      <c r="C1661" s="39">
        <f t="array" ref="C1661">NPV(B1661,FCFF!$C$9:$I$9)+FCFF!$B$9+FCFF!$I$9*(1+Inputs!$B$6)/(B1661-Inputs!$B$6)/(1+B1661)^7</f>
        <v>-1736.601952</v>
      </c>
    </row>
    <row r="1662" ht="14.25" customHeight="1">
      <c r="A1662" s="7">
        <v>1649.0</v>
      </c>
      <c r="B1662" s="14">
        <f t="shared" si="1"/>
        <v>0.1122561358</v>
      </c>
      <c r="C1662" s="39">
        <f t="array" ref="C1662">NPV(B1662,FCFF!$C$9:$I$9)+FCFF!$B$9+FCFF!$I$9*(1+Inputs!$B$6)/(B1662-Inputs!$B$6)/(1+B1662)^7</f>
        <v>-1678.22895</v>
      </c>
    </row>
    <row r="1663" ht="14.25" customHeight="1">
      <c r="A1663" s="7">
        <v>1650.0</v>
      </c>
      <c r="B1663" s="14">
        <f t="shared" si="1"/>
        <v>0.1031810744</v>
      </c>
      <c r="C1663" s="39">
        <f t="array" ref="C1663">NPV(B1663,FCFF!$C$9:$I$9)+FCFF!$B$9+FCFF!$I$9*(1+Inputs!$B$6)/(B1663-Inputs!$B$6)/(1+B1663)^7</f>
        <v>-1469.809265</v>
      </c>
    </row>
    <row r="1664" ht="14.25" customHeight="1">
      <c r="A1664" s="7">
        <v>1651.0</v>
      </c>
      <c r="B1664" s="14">
        <f t="shared" si="1"/>
        <v>0.1123847183</v>
      </c>
      <c r="C1664" s="39">
        <f t="array" ref="C1664">NPV(B1664,FCFF!$C$9:$I$9)+FCFF!$B$9+FCFF!$I$9*(1+Inputs!$B$6)/(B1664-Inputs!$B$6)/(1+B1664)^7</f>
        <v>-1680.842457</v>
      </c>
    </row>
    <row r="1665" ht="14.25" customHeight="1">
      <c r="A1665" s="7">
        <v>1652.0</v>
      </c>
      <c r="B1665" s="14">
        <f t="shared" si="1"/>
        <v>0.1160659256</v>
      </c>
      <c r="C1665" s="39">
        <f t="array" ref="C1665">NPV(B1665,FCFF!$C$9:$I$9)+FCFF!$B$9+FCFF!$I$9*(1+Inputs!$B$6)/(B1665-Inputs!$B$6)/(1+B1665)^7</f>
        <v>-1752.218091</v>
      </c>
    </row>
    <row r="1666" ht="14.25" customHeight="1">
      <c r="A1666" s="7">
        <v>1653.0</v>
      </c>
      <c r="B1666" s="14">
        <f t="shared" si="1"/>
        <v>0.09852936617</v>
      </c>
      <c r="C1666" s="39">
        <f t="array" ref="C1666">NPV(B1666,FCFF!$C$9:$I$9)+FCFF!$B$9+FCFF!$I$9*(1+Inputs!$B$6)/(B1666-Inputs!$B$6)/(1+B1666)^7</f>
        <v>-1341.155862</v>
      </c>
    </row>
    <row r="1667" ht="14.25" customHeight="1">
      <c r="A1667" s="7">
        <v>1654.0</v>
      </c>
      <c r="B1667" s="14">
        <f t="shared" si="1"/>
        <v>0.1049493676</v>
      </c>
      <c r="C1667" s="39">
        <f t="array" ref="C1667">NPV(B1667,FCFF!$C$9:$I$9)+FCFF!$B$9+FCFF!$I$9*(1+Inputs!$B$6)/(B1667-Inputs!$B$6)/(1+B1667)^7</f>
        <v>-1514.47693</v>
      </c>
    </row>
    <row r="1668" ht="14.25" customHeight="1">
      <c r="A1668" s="7">
        <v>1655.0</v>
      </c>
      <c r="B1668" s="14">
        <f t="shared" si="1"/>
        <v>0.1239239058</v>
      </c>
      <c r="C1668" s="39">
        <f t="array" ref="C1668">NPV(B1668,FCFF!$C$9:$I$9)+FCFF!$B$9+FCFF!$I$9*(1+Inputs!$B$6)/(B1668-Inputs!$B$6)/(1+B1668)^7</f>
        <v>-1884.962029</v>
      </c>
    </row>
    <row r="1669" ht="14.25" customHeight="1">
      <c r="A1669" s="7">
        <v>1656.0</v>
      </c>
      <c r="B1669" s="14">
        <f t="shared" si="1"/>
        <v>0.1073077452</v>
      </c>
      <c r="C1669" s="39">
        <f t="array" ref="C1669">NPV(B1669,FCFF!$C$9:$I$9)+FCFF!$B$9+FCFF!$I$9*(1+Inputs!$B$6)/(B1669-Inputs!$B$6)/(1+B1669)^7</f>
        <v>-1570.808595</v>
      </c>
    </row>
    <row r="1670" ht="14.25" customHeight="1">
      <c r="A1670" s="7">
        <v>1657.0</v>
      </c>
      <c r="B1670" s="14">
        <f t="shared" si="1"/>
        <v>0.09598334025</v>
      </c>
      <c r="C1670" s="39">
        <f t="array" ref="C1670">NPV(B1670,FCFF!$C$9:$I$9)+FCFF!$B$9+FCFF!$I$9*(1+Inputs!$B$6)/(B1670-Inputs!$B$6)/(1+B1670)^7</f>
        <v>-1263.023994</v>
      </c>
    </row>
    <row r="1671" ht="14.25" customHeight="1">
      <c r="A1671" s="7">
        <v>1658.0</v>
      </c>
      <c r="B1671" s="14">
        <f t="shared" si="1"/>
        <v>0.125996763</v>
      </c>
      <c r="C1671" s="39">
        <f t="array" ref="C1671">NPV(B1671,FCFF!$C$9:$I$9)+FCFF!$B$9+FCFF!$I$9*(1+Inputs!$B$6)/(B1671-Inputs!$B$6)/(1+B1671)^7</f>
        <v>-1916.135761</v>
      </c>
    </row>
    <row r="1672" ht="14.25" customHeight="1">
      <c r="A1672" s="7">
        <v>1659.0</v>
      </c>
      <c r="B1672" s="14">
        <f t="shared" si="1"/>
        <v>0.1017013617</v>
      </c>
      <c r="C1672" s="39">
        <f t="array" ref="C1672">NPV(B1672,FCFF!$C$9:$I$9)+FCFF!$B$9+FCFF!$I$9*(1+Inputs!$B$6)/(B1672-Inputs!$B$6)/(1+B1672)^7</f>
        <v>-1430.711906</v>
      </c>
    </row>
    <row r="1673" ht="14.25" customHeight="1">
      <c r="A1673" s="7">
        <v>1660.0</v>
      </c>
      <c r="B1673" s="14">
        <f t="shared" si="1"/>
        <v>0.1054009115</v>
      </c>
      <c r="C1673" s="39">
        <f t="array" ref="C1673">NPV(B1673,FCFF!$C$9:$I$9)+FCFF!$B$9+FCFF!$I$9*(1+Inputs!$B$6)/(B1673-Inputs!$B$6)/(1+B1673)^7</f>
        <v>-1525.541187</v>
      </c>
    </row>
    <row r="1674" ht="14.25" customHeight="1">
      <c r="A1674" s="7">
        <v>1661.0</v>
      </c>
      <c r="B1674" s="14">
        <f t="shared" si="1"/>
        <v>0.1045480469</v>
      </c>
      <c r="C1674" s="39">
        <f t="array" ref="C1674">NPV(B1674,FCFF!$C$9:$I$9)+FCFF!$B$9+FCFF!$I$9*(1+Inputs!$B$6)/(B1674-Inputs!$B$6)/(1+B1674)^7</f>
        <v>-1504.528588</v>
      </c>
    </row>
    <row r="1675" ht="14.25" customHeight="1">
      <c r="A1675" s="7">
        <v>1662.0</v>
      </c>
      <c r="B1675" s="14">
        <f t="shared" si="1"/>
        <v>0.1243516873</v>
      </c>
      <c r="C1675" s="39">
        <f t="array" ref="C1675">NPV(B1675,FCFF!$C$9:$I$9)+FCFF!$B$9+FCFF!$I$9*(1+Inputs!$B$6)/(B1675-Inputs!$B$6)/(1+B1675)^7</f>
        <v>-1891.515645</v>
      </c>
    </row>
    <row r="1676" ht="14.25" customHeight="1">
      <c r="A1676" s="7">
        <v>1663.0</v>
      </c>
      <c r="B1676" s="14">
        <f t="shared" si="1"/>
        <v>0.1289489623</v>
      </c>
      <c r="C1676" s="39">
        <f t="array" ref="C1676">NPV(B1676,FCFF!$C$9:$I$9)+FCFF!$B$9+FCFF!$I$9*(1+Inputs!$B$6)/(B1676-Inputs!$B$6)/(1+B1676)^7</f>
        <v>-1958.11441</v>
      </c>
    </row>
    <row r="1677" ht="14.25" customHeight="1">
      <c r="A1677" s="7">
        <v>1664.0</v>
      </c>
      <c r="B1677" s="14">
        <f t="shared" si="1"/>
        <v>0.1022370782</v>
      </c>
      <c r="C1677" s="39">
        <f t="array" ref="C1677">NPV(B1677,FCFF!$C$9:$I$9)+FCFF!$B$9+FCFF!$I$9*(1+Inputs!$B$6)/(B1677-Inputs!$B$6)/(1+B1677)^7</f>
        <v>-1445.054088</v>
      </c>
    </row>
    <row r="1678" ht="14.25" customHeight="1">
      <c r="A1678" s="7">
        <v>1665.0</v>
      </c>
      <c r="B1678" s="14">
        <f t="shared" si="1"/>
        <v>0.1182335546</v>
      </c>
      <c r="C1678" s="39">
        <f t="array" ref="C1678">NPV(B1678,FCFF!$C$9:$I$9)+FCFF!$B$9+FCFF!$I$9*(1+Inputs!$B$6)/(B1678-Inputs!$B$6)/(1+B1678)^7</f>
        <v>-1791.333675</v>
      </c>
    </row>
    <row r="1679" ht="14.25" customHeight="1">
      <c r="A1679" s="7">
        <v>1666.0</v>
      </c>
      <c r="B1679" s="14">
        <f t="shared" si="1"/>
        <v>0.109503381</v>
      </c>
      <c r="C1679" s="39">
        <f t="array" ref="C1679">NPV(B1679,FCFF!$C$9:$I$9)+FCFF!$B$9+FCFF!$I$9*(1+Inputs!$B$6)/(B1679-Inputs!$B$6)/(1+B1679)^7</f>
        <v>-1620.174692</v>
      </c>
    </row>
    <row r="1680" ht="14.25" customHeight="1">
      <c r="A1680" s="7">
        <v>1667.0</v>
      </c>
      <c r="B1680" s="14">
        <f t="shared" si="1"/>
        <v>0.09689629778</v>
      </c>
      <c r="C1680" s="39">
        <f t="array" ref="C1680">NPV(B1680,FCFF!$C$9:$I$9)+FCFF!$B$9+FCFF!$I$9*(1+Inputs!$B$6)/(B1680-Inputs!$B$6)/(1+B1680)^7</f>
        <v>-1291.723796</v>
      </c>
    </row>
    <row r="1681" ht="14.25" customHeight="1">
      <c r="A1681" s="7">
        <v>1668.0</v>
      </c>
      <c r="B1681" s="14">
        <f t="shared" si="1"/>
        <v>0.1004162129</v>
      </c>
      <c r="C1681" s="39">
        <f t="array" ref="C1681">NPV(B1681,FCFF!$C$9:$I$9)+FCFF!$B$9+FCFF!$I$9*(1+Inputs!$B$6)/(B1681-Inputs!$B$6)/(1+B1681)^7</f>
        <v>-1395.406936</v>
      </c>
    </row>
    <row r="1682" ht="14.25" customHeight="1">
      <c r="A1682" s="7">
        <v>1669.0</v>
      </c>
      <c r="B1682" s="14">
        <f t="shared" si="1"/>
        <v>0.1123764192</v>
      </c>
      <c r="C1682" s="39">
        <f t="array" ref="C1682">NPV(B1682,FCFF!$C$9:$I$9)+FCFF!$B$9+FCFF!$I$9*(1+Inputs!$B$6)/(B1682-Inputs!$B$6)/(1+B1682)^7</f>
        <v>-1680.674028</v>
      </c>
    </row>
    <row r="1683" ht="14.25" customHeight="1">
      <c r="A1683" s="7">
        <v>1670.0</v>
      </c>
      <c r="B1683" s="14">
        <f t="shared" si="1"/>
        <v>0.1115709239</v>
      </c>
      <c r="C1683" s="39">
        <f t="array" ref="C1683">NPV(B1683,FCFF!$C$9:$I$9)+FCFF!$B$9+FCFF!$I$9*(1+Inputs!$B$6)/(B1683-Inputs!$B$6)/(1+B1683)^7</f>
        <v>-1664.157394</v>
      </c>
    </row>
    <row r="1684" ht="14.25" customHeight="1">
      <c r="A1684" s="7">
        <v>1671.0</v>
      </c>
      <c r="B1684" s="14">
        <f t="shared" si="1"/>
        <v>0.1177138914</v>
      </c>
      <c r="C1684" s="39">
        <f t="array" ref="C1684">NPV(B1684,FCFF!$C$9:$I$9)+FCFF!$B$9+FCFF!$I$9*(1+Inputs!$B$6)/(B1684-Inputs!$B$6)/(1+B1684)^7</f>
        <v>-1782.141451</v>
      </c>
    </row>
    <row r="1685" ht="14.25" customHeight="1">
      <c r="A1685" s="7">
        <v>1672.0</v>
      </c>
      <c r="B1685" s="14">
        <f t="shared" si="1"/>
        <v>0.1244187345</v>
      </c>
      <c r="C1685" s="39">
        <f t="array" ref="C1685">NPV(B1685,FCFF!$C$9:$I$9)+FCFF!$B$9+FCFF!$I$9*(1+Inputs!$B$6)/(B1685-Inputs!$B$6)/(1+B1685)^7</f>
        <v>-1892.537049</v>
      </c>
    </row>
    <row r="1686" ht="14.25" customHeight="1">
      <c r="A1686" s="7">
        <v>1673.0</v>
      </c>
      <c r="B1686" s="14">
        <f t="shared" si="1"/>
        <v>0.1148886551</v>
      </c>
      <c r="C1686" s="39">
        <f t="array" ref="C1686">NPV(B1686,FCFF!$C$9:$I$9)+FCFF!$B$9+FCFF!$I$9*(1+Inputs!$B$6)/(B1686-Inputs!$B$6)/(1+B1686)^7</f>
        <v>-1730.094693</v>
      </c>
    </row>
    <row r="1687" ht="14.25" customHeight="1">
      <c r="A1687" s="7">
        <v>1674.0</v>
      </c>
      <c r="B1687" s="14">
        <f t="shared" si="1"/>
        <v>0.09732425536</v>
      </c>
      <c r="C1687" s="39">
        <f t="array" ref="C1687">NPV(B1687,FCFF!$C$9:$I$9)+FCFF!$B$9+FCFF!$I$9*(1+Inputs!$B$6)/(B1687-Inputs!$B$6)/(1+B1687)^7</f>
        <v>-1304.90973</v>
      </c>
    </row>
    <row r="1688" ht="14.25" customHeight="1">
      <c r="A1688" s="7">
        <v>1675.0</v>
      </c>
      <c r="B1688" s="14">
        <f t="shared" si="1"/>
        <v>0.09802942091</v>
      </c>
      <c r="C1688" s="39">
        <f t="array" ref="C1688">NPV(B1688,FCFF!$C$9:$I$9)+FCFF!$B$9+FCFF!$I$9*(1+Inputs!$B$6)/(B1688-Inputs!$B$6)/(1+B1688)^7</f>
        <v>-1326.275038</v>
      </c>
    </row>
    <row r="1689" ht="14.25" customHeight="1">
      <c r="A1689" s="7">
        <v>1676.0</v>
      </c>
      <c r="B1689" s="14">
        <f t="shared" si="1"/>
        <v>0.1188377797</v>
      </c>
      <c r="C1689" s="39">
        <f t="array" ref="C1689">NPV(B1689,FCFF!$C$9:$I$9)+FCFF!$B$9+FCFF!$I$9*(1+Inputs!$B$6)/(B1689-Inputs!$B$6)/(1+B1689)^7</f>
        <v>-1801.879199</v>
      </c>
    </row>
    <row r="1690" ht="14.25" customHeight="1">
      <c r="A1690" s="7">
        <v>1677.0</v>
      </c>
      <c r="B1690" s="14">
        <f t="shared" si="1"/>
        <v>0.1327458607</v>
      </c>
      <c r="C1690" s="39">
        <f t="array" ref="C1690">NPV(B1690,FCFF!$C$9:$I$9)+FCFF!$B$9+FCFF!$I$9*(1+Inputs!$B$6)/(B1690-Inputs!$B$6)/(1+B1690)^7</f>
        <v>-2008.274321</v>
      </c>
    </row>
    <row r="1691" ht="14.25" customHeight="1">
      <c r="A1691" s="7">
        <v>1678.0</v>
      </c>
      <c r="B1691" s="14">
        <f t="shared" si="1"/>
        <v>0.09852227416</v>
      </c>
      <c r="C1691" s="39">
        <f t="array" ref="C1691">NPV(B1691,FCFF!$C$9:$I$9)+FCFF!$B$9+FCFF!$I$9*(1+Inputs!$B$6)/(B1691-Inputs!$B$6)/(1+B1691)^7</f>
        <v>-1340.946291</v>
      </c>
    </row>
    <row r="1692" ht="14.25" customHeight="1">
      <c r="A1692" s="7">
        <v>1679.0</v>
      </c>
      <c r="B1692" s="14">
        <f t="shared" si="1"/>
        <v>0.09747617389</v>
      </c>
      <c r="C1692" s="39">
        <f t="array" ref="C1692">NPV(B1692,FCFF!$C$9:$I$9)+FCFF!$B$9+FCFF!$I$9*(1+Inputs!$B$6)/(B1692-Inputs!$B$6)/(1+B1692)^7</f>
        <v>-1309.550346</v>
      </c>
    </row>
    <row r="1693" ht="14.25" customHeight="1">
      <c r="A1693" s="7">
        <v>1680.0</v>
      </c>
      <c r="B1693" s="14">
        <f t="shared" si="1"/>
        <v>0.117515589</v>
      </c>
      <c r="C1693" s="39">
        <f t="array" ref="C1693">NPV(B1693,FCFF!$C$9:$I$9)+FCFF!$B$9+FCFF!$I$9*(1+Inputs!$B$6)/(B1693-Inputs!$B$6)/(1+B1693)^7</f>
        <v>-1778.603408</v>
      </c>
    </row>
    <row r="1694" ht="14.25" customHeight="1">
      <c r="A1694" s="7">
        <v>1681.0</v>
      </c>
      <c r="B1694" s="14">
        <f t="shared" si="1"/>
        <v>0.1179588591</v>
      </c>
      <c r="C1694" s="39">
        <f t="array" ref="C1694">NPV(B1694,FCFF!$C$9:$I$9)+FCFF!$B$9+FCFF!$I$9*(1+Inputs!$B$6)/(B1694-Inputs!$B$6)/(1+B1694)^7</f>
        <v>-1786.488895</v>
      </c>
    </row>
    <row r="1695" ht="14.25" customHeight="1">
      <c r="A1695" s="7">
        <v>1682.0</v>
      </c>
      <c r="B1695" s="14">
        <f t="shared" si="1"/>
        <v>0.1238534318</v>
      </c>
      <c r="C1695" s="39">
        <f t="array" ref="C1695">NPV(B1695,FCFF!$C$9:$I$9)+FCFF!$B$9+FCFF!$I$9*(1+Inputs!$B$6)/(B1695-Inputs!$B$6)/(1+B1695)^7</f>
        <v>-1883.876237</v>
      </c>
    </row>
    <row r="1696" ht="14.25" customHeight="1">
      <c r="A1696" s="7">
        <v>1683.0</v>
      </c>
      <c r="B1696" s="14">
        <f t="shared" si="1"/>
        <v>0.1078657798</v>
      </c>
      <c r="C1696" s="39">
        <f t="array" ref="C1696">NPV(B1696,FCFF!$C$9:$I$9)+FCFF!$B$9+FCFF!$I$9*(1+Inputs!$B$6)/(B1696-Inputs!$B$6)/(1+B1696)^7</f>
        <v>-1583.626608</v>
      </c>
    </row>
    <row r="1697" ht="14.25" customHeight="1">
      <c r="A1697" s="7">
        <v>1684.0</v>
      </c>
      <c r="B1697" s="14">
        <f t="shared" si="1"/>
        <v>0.09637332343</v>
      </c>
      <c r="C1697" s="39">
        <f t="array" ref="C1697">NPV(B1697,FCFF!$C$9:$I$9)+FCFF!$B$9+FCFF!$I$9*(1+Inputs!$B$6)/(B1697-Inputs!$B$6)/(1+B1697)^7</f>
        <v>-1275.379839</v>
      </c>
    </row>
    <row r="1698" ht="14.25" customHeight="1">
      <c r="A1698" s="7">
        <v>1685.0</v>
      </c>
      <c r="B1698" s="14">
        <f t="shared" si="1"/>
        <v>0.09653107674</v>
      </c>
      <c r="C1698" s="39">
        <f t="array" ref="C1698">NPV(B1698,FCFF!$C$9:$I$9)+FCFF!$B$9+FCFF!$I$9*(1+Inputs!$B$6)/(B1698-Inputs!$B$6)/(1+B1698)^7</f>
        <v>-1280.336929</v>
      </c>
    </row>
    <row r="1699" ht="14.25" customHeight="1">
      <c r="A1699" s="7">
        <v>1686.0</v>
      </c>
      <c r="B1699" s="14">
        <f t="shared" si="1"/>
        <v>0.1078345219</v>
      </c>
      <c r="C1699" s="39">
        <f t="array" ref="C1699">NPV(B1699,FCFF!$C$9:$I$9)+FCFF!$B$9+FCFF!$I$9*(1+Inputs!$B$6)/(B1699-Inputs!$B$6)/(1+B1699)^7</f>
        <v>-1582.913604</v>
      </c>
    </row>
    <row r="1700" ht="14.25" customHeight="1">
      <c r="A1700" s="7">
        <v>1687.0</v>
      </c>
      <c r="B1700" s="14">
        <f t="shared" si="1"/>
        <v>0.1259600714</v>
      </c>
      <c r="C1700" s="39">
        <f t="array" ref="C1700">NPV(B1700,FCFF!$C$9:$I$9)+FCFF!$B$9+FCFF!$I$9*(1+Inputs!$B$6)/(B1700-Inputs!$B$6)/(1+B1700)^7</f>
        <v>-1915.596509</v>
      </c>
    </row>
    <row r="1701" ht="14.25" customHeight="1">
      <c r="A1701" s="7">
        <v>1688.0</v>
      </c>
      <c r="B1701" s="14">
        <f t="shared" si="1"/>
        <v>0.1079189242</v>
      </c>
      <c r="C1701" s="39">
        <f t="array" ref="C1701">NPV(B1701,FCFF!$C$9:$I$9)+FCFF!$B$9+FCFF!$I$9*(1+Inputs!$B$6)/(B1701-Inputs!$B$6)/(1+B1701)^7</f>
        <v>-1584.837501</v>
      </c>
    </row>
    <row r="1702" ht="14.25" customHeight="1">
      <c r="A1702" s="7">
        <v>1689.0</v>
      </c>
      <c r="B1702" s="14">
        <f t="shared" si="1"/>
        <v>0.1294116472</v>
      </c>
      <c r="C1702" s="39">
        <f t="array" ref="C1702">NPV(B1702,FCFF!$C$9:$I$9)+FCFF!$B$9+FCFF!$I$9*(1+Inputs!$B$6)/(B1702-Inputs!$B$6)/(1+B1702)^7</f>
        <v>-1964.449676</v>
      </c>
    </row>
    <row r="1703" ht="14.25" customHeight="1">
      <c r="A1703" s="7">
        <v>1690.0</v>
      </c>
      <c r="B1703" s="14">
        <f t="shared" si="1"/>
        <v>0.1283436897</v>
      </c>
      <c r="C1703" s="39">
        <f t="array" ref="C1703">NPV(B1703,FCFF!$C$9:$I$9)+FCFF!$B$9+FCFF!$I$9*(1+Inputs!$B$6)/(B1703-Inputs!$B$6)/(1+B1703)^7</f>
        <v>-1949.729326</v>
      </c>
    </row>
    <row r="1704" ht="14.25" customHeight="1">
      <c r="A1704" s="7">
        <v>1691.0</v>
      </c>
      <c r="B1704" s="14">
        <f t="shared" si="1"/>
        <v>0.09644973876</v>
      </c>
      <c r="C1704" s="39">
        <f t="array" ref="C1704">NPV(B1704,FCFF!$C$9:$I$9)+FCFF!$B$9+FCFF!$I$9*(1+Inputs!$B$6)/(B1704-Inputs!$B$6)/(1+B1704)^7</f>
        <v>-1277.783972</v>
      </c>
    </row>
    <row r="1705" ht="14.25" customHeight="1">
      <c r="A1705" s="7">
        <v>1692.0</v>
      </c>
      <c r="B1705" s="14">
        <f t="shared" si="1"/>
        <v>0.1168629584</v>
      </c>
      <c r="C1705" s="39">
        <f t="array" ref="C1705">NPV(B1705,FCFF!$C$9:$I$9)+FCFF!$B$9+FCFF!$I$9*(1+Inputs!$B$6)/(B1705-Inputs!$B$6)/(1+B1705)^7</f>
        <v>-1766.839373</v>
      </c>
    </row>
    <row r="1706" ht="14.25" customHeight="1">
      <c r="A1706" s="7">
        <v>1693.0</v>
      </c>
      <c r="B1706" s="14">
        <f t="shared" si="1"/>
        <v>0.1262120789</v>
      </c>
      <c r="C1706" s="39">
        <f t="array" ref="C1706">NPV(B1706,FCFF!$C$9:$I$9)+FCFF!$B$9+FCFF!$I$9*(1+Inputs!$B$6)/(B1706-Inputs!$B$6)/(1+B1706)^7</f>
        <v>-1919.291326</v>
      </c>
    </row>
    <row r="1707" ht="14.25" customHeight="1">
      <c r="A1707" s="7">
        <v>1694.0</v>
      </c>
      <c r="B1707" s="14">
        <f t="shared" si="1"/>
        <v>0.11903401</v>
      </c>
      <c r="C1707" s="39">
        <f t="array" ref="C1707">NPV(B1707,FCFF!$C$9:$I$9)+FCFF!$B$9+FCFF!$I$9*(1+Inputs!$B$6)/(B1707-Inputs!$B$6)/(1+B1707)^7</f>
        <v>-1805.271512</v>
      </c>
    </row>
    <row r="1708" ht="14.25" customHeight="1">
      <c r="A1708" s="7">
        <v>1695.0</v>
      </c>
      <c r="B1708" s="14">
        <f t="shared" si="1"/>
        <v>0.1116302586</v>
      </c>
      <c r="C1708" s="39">
        <f t="array" ref="C1708">NPV(B1708,FCFF!$C$9:$I$9)+FCFF!$B$9+FCFF!$I$9*(1+Inputs!$B$6)/(B1708-Inputs!$B$6)/(1+B1708)^7</f>
        <v>-1665.385589</v>
      </c>
    </row>
    <row r="1709" ht="14.25" customHeight="1">
      <c r="A1709" s="7">
        <v>1696.0</v>
      </c>
      <c r="B1709" s="14">
        <f t="shared" si="1"/>
        <v>0.09396767777</v>
      </c>
      <c r="C1709" s="39">
        <f t="array" ref="C1709">NPV(B1709,FCFF!$C$9:$I$9)+FCFF!$B$9+FCFF!$I$9*(1+Inputs!$B$6)/(B1709-Inputs!$B$6)/(1+B1709)^7</f>
        <v>-1196.773963</v>
      </c>
    </row>
    <row r="1710" ht="14.25" customHeight="1">
      <c r="A1710" s="7">
        <v>1697.0</v>
      </c>
      <c r="B1710" s="14">
        <f t="shared" si="1"/>
        <v>0.1304621143</v>
      </c>
      <c r="C1710" s="39">
        <f t="array" ref="C1710">NPV(B1710,FCFF!$C$9:$I$9)+FCFF!$B$9+FCFF!$I$9*(1+Inputs!$B$6)/(B1710-Inputs!$B$6)/(1+B1710)^7</f>
        <v>-1978.598389</v>
      </c>
    </row>
    <row r="1711" ht="14.25" customHeight="1">
      <c r="A1711" s="7">
        <v>1698.0</v>
      </c>
      <c r="B1711" s="14">
        <f t="shared" si="1"/>
        <v>0.1136942712</v>
      </c>
      <c r="C1711" s="39">
        <f t="array" ref="C1711">NPV(B1711,FCFF!$C$9:$I$9)+FCFF!$B$9+FCFF!$I$9*(1+Inputs!$B$6)/(B1711-Inputs!$B$6)/(1+B1711)^7</f>
        <v>-1706.984362</v>
      </c>
    </row>
    <row r="1712" ht="14.25" customHeight="1">
      <c r="A1712" s="7">
        <v>1699.0</v>
      </c>
      <c r="B1712" s="14">
        <f t="shared" si="1"/>
        <v>0.1303983861</v>
      </c>
      <c r="C1712" s="39">
        <f t="array" ref="C1712">NPV(B1712,FCFF!$C$9:$I$9)+FCFF!$B$9+FCFF!$I$9*(1+Inputs!$B$6)/(B1712-Inputs!$B$6)/(1+B1712)^7</f>
        <v>-1977.74919</v>
      </c>
    </row>
    <row r="1713" ht="14.25" customHeight="1">
      <c r="A1713" s="7">
        <v>1700.0</v>
      </c>
      <c r="B1713" s="14">
        <f t="shared" si="1"/>
        <v>0.09919986481</v>
      </c>
      <c r="C1713" s="39">
        <f t="array" ref="C1713">NPV(B1713,FCFF!$C$9:$I$9)+FCFF!$B$9+FCFF!$I$9*(1+Inputs!$B$6)/(B1713-Inputs!$B$6)/(1+B1713)^7</f>
        <v>-1360.774712</v>
      </c>
    </row>
    <row r="1714" ht="14.25" customHeight="1">
      <c r="A1714" s="7">
        <v>1701.0</v>
      </c>
      <c r="B1714" s="14">
        <f t="shared" si="1"/>
        <v>0.09943822258</v>
      </c>
      <c r="C1714" s="39">
        <f t="array" ref="C1714">NPV(B1714,FCFF!$C$9:$I$9)+FCFF!$B$9+FCFF!$I$9*(1+Inputs!$B$6)/(B1714-Inputs!$B$6)/(1+B1714)^7</f>
        <v>-1367.657434</v>
      </c>
    </row>
    <row r="1715" ht="14.25" customHeight="1">
      <c r="A1715" s="7">
        <v>1702.0</v>
      </c>
      <c r="B1715" s="14">
        <f t="shared" si="1"/>
        <v>0.1266939383</v>
      </c>
      <c r="C1715" s="39">
        <f t="array" ref="C1715">NPV(B1715,FCFF!$C$9:$I$9)+FCFF!$B$9+FCFF!$I$9*(1+Inputs!$B$6)/(B1715-Inputs!$B$6)/(1+B1715)^7</f>
        <v>-1926.298484</v>
      </c>
    </row>
    <row r="1716" ht="14.25" customHeight="1">
      <c r="A1716" s="7">
        <v>1703.0</v>
      </c>
      <c r="B1716" s="14">
        <f t="shared" si="1"/>
        <v>0.1015753152</v>
      </c>
      <c r="C1716" s="39">
        <f t="array" ref="C1716">NPV(B1716,FCFF!$C$9:$I$9)+FCFF!$B$9+FCFF!$I$9*(1+Inputs!$B$6)/(B1716-Inputs!$B$6)/(1+B1716)^7</f>
        <v>-1427.305837</v>
      </c>
    </row>
    <row r="1717" ht="14.25" customHeight="1">
      <c r="A1717" s="7">
        <v>1704.0</v>
      </c>
      <c r="B1717" s="14">
        <f t="shared" si="1"/>
        <v>0.09545332849</v>
      </c>
      <c r="C1717" s="39">
        <f t="array" ref="C1717">NPV(B1717,FCFF!$C$9:$I$9)+FCFF!$B$9+FCFF!$I$9*(1+Inputs!$B$6)/(B1717-Inputs!$B$6)/(1+B1717)^7</f>
        <v>-1245.996619</v>
      </c>
    </row>
    <row r="1718" ht="14.25" customHeight="1">
      <c r="A1718" s="7">
        <v>1705.0</v>
      </c>
      <c r="B1718" s="14">
        <f t="shared" si="1"/>
        <v>0.1321060008</v>
      </c>
      <c r="C1718" s="39">
        <f t="array" ref="C1718">NPV(B1718,FCFF!$C$9:$I$9)+FCFF!$B$9+FCFF!$I$9*(1+Inputs!$B$6)/(B1718-Inputs!$B$6)/(1+B1718)^7</f>
        <v>-2000.105577</v>
      </c>
    </row>
    <row r="1719" ht="14.25" customHeight="1">
      <c r="A1719" s="7">
        <v>1706.0</v>
      </c>
      <c r="B1719" s="14">
        <f t="shared" si="1"/>
        <v>0.0969695654</v>
      </c>
      <c r="C1719" s="39">
        <f t="array" ref="C1719">NPV(B1719,FCFF!$C$9:$I$9)+FCFF!$B$9+FCFF!$I$9*(1+Inputs!$B$6)/(B1719-Inputs!$B$6)/(1+B1719)^7</f>
        <v>-1293.993208</v>
      </c>
    </row>
    <row r="1720" ht="14.25" customHeight="1">
      <c r="A1720" s="7">
        <v>1707.0</v>
      </c>
      <c r="B1720" s="14">
        <f t="shared" si="1"/>
        <v>0.1051954223</v>
      </c>
      <c r="C1720" s="39">
        <f t="array" ref="C1720">NPV(B1720,FCFF!$C$9:$I$9)+FCFF!$B$9+FCFF!$I$9*(1+Inputs!$B$6)/(B1720-Inputs!$B$6)/(1+B1720)^7</f>
        <v>-1520.522858</v>
      </c>
    </row>
    <row r="1721" ht="14.25" customHeight="1">
      <c r="A1721" s="7">
        <v>1708.0</v>
      </c>
      <c r="B1721" s="14">
        <f t="shared" si="1"/>
        <v>0.1205522205</v>
      </c>
      <c r="C1721" s="39">
        <f t="array" ref="C1721">NPV(B1721,FCFF!$C$9:$I$9)+FCFF!$B$9+FCFF!$I$9*(1+Inputs!$B$6)/(B1721-Inputs!$B$6)/(1+B1721)^7</f>
        <v>-1830.992346</v>
      </c>
    </row>
    <row r="1722" ht="14.25" customHeight="1">
      <c r="A1722" s="7">
        <v>1709.0</v>
      </c>
      <c r="B1722" s="14">
        <f t="shared" si="1"/>
        <v>0.1154755386</v>
      </c>
      <c r="C1722" s="39">
        <f t="array" ref="C1722">NPV(B1722,FCFF!$C$9:$I$9)+FCFF!$B$9+FCFF!$I$9*(1+Inputs!$B$6)/(B1722-Inputs!$B$6)/(1+B1722)^7</f>
        <v>-1741.203228</v>
      </c>
    </row>
    <row r="1723" ht="14.25" customHeight="1">
      <c r="A1723" s="7">
        <v>1710.0</v>
      </c>
      <c r="B1723" s="14">
        <f t="shared" si="1"/>
        <v>0.1025802453</v>
      </c>
      <c r="C1723" s="39">
        <f t="array" ref="C1723">NPV(B1723,FCFF!$C$9:$I$9)+FCFF!$B$9+FCFF!$I$9*(1+Inputs!$B$6)/(B1723-Inputs!$B$6)/(1+B1723)^7</f>
        <v>-1454.128741</v>
      </c>
    </row>
    <row r="1724" ht="14.25" customHeight="1">
      <c r="A1724" s="7">
        <v>1711.0</v>
      </c>
      <c r="B1724" s="14">
        <f t="shared" si="1"/>
        <v>0.1202823258</v>
      </c>
      <c r="C1724" s="39">
        <f t="array" ref="C1724">NPV(B1724,FCFF!$C$9:$I$9)+FCFF!$B$9+FCFF!$I$9*(1+Inputs!$B$6)/(B1724-Inputs!$B$6)/(1+B1724)^7</f>
        <v>-1826.48683</v>
      </c>
    </row>
    <row r="1725" ht="14.25" customHeight="1">
      <c r="A1725" s="7">
        <v>1712.0</v>
      </c>
      <c r="B1725" s="14">
        <f t="shared" si="1"/>
        <v>0.1279416879</v>
      </c>
      <c r="C1725" s="39">
        <f t="array" ref="C1725">NPV(B1725,FCFF!$C$9:$I$9)+FCFF!$B$9+FCFF!$I$9*(1+Inputs!$B$6)/(B1725-Inputs!$B$6)/(1+B1725)^7</f>
        <v>-1944.098298</v>
      </c>
    </row>
    <row r="1726" ht="14.25" customHeight="1">
      <c r="A1726" s="7">
        <v>1713.0</v>
      </c>
      <c r="B1726" s="14">
        <f t="shared" si="1"/>
        <v>0.102676643</v>
      </c>
      <c r="C1726" s="39">
        <f t="array" ref="C1726">NPV(B1726,FCFF!$C$9:$I$9)+FCFF!$B$9+FCFF!$I$9*(1+Inputs!$B$6)/(B1726-Inputs!$B$6)/(1+B1726)^7</f>
        <v>-1456.662248</v>
      </c>
    </row>
    <row r="1727" ht="14.25" customHeight="1">
      <c r="A1727" s="7">
        <v>1714.0</v>
      </c>
      <c r="B1727" s="14">
        <f t="shared" si="1"/>
        <v>0.1286799997</v>
      </c>
      <c r="C1727" s="39">
        <f t="array" ref="C1727">NPV(B1727,FCFF!$C$9:$I$9)+FCFF!$B$9+FCFF!$I$9*(1+Inputs!$B$6)/(B1727-Inputs!$B$6)/(1+B1727)^7</f>
        <v>-1954.402098</v>
      </c>
    </row>
    <row r="1728" ht="14.25" customHeight="1">
      <c r="A1728" s="7">
        <v>1715.0</v>
      </c>
      <c r="B1728" s="14">
        <f t="shared" si="1"/>
        <v>0.1287667924</v>
      </c>
      <c r="C1728" s="39">
        <f t="array" ref="C1728">NPV(B1728,FCFF!$C$9:$I$9)+FCFF!$B$9+FCFF!$I$9*(1+Inputs!$B$6)/(B1728-Inputs!$B$6)/(1+B1728)^7</f>
        <v>-1955.60243</v>
      </c>
    </row>
    <row r="1729" ht="14.25" customHeight="1">
      <c r="A1729" s="7">
        <v>1716.0</v>
      </c>
      <c r="B1729" s="14">
        <f t="shared" si="1"/>
        <v>0.12541765</v>
      </c>
      <c r="C1729" s="39">
        <f t="array" ref="C1729">NPV(B1729,FCFF!$C$9:$I$9)+FCFF!$B$9+FCFF!$I$9*(1+Inputs!$B$6)/(B1729-Inputs!$B$6)/(1+B1729)^7</f>
        <v>-1907.572627</v>
      </c>
    </row>
    <row r="1730" ht="14.25" customHeight="1">
      <c r="A1730" s="7">
        <v>1717.0</v>
      </c>
      <c r="B1730" s="14">
        <f t="shared" si="1"/>
        <v>0.1253186192</v>
      </c>
      <c r="C1730" s="39">
        <f t="array" ref="C1730">NPV(B1730,FCFF!$C$9:$I$9)+FCFF!$B$9+FCFF!$I$9*(1+Inputs!$B$6)/(B1730-Inputs!$B$6)/(1+B1730)^7</f>
        <v>-1906.097108</v>
      </c>
    </row>
    <row r="1731" ht="14.25" customHeight="1">
      <c r="A1731" s="7">
        <v>1718.0</v>
      </c>
      <c r="B1731" s="14">
        <f t="shared" si="1"/>
        <v>0.1238253211</v>
      </c>
      <c r="C1731" s="39">
        <f t="array" ref="C1731">NPV(B1731,FCFF!$C$9:$I$9)+FCFF!$B$9+FCFF!$I$9*(1+Inputs!$B$6)/(B1731-Inputs!$B$6)/(1+B1731)^7</f>
        <v>-1883.442649</v>
      </c>
    </row>
    <row r="1732" ht="14.25" customHeight="1">
      <c r="A1732" s="7">
        <v>1719.0</v>
      </c>
      <c r="B1732" s="14">
        <f t="shared" si="1"/>
        <v>0.1125838547</v>
      </c>
      <c r="C1732" s="39">
        <f t="array" ref="C1732">NPV(B1732,FCFF!$C$9:$I$9)+FCFF!$B$9+FCFF!$I$9*(1+Inputs!$B$6)/(B1732-Inputs!$B$6)/(1+B1732)^7</f>
        <v>-1684.87332</v>
      </c>
    </row>
    <row r="1733" ht="14.25" customHeight="1">
      <c r="A1733" s="7">
        <v>1720.0</v>
      </c>
      <c r="B1733" s="14">
        <f t="shared" si="1"/>
        <v>0.1164428253</v>
      </c>
      <c r="C1733" s="39">
        <f t="array" ref="C1733">NPV(B1733,FCFF!$C$9:$I$9)+FCFF!$B$9+FCFF!$I$9*(1+Inputs!$B$6)/(B1733-Inputs!$B$6)/(1+B1733)^7</f>
        <v>-1759.16745</v>
      </c>
    </row>
    <row r="1734" ht="14.25" customHeight="1">
      <c r="A1734" s="7">
        <v>1721.0</v>
      </c>
      <c r="B1734" s="14">
        <f t="shared" si="1"/>
        <v>0.09820710585</v>
      </c>
      <c r="C1734" s="39">
        <f t="array" ref="C1734">NPV(B1734,FCFF!$C$9:$I$9)+FCFF!$B$9+FCFF!$I$9*(1+Inputs!$B$6)/(B1734-Inputs!$B$6)/(1+B1734)^7</f>
        <v>-1331.588849</v>
      </c>
    </row>
    <row r="1735" ht="14.25" customHeight="1">
      <c r="A1735" s="7">
        <v>1722.0</v>
      </c>
      <c r="B1735" s="14">
        <f t="shared" si="1"/>
        <v>0.1078563886</v>
      </c>
      <c r="C1735" s="39">
        <f t="array" ref="C1735">NPV(B1735,FCFF!$C$9:$I$9)+FCFF!$B$9+FCFF!$I$9*(1+Inputs!$B$6)/(B1735-Inputs!$B$6)/(1+B1735)^7</f>
        <v>-1583.412454</v>
      </c>
    </row>
    <row r="1736" ht="14.25" customHeight="1">
      <c r="A1736" s="7">
        <v>1723.0</v>
      </c>
      <c r="B1736" s="14">
        <f t="shared" si="1"/>
        <v>0.09461930205</v>
      </c>
      <c r="C1736" s="39">
        <f t="array" ref="C1736">NPV(B1736,FCFF!$C$9:$I$9)+FCFF!$B$9+FCFF!$I$9*(1+Inputs!$B$6)/(B1736-Inputs!$B$6)/(1+B1736)^7</f>
        <v>-1218.640116</v>
      </c>
    </row>
    <row r="1737" ht="14.25" customHeight="1">
      <c r="A1737" s="7">
        <v>1724.0</v>
      </c>
      <c r="B1737" s="14">
        <f t="shared" si="1"/>
        <v>0.1000414455</v>
      </c>
      <c r="C1737" s="39">
        <f t="array" ref="C1737">NPV(B1737,FCFF!$C$9:$I$9)+FCFF!$B$9+FCFF!$I$9*(1+Inputs!$B$6)/(B1737-Inputs!$B$6)/(1+B1737)^7</f>
        <v>-1384.86545</v>
      </c>
    </row>
    <row r="1738" ht="14.25" customHeight="1">
      <c r="A1738" s="7">
        <v>1725.0</v>
      </c>
      <c r="B1738" s="14">
        <f t="shared" si="1"/>
        <v>0.116248305</v>
      </c>
      <c r="C1738" s="39">
        <f t="array" ref="C1738">NPV(B1738,FCFF!$C$9:$I$9)+FCFF!$B$9+FCFF!$I$9*(1+Inputs!$B$6)/(B1738-Inputs!$B$6)/(1+B1738)^7</f>
        <v>-1755.588797</v>
      </c>
    </row>
    <row r="1739" ht="14.25" customHeight="1">
      <c r="A1739" s="7">
        <v>1726.0</v>
      </c>
      <c r="B1739" s="14">
        <f t="shared" si="1"/>
        <v>0.09916080429</v>
      </c>
      <c r="C1739" s="39">
        <f t="array" ref="C1739">NPV(B1739,FCFF!$C$9:$I$9)+FCFF!$B$9+FCFF!$I$9*(1+Inputs!$B$6)/(B1739-Inputs!$B$6)/(1+B1739)^7</f>
        <v>-1359.642272</v>
      </c>
    </row>
    <row r="1740" ht="14.25" customHeight="1">
      <c r="A1740" s="7">
        <v>1727.0</v>
      </c>
      <c r="B1740" s="14">
        <f t="shared" si="1"/>
        <v>0.1140585217</v>
      </c>
      <c r="C1740" s="39">
        <f t="array" ref="C1740">NPV(B1740,FCFF!$C$9:$I$9)+FCFF!$B$9+FCFF!$I$9*(1+Inputs!$B$6)/(B1740-Inputs!$B$6)/(1+B1740)^7</f>
        <v>-1714.104955</v>
      </c>
    </row>
    <row r="1741" ht="14.25" customHeight="1">
      <c r="A1741" s="7">
        <v>1728.0</v>
      </c>
      <c r="B1741" s="14">
        <f t="shared" si="1"/>
        <v>0.132960392</v>
      </c>
      <c r="C1741" s="39">
        <f t="array" ref="C1741">NPV(B1741,FCFF!$C$9:$I$9)+FCFF!$B$9+FCFF!$I$9*(1+Inputs!$B$6)/(B1741-Inputs!$B$6)/(1+B1741)^7</f>
        <v>-2010.988311</v>
      </c>
    </row>
    <row r="1742" ht="14.25" customHeight="1">
      <c r="A1742" s="7">
        <v>1729.0</v>
      </c>
      <c r="B1742" s="14">
        <f t="shared" si="1"/>
        <v>0.1313787306</v>
      </c>
      <c r="C1742" s="39">
        <f t="array" ref="C1742">NPV(B1742,FCFF!$C$9:$I$9)+FCFF!$B$9+FCFF!$I$9*(1+Inputs!$B$6)/(B1742-Inputs!$B$6)/(1+B1742)^7</f>
        <v>-1990.684259</v>
      </c>
    </row>
    <row r="1743" ht="14.25" customHeight="1">
      <c r="A1743" s="7">
        <v>1730.0</v>
      </c>
      <c r="B1743" s="14">
        <f t="shared" si="1"/>
        <v>0.1299489887</v>
      </c>
      <c r="C1743" s="39">
        <f t="array" ref="C1743">NPV(B1743,FCFF!$C$9:$I$9)+FCFF!$B$9+FCFF!$I$9*(1+Inputs!$B$6)/(B1743-Inputs!$B$6)/(1+B1743)^7</f>
        <v>-1971.72743</v>
      </c>
    </row>
    <row r="1744" ht="14.25" customHeight="1">
      <c r="A1744" s="7">
        <v>1731.0</v>
      </c>
      <c r="B1744" s="14">
        <f t="shared" si="1"/>
        <v>0.1128234789</v>
      </c>
      <c r="C1744" s="39">
        <f t="array" ref="C1744">NPV(B1744,FCFF!$C$9:$I$9)+FCFF!$B$9+FCFF!$I$9*(1+Inputs!$B$6)/(B1744-Inputs!$B$6)/(1+B1744)^7</f>
        <v>-1689.697018</v>
      </c>
    </row>
    <row r="1745" ht="14.25" customHeight="1">
      <c r="A1745" s="7">
        <v>1732.0</v>
      </c>
      <c r="B1745" s="14">
        <f t="shared" si="1"/>
        <v>0.1217298107</v>
      </c>
      <c r="C1745" s="39">
        <f t="array" ref="C1745">NPV(B1745,FCFF!$C$9:$I$9)+FCFF!$B$9+FCFF!$I$9*(1+Inputs!$B$6)/(B1745-Inputs!$B$6)/(1+B1745)^7</f>
        <v>-1850.321633</v>
      </c>
    </row>
    <row r="1746" ht="14.25" customHeight="1">
      <c r="A1746" s="7">
        <v>1733.0</v>
      </c>
      <c r="B1746" s="14">
        <f t="shared" si="1"/>
        <v>0.1316164197</v>
      </c>
      <c r="C1746" s="39">
        <f t="array" ref="C1746">NPV(B1746,FCFF!$C$9:$I$9)+FCFF!$B$9+FCFF!$I$9*(1+Inputs!$B$6)/(B1746-Inputs!$B$6)/(1+B1746)^7</f>
        <v>-1993.779536</v>
      </c>
    </row>
    <row r="1747" ht="14.25" customHeight="1">
      <c r="A1747" s="7">
        <v>1734.0</v>
      </c>
      <c r="B1747" s="14">
        <f t="shared" si="1"/>
        <v>0.09524071007</v>
      </c>
      <c r="C1747" s="39">
        <f t="array" ref="C1747">NPV(B1747,FCFF!$C$9:$I$9)+FCFF!$B$9+FCFF!$I$9*(1+Inputs!$B$6)/(B1747-Inputs!$B$6)/(1+B1747)^7</f>
        <v>-1239.088615</v>
      </c>
    </row>
    <row r="1748" ht="14.25" customHeight="1">
      <c r="A1748" s="7">
        <v>1735.0</v>
      </c>
      <c r="B1748" s="14">
        <f t="shared" si="1"/>
        <v>0.1021664487</v>
      </c>
      <c r="C1748" s="39">
        <f t="array" ref="C1748">NPV(B1748,FCFF!$C$9:$I$9)+FCFF!$B$9+FCFF!$I$9*(1+Inputs!$B$6)/(B1748-Inputs!$B$6)/(1+B1748)^7</f>
        <v>-1443.175528</v>
      </c>
    </row>
    <row r="1749" ht="14.25" customHeight="1">
      <c r="A1749" s="7">
        <v>1736.0</v>
      </c>
      <c r="B1749" s="14">
        <f t="shared" si="1"/>
        <v>0.1124515904</v>
      </c>
      <c r="C1749" s="39">
        <f t="array" ref="C1749">NPV(B1749,FCFF!$C$9:$I$9)+FCFF!$B$9+FCFF!$I$9*(1+Inputs!$B$6)/(B1749-Inputs!$B$6)/(1+B1749)^7</f>
        <v>-1682.198319</v>
      </c>
    </row>
    <row r="1750" ht="14.25" customHeight="1">
      <c r="A1750" s="7">
        <v>1737.0</v>
      </c>
      <c r="B1750" s="14">
        <f t="shared" si="1"/>
        <v>0.1248373755</v>
      </c>
      <c r="C1750" s="39">
        <f t="array" ref="C1750">NPV(B1750,FCFF!$C$9:$I$9)+FCFF!$B$9+FCFF!$I$9*(1+Inputs!$B$6)/(B1750-Inputs!$B$6)/(1+B1750)^7</f>
        <v>-1898.879712</v>
      </c>
    </row>
    <row r="1751" ht="14.25" customHeight="1">
      <c r="A1751" s="7">
        <v>1738.0</v>
      </c>
      <c r="B1751" s="14">
        <f t="shared" si="1"/>
        <v>0.1145825111</v>
      </c>
      <c r="C1751" s="39">
        <f t="array" ref="C1751">NPV(B1751,FCFF!$C$9:$I$9)+FCFF!$B$9+FCFF!$I$9*(1+Inputs!$B$6)/(B1751-Inputs!$B$6)/(1+B1751)^7</f>
        <v>-1724.236008</v>
      </c>
    </row>
    <row r="1752" ht="14.25" customHeight="1">
      <c r="A1752" s="7">
        <v>1739.0</v>
      </c>
      <c r="B1752" s="14">
        <f t="shared" si="1"/>
        <v>0.1171219098</v>
      </c>
      <c r="C1752" s="39">
        <f t="array" ref="C1752">NPV(B1752,FCFF!$C$9:$I$9)+FCFF!$B$9+FCFF!$I$9*(1+Inputs!$B$6)/(B1752-Inputs!$B$6)/(1+B1752)^7</f>
        <v>-1771.529295</v>
      </c>
    </row>
    <row r="1753" ht="14.25" customHeight="1">
      <c r="A1753" s="7">
        <v>1740.0</v>
      </c>
      <c r="B1753" s="14">
        <f t="shared" si="1"/>
        <v>0.1025893637</v>
      </c>
      <c r="C1753" s="39">
        <f t="array" ref="C1753">NPV(B1753,FCFF!$C$9:$I$9)+FCFF!$B$9+FCFF!$I$9*(1+Inputs!$B$6)/(B1753-Inputs!$B$6)/(1+B1753)^7</f>
        <v>-1454.368682</v>
      </c>
    </row>
    <row r="1754" ht="14.25" customHeight="1">
      <c r="A1754" s="7">
        <v>1741.0</v>
      </c>
      <c r="B1754" s="14">
        <f t="shared" si="1"/>
        <v>0.0966388087</v>
      </c>
      <c r="C1754" s="39">
        <f t="array" ref="C1754">NPV(B1754,FCFF!$C$9:$I$9)+FCFF!$B$9+FCFF!$I$9*(1+Inputs!$B$6)/(B1754-Inputs!$B$6)/(1+B1754)^7</f>
        <v>-1283.708746</v>
      </c>
    </row>
    <row r="1755" ht="14.25" customHeight="1">
      <c r="A1755" s="7">
        <v>1742.0</v>
      </c>
      <c r="B1755" s="14">
        <f t="shared" si="1"/>
        <v>0.1150861375</v>
      </c>
      <c r="C1755" s="39">
        <f t="array" ref="C1755">NPV(B1755,FCFF!$C$9:$I$9)+FCFF!$B$9+FCFF!$I$9*(1+Inputs!$B$6)/(B1755-Inputs!$B$6)/(1+B1755)^7</f>
        <v>-1733.850537</v>
      </c>
    </row>
    <row r="1756" ht="14.25" customHeight="1">
      <c r="A1756" s="7">
        <v>1743.0</v>
      </c>
      <c r="B1756" s="14">
        <f t="shared" si="1"/>
        <v>0.1114008194</v>
      </c>
      <c r="C1756" s="39">
        <f t="array" ref="C1756">NPV(B1756,FCFF!$C$9:$I$9)+FCFF!$B$9+FCFF!$I$9*(1+Inputs!$B$6)/(B1756-Inputs!$B$6)/(1+B1756)^7</f>
        <v>-1660.626039</v>
      </c>
    </row>
    <row r="1757" ht="14.25" customHeight="1">
      <c r="A1757" s="7">
        <v>1744.0</v>
      </c>
      <c r="B1757" s="14">
        <f t="shared" si="1"/>
        <v>0.1317290396</v>
      </c>
      <c r="C1757" s="39">
        <f t="array" ref="C1757">NPV(B1757,FCFF!$C$9:$I$9)+FCFF!$B$9+FCFF!$I$9*(1+Inputs!$B$6)/(B1757-Inputs!$B$6)/(1+B1757)^7</f>
        <v>-1995.240613</v>
      </c>
    </row>
    <row r="1758" ht="14.25" customHeight="1">
      <c r="A1758" s="7">
        <v>1745.0</v>
      </c>
      <c r="B1758" s="14">
        <f t="shared" si="1"/>
        <v>0.104658564</v>
      </c>
      <c r="C1758" s="39">
        <f t="array" ref="C1758">NPV(B1758,FCFF!$C$9:$I$9)+FCFF!$B$9+FCFF!$I$9*(1+Inputs!$B$6)/(B1758-Inputs!$B$6)/(1+B1758)^7</f>
        <v>-1507.279069</v>
      </c>
    </row>
    <row r="1759" ht="14.25" customHeight="1">
      <c r="A1759" s="7">
        <v>1746.0</v>
      </c>
      <c r="B1759" s="14">
        <f t="shared" si="1"/>
        <v>0.1101983426</v>
      </c>
      <c r="C1759" s="39">
        <f t="array" ref="C1759">NPV(B1759,FCFF!$C$9:$I$9)+FCFF!$B$9+FCFF!$I$9*(1+Inputs!$B$6)/(B1759-Inputs!$B$6)/(1+B1759)^7</f>
        <v>-1635.220163</v>
      </c>
    </row>
    <row r="1760" ht="14.25" customHeight="1">
      <c r="A1760" s="7">
        <v>1747.0</v>
      </c>
      <c r="B1760" s="14">
        <f t="shared" si="1"/>
        <v>0.09644433331</v>
      </c>
      <c r="C1760" s="39">
        <f t="array" ref="C1760">NPV(B1760,FCFF!$C$9:$I$9)+FCFF!$B$9+FCFF!$I$9*(1+Inputs!$B$6)/(B1760-Inputs!$B$6)/(1+B1760)^7</f>
        <v>-1277.61409</v>
      </c>
    </row>
    <row r="1761" ht="14.25" customHeight="1">
      <c r="A1761" s="7">
        <v>1748.0</v>
      </c>
      <c r="B1761" s="14">
        <f t="shared" si="1"/>
        <v>0.0972241717</v>
      </c>
      <c r="C1761" s="39">
        <f t="array" ref="C1761">NPV(B1761,FCFF!$C$9:$I$9)+FCFF!$B$9+FCFF!$I$9*(1+Inputs!$B$6)/(B1761-Inputs!$B$6)/(1+B1761)^7</f>
        <v>-1301.841045</v>
      </c>
    </row>
    <row r="1762" ht="14.25" customHeight="1">
      <c r="A1762" s="7">
        <v>1749.0</v>
      </c>
      <c r="B1762" s="14">
        <f t="shared" si="1"/>
        <v>0.1109779269</v>
      </c>
      <c r="C1762" s="39">
        <f t="array" ref="C1762">NPV(B1762,FCFF!$C$9:$I$9)+FCFF!$B$9+FCFF!$I$9*(1+Inputs!$B$6)/(B1762-Inputs!$B$6)/(1+B1762)^7</f>
        <v>-1651.780202</v>
      </c>
    </row>
    <row r="1763" ht="14.25" customHeight="1">
      <c r="A1763" s="7">
        <v>1750.0</v>
      </c>
      <c r="B1763" s="14">
        <f t="shared" si="1"/>
        <v>0.1106828139</v>
      </c>
      <c r="C1763" s="39">
        <f t="array" ref="C1763">NPV(B1763,FCFF!$C$9:$I$9)+FCFF!$B$9+FCFF!$I$9*(1+Inputs!$B$6)/(B1763-Inputs!$B$6)/(1+B1763)^7</f>
        <v>-1645.550303</v>
      </c>
    </row>
    <row r="1764" ht="14.25" customHeight="1">
      <c r="A1764" s="7">
        <v>1751.0</v>
      </c>
      <c r="B1764" s="14">
        <f t="shared" si="1"/>
        <v>0.1257367981</v>
      </c>
      <c r="C1764" s="39">
        <f t="array" ref="C1764">NPV(B1764,FCFF!$C$9:$I$9)+FCFF!$B$9+FCFF!$I$9*(1+Inputs!$B$6)/(B1764-Inputs!$B$6)/(1+B1764)^7</f>
        <v>-1912.305515</v>
      </c>
    </row>
    <row r="1765" ht="14.25" customHeight="1">
      <c r="A1765" s="7">
        <v>1752.0</v>
      </c>
      <c r="B1765" s="14">
        <f t="shared" si="1"/>
        <v>0.1058357792</v>
      </c>
      <c r="C1765" s="39">
        <f t="array" ref="C1765">NPV(B1765,FCFF!$C$9:$I$9)+FCFF!$B$9+FCFF!$I$9*(1+Inputs!$B$6)/(B1765-Inputs!$B$6)/(1+B1765)^7</f>
        <v>-1536.069712</v>
      </c>
    </row>
    <row r="1766" ht="14.25" customHeight="1">
      <c r="A1766" s="7">
        <v>1753.0</v>
      </c>
      <c r="B1766" s="14">
        <f t="shared" si="1"/>
        <v>0.1197428227</v>
      </c>
      <c r="C1766" s="39">
        <f t="array" ref="C1766">NPV(B1766,FCFF!$C$9:$I$9)+FCFF!$B$9+FCFF!$I$9*(1+Inputs!$B$6)/(B1766-Inputs!$B$6)/(1+B1766)^7</f>
        <v>-1817.394505</v>
      </c>
    </row>
    <row r="1767" ht="14.25" customHeight="1">
      <c r="A1767" s="7">
        <v>1754.0</v>
      </c>
      <c r="B1767" s="14">
        <f t="shared" si="1"/>
        <v>0.1226152179</v>
      </c>
      <c r="C1767" s="39">
        <f t="array" ref="C1767">NPV(B1767,FCFF!$C$9:$I$9)+FCFF!$B$9+FCFF!$I$9*(1+Inputs!$B$6)/(B1767-Inputs!$B$6)/(1+B1767)^7</f>
        <v>-1864.511037</v>
      </c>
    </row>
    <row r="1768" ht="14.25" customHeight="1">
      <c r="A1768" s="7">
        <v>1755.0</v>
      </c>
      <c r="B1768" s="14">
        <f t="shared" si="1"/>
        <v>0.1291107049</v>
      </c>
      <c r="C1768" s="39">
        <f t="array" ref="C1768">NPV(B1768,FCFF!$C$9:$I$9)+FCFF!$B$9+FCFF!$I$9*(1+Inputs!$B$6)/(B1768-Inputs!$B$6)/(1+B1768)^7</f>
        <v>-1960.336336</v>
      </c>
    </row>
    <row r="1769" ht="14.25" customHeight="1">
      <c r="A1769" s="7">
        <v>1756.0</v>
      </c>
      <c r="B1769" s="14">
        <f t="shared" si="1"/>
        <v>0.09392154806</v>
      </c>
      <c r="C1769" s="39">
        <f t="array" ref="C1769">NPV(B1769,FCFF!$C$9:$I$9)+FCFF!$B$9+FCFF!$I$9*(1+Inputs!$B$6)/(B1769-Inputs!$B$6)/(1+B1769)^7</f>
        <v>-1195.209274</v>
      </c>
    </row>
    <row r="1770" ht="14.25" customHeight="1">
      <c r="A1770" s="7">
        <v>1757.0</v>
      </c>
      <c r="B1770" s="14">
        <f t="shared" si="1"/>
        <v>0.1188962288</v>
      </c>
      <c r="C1770" s="39">
        <f t="array" ref="C1770">NPV(B1770,FCFF!$C$9:$I$9)+FCFF!$B$9+FCFF!$I$9*(1+Inputs!$B$6)/(B1770-Inputs!$B$6)/(1+B1770)^7</f>
        <v>-1802.891286</v>
      </c>
    </row>
    <row r="1771" ht="14.25" customHeight="1">
      <c r="A1771" s="7">
        <v>1758.0</v>
      </c>
      <c r="B1771" s="14">
        <f t="shared" si="1"/>
        <v>0.1017627184</v>
      </c>
      <c r="C1771" s="39">
        <f t="array" ref="C1771">NPV(B1771,FCFF!$C$9:$I$9)+FCFF!$B$9+FCFF!$I$9*(1+Inputs!$B$6)/(B1771-Inputs!$B$6)/(1+B1771)^7</f>
        <v>-1432.365527</v>
      </c>
    </row>
    <row r="1772" ht="14.25" customHeight="1">
      <c r="A1772" s="7">
        <v>1759.0</v>
      </c>
      <c r="B1772" s="14">
        <f t="shared" si="1"/>
        <v>0.1116590643</v>
      </c>
      <c r="C1772" s="39">
        <f t="array" ref="C1772">NPV(B1772,FCFF!$C$9:$I$9)+FCFF!$B$9+FCFF!$I$9*(1+Inputs!$B$6)/(B1772-Inputs!$B$6)/(1+B1772)^7</f>
        <v>-1665.981184</v>
      </c>
    </row>
    <row r="1773" ht="14.25" customHeight="1">
      <c r="A1773" s="7">
        <v>1760.0</v>
      </c>
      <c r="B1773" s="14">
        <f t="shared" si="1"/>
        <v>0.1264246726</v>
      </c>
      <c r="C1773" s="39">
        <f t="array" ref="C1773">NPV(B1773,FCFF!$C$9:$I$9)+FCFF!$B$9+FCFF!$I$9*(1+Inputs!$B$6)/(B1773-Inputs!$B$6)/(1+B1773)^7</f>
        <v>-1922.392133</v>
      </c>
    </row>
    <row r="1774" ht="14.25" customHeight="1">
      <c r="A1774" s="7">
        <v>1761.0</v>
      </c>
      <c r="B1774" s="14">
        <f t="shared" si="1"/>
        <v>0.1029224361</v>
      </c>
      <c r="C1774" s="39">
        <f t="array" ref="C1774">NPV(B1774,FCFF!$C$9:$I$9)+FCFF!$B$9+FCFF!$I$9*(1+Inputs!$B$6)/(B1774-Inputs!$B$6)/(1+B1774)^7</f>
        <v>-1463.091407</v>
      </c>
    </row>
    <row r="1775" ht="14.25" customHeight="1">
      <c r="A1775" s="7">
        <v>1762.0</v>
      </c>
      <c r="B1775" s="14">
        <f t="shared" si="1"/>
        <v>0.12453961</v>
      </c>
      <c r="C1775" s="39">
        <f t="array" ref="C1775">NPV(B1775,FCFF!$C$9:$I$9)+FCFF!$B$9+FCFF!$I$9*(1+Inputs!$B$6)/(B1775-Inputs!$B$6)/(1+B1775)^7</f>
        <v>-1894.374563</v>
      </c>
    </row>
    <row r="1776" ht="14.25" customHeight="1">
      <c r="A1776" s="7">
        <v>1763.0</v>
      </c>
      <c r="B1776" s="14">
        <f t="shared" si="1"/>
        <v>0.1280035082</v>
      </c>
      <c r="C1776" s="39">
        <f t="array" ref="C1776">NPV(B1776,FCFF!$C$9:$I$9)+FCFF!$B$9+FCFF!$I$9*(1+Inputs!$B$6)/(B1776-Inputs!$B$6)/(1+B1776)^7</f>
        <v>-1944.967491</v>
      </c>
    </row>
    <row r="1777" ht="14.25" customHeight="1">
      <c r="A1777" s="7">
        <v>1764.0</v>
      </c>
      <c r="B1777" s="14">
        <f t="shared" si="1"/>
        <v>0.09885786927</v>
      </c>
      <c r="C1777" s="39">
        <f t="array" ref="C1777">NPV(B1777,FCFF!$C$9:$I$9)+FCFF!$B$9+FCFF!$I$9*(1+Inputs!$B$6)/(B1777-Inputs!$B$6)/(1+B1777)^7</f>
        <v>-1350.815799</v>
      </c>
    </row>
    <row r="1778" ht="14.25" customHeight="1">
      <c r="A1778" s="7">
        <v>1765.0</v>
      </c>
      <c r="B1778" s="14">
        <f t="shared" si="1"/>
        <v>0.1177616054</v>
      </c>
      <c r="C1778" s="39">
        <f t="array" ref="C1778">NPV(B1778,FCFF!$C$9:$I$9)+FCFF!$B$9+FCFF!$I$9*(1+Inputs!$B$6)/(B1778-Inputs!$B$6)/(1+B1778)^7</f>
        <v>-1782.990237</v>
      </c>
    </row>
    <row r="1779" ht="14.25" customHeight="1">
      <c r="A1779" s="7">
        <v>1766.0</v>
      </c>
      <c r="B1779" s="14">
        <f t="shared" si="1"/>
        <v>0.1228010362</v>
      </c>
      <c r="C1779" s="39">
        <f t="array" ref="C1779">NPV(B1779,FCFF!$C$9:$I$9)+FCFF!$B$9+FCFF!$I$9*(1+Inputs!$B$6)/(B1779-Inputs!$B$6)/(1+B1779)^7</f>
        <v>-1867.452334</v>
      </c>
    </row>
    <row r="1780" ht="14.25" customHeight="1">
      <c r="A1780" s="7">
        <v>1767.0</v>
      </c>
      <c r="B1780" s="14">
        <f t="shared" si="1"/>
        <v>0.1250492118</v>
      </c>
      <c r="C1780" s="39">
        <f t="array" ref="C1780">NPV(B1780,FCFF!$C$9:$I$9)+FCFF!$B$9+FCFF!$I$9*(1+Inputs!$B$6)/(B1780-Inputs!$B$6)/(1+B1780)^7</f>
        <v>-1902.066357</v>
      </c>
    </row>
    <row r="1781" ht="14.25" customHeight="1">
      <c r="A1781" s="7">
        <v>1768.0</v>
      </c>
      <c r="B1781" s="14">
        <f t="shared" si="1"/>
        <v>0.1166734562</v>
      </c>
      <c r="C1781" s="39">
        <f t="array" ref="C1781">NPV(B1781,FCFF!$C$9:$I$9)+FCFF!$B$9+FCFF!$I$9*(1+Inputs!$B$6)/(B1781-Inputs!$B$6)/(1+B1781)^7</f>
        <v>-1763.388599</v>
      </c>
    </row>
    <row r="1782" ht="14.25" customHeight="1">
      <c r="A1782" s="7">
        <v>1769.0</v>
      </c>
      <c r="B1782" s="14">
        <f t="shared" si="1"/>
        <v>0.0995608806</v>
      </c>
      <c r="C1782" s="39">
        <f t="array" ref="C1782">NPV(B1782,FCFF!$C$9:$I$9)+FCFF!$B$9+FCFF!$I$9*(1+Inputs!$B$6)/(B1782-Inputs!$B$6)/(1+B1782)^7</f>
        <v>-1371.180784</v>
      </c>
    </row>
    <row r="1783" ht="14.25" customHeight="1">
      <c r="A1783" s="7">
        <v>1770.0</v>
      </c>
      <c r="B1783" s="14">
        <f t="shared" si="1"/>
        <v>0.1130570642</v>
      </c>
      <c r="C1783" s="39">
        <f t="array" ref="C1783">NPV(B1783,FCFF!$C$9:$I$9)+FCFF!$B$9+FCFF!$I$9*(1+Inputs!$B$6)/(B1783-Inputs!$B$6)/(1+B1783)^7</f>
        <v>-1694.371293</v>
      </c>
    </row>
    <row r="1784" ht="14.25" customHeight="1">
      <c r="A1784" s="7">
        <v>1771.0</v>
      </c>
      <c r="B1784" s="14">
        <f t="shared" si="1"/>
        <v>0.09499055535</v>
      </c>
      <c r="C1784" s="39">
        <f t="array" ref="C1784">NPV(B1784,FCFF!$C$9:$I$9)+FCFF!$B$9+FCFF!$I$9*(1+Inputs!$B$6)/(B1784-Inputs!$B$6)/(1+B1784)^7</f>
        <v>-1230.90354</v>
      </c>
    </row>
    <row r="1785" ht="14.25" customHeight="1">
      <c r="A1785" s="7">
        <v>1772.0</v>
      </c>
      <c r="B1785" s="14">
        <f t="shared" si="1"/>
        <v>0.1328556627</v>
      </c>
      <c r="C1785" s="39">
        <f t="array" ref="C1785">NPV(B1785,FCFF!$C$9:$I$9)+FCFF!$B$9+FCFF!$I$9*(1+Inputs!$B$6)/(B1785-Inputs!$B$6)/(1+B1785)^7</f>
        <v>-2009.664949</v>
      </c>
    </row>
    <row r="1786" ht="14.25" customHeight="1">
      <c r="A1786" s="7">
        <v>1773.0</v>
      </c>
      <c r="B1786" s="14">
        <f t="shared" si="1"/>
        <v>0.1156861284</v>
      </c>
      <c r="C1786" s="39">
        <f t="array" ref="C1786">NPV(B1786,FCFF!$C$9:$I$9)+FCFF!$B$9+FCFF!$I$9*(1+Inputs!$B$6)/(B1786-Inputs!$B$6)/(1+B1786)^7</f>
        <v>-1745.150452</v>
      </c>
    </row>
    <row r="1787" ht="14.25" customHeight="1">
      <c r="A1787" s="7">
        <v>1774.0</v>
      </c>
      <c r="B1787" s="14">
        <f t="shared" si="1"/>
        <v>0.1302596989</v>
      </c>
      <c r="C1787" s="39">
        <f t="array" ref="C1787">NPV(B1787,FCFF!$C$9:$I$9)+FCFF!$B$9+FCFF!$I$9*(1+Inputs!$B$6)/(B1787-Inputs!$B$6)/(1+B1787)^7</f>
        <v>-1975.897085</v>
      </c>
    </row>
    <row r="1788" ht="14.25" customHeight="1">
      <c r="A1788" s="7">
        <v>1775.0</v>
      </c>
      <c r="B1788" s="14">
        <f t="shared" si="1"/>
        <v>0.1152142587</v>
      </c>
      <c r="C1788" s="39">
        <f t="array" ref="C1788">NPV(B1788,FCFF!$C$9:$I$9)+FCFF!$B$9+FCFF!$I$9*(1+Inputs!$B$6)/(B1788-Inputs!$B$6)/(1+B1788)^7</f>
        <v>-1736.277491</v>
      </c>
    </row>
    <row r="1789" ht="14.25" customHeight="1">
      <c r="A1789" s="7">
        <v>1776.0</v>
      </c>
      <c r="B1789" s="14">
        <f t="shared" si="1"/>
        <v>0.1272666761</v>
      </c>
      <c r="C1789" s="39">
        <f t="array" ref="C1789">NPV(B1789,FCFF!$C$9:$I$9)+FCFF!$B$9+FCFF!$I$9*(1+Inputs!$B$6)/(B1789-Inputs!$B$6)/(1+B1789)^7</f>
        <v>-1934.530022</v>
      </c>
    </row>
    <row r="1790" ht="14.25" customHeight="1">
      <c r="A1790" s="7">
        <v>1777.0</v>
      </c>
      <c r="B1790" s="14">
        <f t="shared" si="1"/>
        <v>0.09942618826</v>
      </c>
      <c r="C1790" s="39">
        <f t="array" ref="C1790">NPV(B1790,FCFF!$C$9:$I$9)+FCFF!$B$9+FCFF!$I$9*(1+Inputs!$B$6)/(B1790-Inputs!$B$6)/(1+B1790)^7</f>
        <v>-1367.311074</v>
      </c>
    </row>
    <row r="1791" ht="14.25" customHeight="1">
      <c r="A1791" s="7">
        <v>1778.0</v>
      </c>
      <c r="B1791" s="14">
        <f t="shared" si="1"/>
        <v>0.13213575</v>
      </c>
      <c r="C1791" s="39">
        <f t="array" ref="C1791">NPV(B1791,FCFF!$C$9:$I$9)+FCFF!$B$9+FCFF!$I$9*(1+Inputs!$B$6)/(B1791-Inputs!$B$6)/(1+B1791)^7</f>
        <v>-2000.487846</v>
      </c>
    </row>
    <row r="1792" ht="14.25" customHeight="1">
      <c r="A1792" s="7">
        <v>1779.0</v>
      </c>
      <c r="B1792" s="14">
        <f t="shared" si="1"/>
        <v>0.1328795204</v>
      </c>
      <c r="C1792" s="39">
        <f t="array" ref="C1792">NPV(B1792,FCFF!$C$9:$I$9)+FCFF!$B$9+FCFF!$I$9*(1+Inputs!$B$6)/(B1792-Inputs!$B$6)/(1+B1792)^7</f>
        <v>-2009.966675</v>
      </c>
    </row>
    <row r="1793" ht="14.25" customHeight="1">
      <c r="A1793" s="7">
        <v>1780.0</v>
      </c>
      <c r="B1793" s="14">
        <f t="shared" si="1"/>
        <v>0.1302232168</v>
      </c>
      <c r="C1793" s="39">
        <f t="array" ref="C1793">NPV(B1793,FCFF!$C$9:$I$9)+FCFF!$B$9+FCFF!$I$9*(1+Inputs!$B$6)/(B1793-Inputs!$B$6)/(1+B1793)^7</f>
        <v>-1975.408959</v>
      </c>
    </row>
    <row r="1794" ht="14.25" customHeight="1">
      <c r="A1794" s="7">
        <v>1781.0</v>
      </c>
      <c r="B1794" s="14">
        <f t="shared" si="1"/>
        <v>0.09907933861</v>
      </c>
      <c r="C1794" s="39">
        <f t="array" ref="C1794">NPV(B1794,FCFF!$C$9:$I$9)+FCFF!$B$9+FCFF!$I$9*(1+Inputs!$B$6)/(B1794-Inputs!$B$6)/(1+B1794)^7</f>
        <v>-1357.276285</v>
      </c>
    </row>
    <row r="1795" ht="14.25" customHeight="1">
      <c r="A1795" s="7">
        <v>1782.0</v>
      </c>
      <c r="B1795" s="14">
        <f t="shared" si="1"/>
        <v>0.132108751</v>
      </c>
      <c r="C1795" s="39">
        <f t="array" ref="C1795">NPV(B1795,FCFF!$C$9:$I$9)+FCFF!$B$9+FCFF!$I$9*(1+Inputs!$B$6)/(B1795-Inputs!$B$6)/(1+B1795)^7</f>
        <v>-2000.140927</v>
      </c>
    </row>
    <row r="1796" ht="14.25" customHeight="1">
      <c r="A1796" s="7">
        <v>1783.0</v>
      </c>
      <c r="B1796" s="14">
        <f t="shared" si="1"/>
        <v>0.09933752343</v>
      </c>
      <c r="C1796" s="39">
        <f t="array" ref="C1796">NPV(B1796,FCFF!$C$9:$I$9)+FCFF!$B$9+FCFF!$I$9*(1+Inputs!$B$6)/(B1796-Inputs!$B$6)/(1+B1796)^7</f>
        <v>-1364.755486</v>
      </c>
    </row>
    <row r="1797" ht="14.25" customHeight="1">
      <c r="A1797" s="7">
        <v>1784.0</v>
      </c>
      <c r="B1797" s="14">
        <f t="shared" si="1"/>
        <v>0.1279757782</v>
      </c>
      <c r="C1797" s="39">
        <f t="array" ref="C1797">NPV(B1797,FCFF!$C$9:$I$9)+FCFF!$B$9+FCFF!$I$9*(1+Inputs!$B$6)/(B1797-Inputs!$B$6)/(1+B1797)^7</f>
        <v>-1944.577754</v>
      </c>
    </row>
    <row r="1798" ht="14.25" customHeight="1">
      <c r="A1798" s="7">
        <v>1785.0</v>
      </c>
      <c r="B1798" s="14">
        <f t="shared" si="1"/>
        <v>0.1176194759</v>
      </c>
      <c r="C1798" s="39">
        <f t="array" ref="C1798">NPV(B1798,FCFF!$C$9:$I$9)+FCFF!$B$9+FCFF!$I$9*(1+Inputs!$B$6)/(B1798-Inputs!$B$6)/(1+B1798)^7</f>
        <v>-1780.459025</v>
      </c>
    </row>
    <row r="1799" ht="14.25" customHeight="1">
      <c r="A1799" s="7">
        <v>1786.0</v>
      </c>
      <c r="B1799" s="14">
        <f t="shared" si="1"/>
        <v>0.1071734644</v>
      </c>
      <c r="C1799" s="39">
        <f t="array" ref="C1799">NPV(B1799,FCFF!$C$9:$I$9)+FCFF!$B$9+FCFF!$I$9*(1+Inputs!$B$6)/(B1799-Inputs!$B$6)/(1+B1799)^7</f>
        <v>-1567.695781</v>
      </c>
    </row>
    <row r="1800" ht="14.25" customHeight="1">
      <c r="A1800" s="7">
        <v>1787.0</v>
      </c>
      <c r="B1800" s="14">
        <f t="shared" si="1"/>
        <v>0.1131854667</v>
      </c>
      <c r="C1800" s="39">
        <f t="array" ref="C1800">NPV(B1800,FCFF!$C$9:$I$9)+FCFF!$B$9+FCFF!$I$9*(1+Inputs!$B$6)/(B1800-Inputs!$B$6)/(1+B1800)^7</f>
        <v>-1696.929121</v>
      </c>
    </row>
    <row r="1801" ht="14.25" customHeight="1">
      <c r="A1801" s="7">
        <v>1788.0</v>
      </c>
      <c r="B1801" s="14">
        <f t="shared" si="1"/>
        <v>0.09920795272</v>
      </c>
      <c r="C1801" s="39">
        <f t="array" ref="C1801">NPV(B1801,FCFF!$C$9:$I$9)+FCFF!$B$9+FCFF!$I$9*(1+Inputs!$B$6)/(B1801-Inputs!$B$6)/(1+B1801)^7</f>
        <v>-1361.009036</v>
      </c>
    </row>
    <row r="1802" ht="14.25" customHeight="1">
      <c r="A1802" s="7">
        <v>1789.0</v>
      </c>
      <c r="B1802" s="14">
        <f t="shared" si="1"/>
        <v>0.1208973389</v>
      </c>
      <c r="C1802" s="39">
        <f t="array" ref="C1802">NPV(B1802,FCFF!$C$9:$I$9)+FCFF!$B$9+FCFF!$I$9*(1+Inputs!$B$6)/(B1802-Inputs!$B$6)/(1+B1802)^7</f>
        <v>-1836.712295</v>
      </c>
    </row>
    <row r="1803" ht="14.25" customHeight="1">
      <c r="A1803" s="7">
        <v>1790.0</v>
      </c>
      <c r="B1803" s="14">
        <f t="shared" si="1"/>
        <v>0.1316568062</v>
      </c>
      <c r="C1803" s="39">
        <f t="array" ref="C1803">NPV(B1803,FCFF!$C$9:$I$9)+FCFF!$B$9+FCFF!$I$9*(1+Inputs!$B$6)/(B1803-Inputs!$B$6)/(1+B1803)^7</f>
        <v>-1994.303897</v>
      </c>
    </row>
    <row r="1804" ht="14.25" customHeight="1">
      <c r="A1804" s="7">
        <v>1791.0</v>
      </c>
      <c r="B1804" s="14">
        <f t="shared" si="1"/>
        <v>0.1106331091</v>
      </c>
      <c r="C1804" s="39">
        <f t="array" ref="C1804">NPV(B1804,FCFF!$C$9:$I$9)+FCFF!$B$9+FCFF!$I$9*(1+Inputs!$B$6)/(B1804-Inputs!$B$6)/(1+B1804)^7</f>
        <v>-1644.496381</v>
      </c>
    </row>
    <row r="1805" ht="14.25" customHeight="1">
      <c r="A1805" s="7">
        <v>1792.0</v>
      </c>
      <c r="B1805" s="14">
        <f t="shared" si="1"/>
        <v>0.1193685865</v>
      </c>
      <c r="C1805" s="39">
        <f t="array" ref="C1805">NPV(B1805,FCFF!$C$9:$I$9)+FCFF!$B$9+FCFF!$I$9*(1+Inputs!$B$6)/(B1805-Inputs!$B$6)/(1+B1805)^7</f>
        <v>-1811.019186</v>
      </c>
    </row>
    <row r="1806" ht="14.25" customHeight="1">
      <c r="A1806" s="7">
        <v>1793.0</v>
      </c>
      <c r="B1806" s="14">
        <f t="shared" si="1"/>
        <v>0.1003399106</v>
      </c>
      <c r="C1806" s="39">
        <f t="array" ref="C1806">NPV(B1806,FCFF!$C$9:$I$9)+FCFF!$B$9+FCFF!$I$9*(1+Inputs!$B$6)/(B1806-Inputs!$B$6)/(1+B1806)^7</f>
        <v>-1393.269871</v>
      </c>
    </row>
    <row r="1807" ht="14.25" customHeight="1">
      <c r="A1807" s="7">
        <v>1794.0</v>
      </c>
      <c r="B1807" s="14">
        <f t="shared" si="1"/>
        <v>0.1086193438</v>
      </c>
      <c r="C1807" s="39">
        <f t="array" ref="C1807">NPV(B1807,FCFF!$C$9:$I$9)+FCFF!$B$9+FCFF!$I$9*(1+Inputs!$B$6)/(B1807-Inputs!$B$6)/(1+B1807)^7</f>
        <v>-1600.639333</v>
      </c>
    </row>
    <row r="1808" ht="14.25" customHeight="1">
      <c r="A1808" s="7">
        <v>1795.0</v>
      </c>
      <c r="B1808" s="14">
        <f t="shared" si="1"/>
        <v>0.1079926071</v>
      </c>
      <c r="C1808" s="39">
        <f t="array" ref="C1808">NPV(B1808,FCFF!$C$9:$I$9)+FCFF!$B$9+FCFF!$I$9*(1+Inputs!$B$6)/(B1808-Inputs!$B$6)/(1+B1808)^7</f>
        <v>-1586.513557</v>
      </c>
    </row>
    <row r="1809" ht="14.25" customHeight="1">
      <c r="A1809" s="7">
        <v>1796.0</v>
      </c>
      <c r="B1809" s="14">
        <f t="shared" si="1"/>
        <v>0.113594827</v>
      </c>
      <c r="C1809" s="39">
        <f t="array" ref="C1809">NPV(B1809,FCFF!$C$9:$I$9)+FCFF!$B$9+FCFF!$I$9*(1+Inputs!$B$6)/(B1809-Inputs!$B$6)/(1+B1809)^7</f>
        <v>-1705.029125</v>
      </c>
    </row>
    <row r="1810" ht="14.25" customHeight="1">
      <c r="A1810" s="7">
        <v>1797.0</v>
      </c>
      <c r="B1810" s="14">
        <f t="shared" si="1"/>
        <v>0.1103689394</v>
      </c>
      <c r="C1810" s="39">
        <f t="array" ref="C1810">NPV(B1810,FCFF!$C$9:$I$9)+FCFF!$B$9+FCFF!$I$9*(1+Inputs!$B$6)/(B1810-Inputs!$B$6)/(1+B1810)^7</f>
        <v>-1638.872399</v>
      </c>
    </row>
    <row r="1811" ht="14.25" customHeight="1">
      <c r="A1811" s="7">
        <v>1798.0</v>
      </c>
      <c r="B1811" s="14">
        <f t="shared" si="1"/>
        <v>0.1277218275</v>
      </c>
      <c r="C1811" s="39">
        <f t="array" ref="C1811">NPV(B1811,FCFF!$C$9:$I$9)+FCFF!$B$9+FCFF!$I$9*(1+Inputs!$B$6)/(B1811-Inputs!$B$6)/(1+B1811)^7</f>
        <v>-1940.997442</v>
      </c>
    </row>
    <row r="1812" ht="14.25" customHeight="1">
      <c r="A1812" s="7">
        <v>1799.0</v>
      </c>
      <c r="B1812" s="14">
        <f t="shared" si="1"/>
        <v>0.09348525705</v>
      </c>
      <c r="C1812" s="39">
        <f t="array" ref="C1812">NPV(B1812,FCFF!$C$9:$I$9)+FCFF!$B$9+FCFF!$I$9*(1+Inputs!$B$6)/(B1812-Inputs!$B$6)/(1+B1812)^7</f>
        <v>-1180.299258</v>
      </c>
    </row>
    <row r="1813" ht="14.25" customHeight="1">
      <c r="A1813" s="7">
        <v>1800.0</v>
      </c>
      <c r="B1813" s="14">
        <f t="shared" si="1"/>
        <v>0.119179428</v>
      </c>
      <c r="C1813" s="39">
        <f t="array" ref="C1813">NPV(B1813,FCFF!$C$9:$I$9)+FCFF!$B$9+FCFF!$I$9*(1+Inputs!$B$6)/(B1813-Inputs!$B$6)/(1+B1813)^7</f>
        <v>-1807.77524</v>
      </c>
    </row>
    <row r="1814" ht="14.25" customHeight="1">
      <c r="A1814" s="7">
        <v>1801.0</v>
      </c>
      <c r="B1814" s="14">
        <f t="shared" si="1"/>
        <v>0.1212673471</v>
      </c>
      <c r="C1814" s="39">
        <f t="array" ref="C1814">NPV(B1814,FCFF!$C$9:$I$9)+FCFF!$B$9+FCFF!$I$9*(1+Inputs!$B$6)/(B1814-Inputs!$B$6)/(1+B1814)^7</f>
        <v>-1842.793786</v>
      </c>
    </row>
    <row r="1815" ht="14.25" customHeight="1">
      <c r="A1815" s="7">
        <v>1802.0</v>
      </c>
      <c r="B1815" s="14">
        <f t="shared" si="1"/>
        <v>0.1117015311</v>
      </c>
      <c r="C1815" s="39">
        <f t="array" ref="C1815">NPV(B1815,FCFF!$C$9:$I$9)+FCFF!$B$9+FCFF!$I$9*(1+Inputs!$B$6)/(B1815-Inputs!$B$6)/(1+B1815)^7</f>
        <v>-1666.858443</v>
      </c>
    </row>
    <row r="1816" ht="14.25" customHeight="1">
      <c r="A1816" s="7">
        <v>1803.0</v>
      </c>
      <c r="B1816" s="14">
        <f t="shared" si="1"/>
        <v>0.1041915578</v>
      </c>
      <c r="C1816" s="39">
        <f t="array" ref="C1816">NPV(B1816,FCFF!$C$9:$I$9)+FCFF!$B$9+FCFF!$I$9*(1+Inputs!$B$6)/(B1816-Inputs!$B$6)/(1+B1816)^7</f>
        <v>-1495.599633</v>
      </c>
    </row>
    <row r="1817" ht="14.25" customHeight="1">
      <c r="A1817" s="7">
        <v>1804.0</v>
      </c>
      <c r="B1817" s="14">
        <f t="shared" si="1"/>
        <v>0.1149809917</v>
      </c>
      <c r="C1817" s="39">
        <f t="array" ref="C1817">NPV(B1817,FCFF!$C$9:$I$9)+FCFF!$B$9+FCFF!$I$9*(1+Inputs!$B$6)/(B1817-Inputs!$B$6)/(1+B1817)^7</f>
        <v>-1731.853082</v>
      </c>
    </row>
    <row r="1818" ht="14.25" customHeight="1">
      <c r="A1818" s="7">
        <v>1805.0</v>
      </c>
      <c r="B1818" s="14">
        <f t="shared" si="1"/>
        <v>0.09498009561</v>
      </c>
      <c r="C1818" s="39">
        <f t="array" ref="C1818">NPV(B1818,FCFF!$C$9:$I$9)+FCFF!$B$9+FCFF!$I$9*(1+Inputs!$B$6)/(B1818-Inputs!$B$6)/(1+B1818)^7</f>
        <v>-1230.559934</v>
      </c>
    </row>
    <row r="1819" ht="14.25" customHeight="1">
      <c r="A1819" s="7">
        <v>1806.0</v>
      </c>
      <c r="B1819" s="14">
        <f t="shared" si="1"/>
        <v>0.1031734937</v>
      </c>
      <c r="C1819" s="39">
        <f t="array" ref="C1819">NPV(B1819,FCFF!$C$9:$I$9)+FCFF!$B$9+FCFF!$I$9*(1+Inputs!$B$6)/(B1819-Inputs!$B$6)/(1+B1819)^7</f>
        <v>-1469.613048</v>
      </c>
    </row>
    <row r="1820" ht="14.25" customHeight="1">
      <c r="A1820" s="7">
        <v>1807.0</v>
      </c>
      <c r="B1820" s="14">
        <f t="shared" si="1"/>
        <v>0.1288538127</v>
      </c>
      <c r="C1820" s="39">
        <f t="array" ref="C1820">NPV(B1820,FCFF!$C$9:$I$9)+FCFF!$B$9+FCFF!$I$9*(1+Inputs!$B$6)/(B1820-Inputs!$B$6)/(1+B1820)^7</f>
        <v>-1956.803621</v>
      </c>
    </row>
    <row r="1821" ht="14.25" customHeight="1">
      <c r="A1821" s="7">
        <v>1808.0</v>
      </c>
      <c r="B1821" s="14">
        <f t="shared" si="1"/>
        <v>0.1078711506</v>
      </c>
      <c r="C1821" s="39">
        <f t="array" ref="C1821">NPV(B1821,FCFF!$C$9:$I$9)+FCFF!$B$9+FCFF!$I$9*(1+Inputs!$B$6)/(B1821-Inputs!$B$6)/(1+B1821)^7</f>
        <v>-1583.749059</v>
      </c>
    </row>
    <row r="1822" ht="14.25" customHeight="1">
      <c r="A1822" s="7">
        <v>1809.0</v>
      </c>
      <c r="B1822" s="14">
        <f t="shared" si="1"/>
        <v>0.1043438878</v>
      </c>
      <c r="C1822" s="39">
        <f t="array" ref="C1822">NPV(B1822,FCFF!$C$9:$I$9)+FCFF!$B$9+FCFF!$I$9*(1+Inputs!$B$6)/(B1822-Inputs!$B$6)/(1+B1822)^7</f>
        <v>-1499.425695</v>
      </c>
    </row>
    <row r="1823" ht="14.25" customHeight="1">
      <c r="A1823" s="7">
        <v>1810.0</v>
      </c>
      <c r="B1823" s="14">
        <f t="shared" si="1"/>
        <v>0.129292055</v>
      </c>
      <c r="C1823" s="39">
        <f t="array" ref="C1823">NPV(B1823,FCFF!$C$9:$I$9)+FCFF!$B$9+FCFF!$I$9*(1+Inputs!$B$6)/(B1823-Inputs!$B$6)/(1+B1823)^7</f>
        <v>-1962.818301</v>
      </c>
    </row>
    <row r="1824" ht="14.25" customHeight="1">
      <c r="A1824" s="7">
        <v>1811.0</v>
      </c>
      <c r="B1824" s="14">
        <f t="shared" si="1"/>
        <v>0.1283733271</v>
      </c>
      <c r="C1824" s="39">
        <f t="array" ref="C1824">NPV(B1824,FCFF!$C$9:$I$9)+FCFF!$B$9+FCFF!$I$9*(1+Inputs!$B$6)/(B1824-Inputs!$B$6)/(1+B1824)^7</f>
        <v>-1950.142503</v>
      </c>
    </row>
    <row r="1825" ht="14.25" customHeight="1">
      <c r="A1825" s="7">
        <v>1812.0</v>
      </c>
      <c r="B1825" s="14">
        <f t="shared" si="1"/>
        <v>0.1152579821</v>
      </c>
      <c r="C1825" s="39">
        <f t="array" ref="C1825">NPV(B1825,FCFF!$C$9:$I$9)+FCFF!$B$9+FCFF!$I$9*(1+Inputs!$B$6)/(B1825-Inputs!$B$6)/(1+B1825)^7</f>
        <v>-1737.103981</v>
      </c>
    </row>
    <row r="1826" ht="14.25" customHeight="1">
      <c r="A1826" s="7">
        <v>1813.0</v>
      </c>
      <c r="B1826" s="14">
        <f t="shared" si="1"/>
        <v>0.09549791017</v>
      </c>
      <c r="C1826" s="39">
        <f t="array" ref="C1826">NPV(B1826,FCFF!$C$9:$I$9)+FCFF!$B$9+FCFF!$I$9*(1+Inputs!$B$6)/(B1826-Inputs!$B$6)/(1+B1826)^7</f>
        <v>-1247.439429</v>
      </c>
    </row>
    <row r="1827" ht="14.25" customHeight="1">
      <c r="A1827" s="7">
        <v>1814.0</v>
      </c>
      <c r="B1827" s="14">
        <f t="shared" si="1"/>
        <v>0.1038784021</v>
      </c>
      <c r="C1827" s="39">
        <f t="array" ref="C1827">NPV(B1827,FCFF!$C$9:$I$9)+FCFF!$B$9+FCFF!$I$9*(1+Inputs!$B$6)/(B1827-Inputs!$B$6)/(1+B1827)^7</f>
        <v>-1487.683695</v>
      </c>
    </row>
    <row r="1828" ht="14.25" customHeight="1">
      <c r="A1828" s="7">
        <v>1815.0</v>
      </c>
      <c r="B1828" s="14">
        <f t="shared" si="1"/>
        <v>0.1032270457</v>
      </c>
      <c r="C1828" s="39">
        <f t="array" ref="C1828">NPV(B1828,FCFF!$C$9:$I$9)+FCFF!$B$9+FCFF!$I$9*(1+Inputs!$B$6)/(B1828-Inputs!$B$6)/(1+B1828)^7</f>
        <v>-1470.998281</v>
      </c>
    </row>
    <row r="1829" ht="14.25" customHeight="1">
      <c r="A1829" s="7">
        <v>1816.0</v>
      </c>
      <c r="B1829" s="14">
        <f t="shared" si="1"/>
        <v>0.1079202902</v>
      </c>
      <c r="C1829" s="39">
        <f t="array" ref="C1829">NPV(B1829,FCFF!$C$9:$I$9)+FCFF!$B$9+FCFF!$I$9*(1+Inputs!$B$6)/(B1829-Inputs!$B$6)/(1+B1829)^7</f>
        <v>-1584.868603</v>
      </c>
    </row>
    <row r="1830" ht="14.25" customHeight="1">
      <c r="A1830" s="7">
        <v>1817.0</v>
      </c>
      <c r="B1830" s="14">
        <f t="shared" si="1"/>
        <v>0.118735623</v>
      </c>
      <c r="C1830" s="39">
        <f t="array" ref="C1830">NPV(B1830,FCFF!$C$9:$I$9)+FCFF!$B$9+FCFF!$I$9*(1+Inputs!$B$6)/(B1830-Inputs!$B$6)/(1+B1830)^7</f>
        <v>-1800.106905</v>
      </c>
    </row>
    <row r="1831" ht="14.25" customHeight="1">
      <c r="A1831" s="7">
        <v>1818.0</v>
      </c>
      <c r="B1831" s="14">
        <f t="shared" si="1"/>
        <v>0.12494016</v>
      </c>
      <c r="C1831" s="39">
        <f t="array" ref="C1831">NPV(B1831,FCFF!$C$9:$I$9)+FCFF!$B$9+FCFF!$I$9*(1+Inputs!$B$6)/(B1831-Inputs!$B$6)/(1+B1831)^7</f>
        <v>-1900.427798</v>
      </c>
    </row>
    <row r="1832" ht="14.25" customHeight="1">
      <c r="A1832" s="7">
        <v>1819.0</v>
      </c>
      <c r="B1832" s="14">
        <f t="shared" si="1"/>
        <v>0.1206612921</v>
      </c>
      <c r="C1832" s="39">
        <f t="array" ref="C1832">NPV(B1832,FCFF!$C$9:$I$9)+FCFF!$B$9+FCFF!$I$9*(1+Inputs!$B$6)/(B1832-Inputs!$B$6)/(1+B1832)^7</f>
        <v>-1832.805076</v>
      </c>
    </row>
    <row r="1833" ht="14.25" customHeight="1">
      <c r="A1833" s="7">
        <v>1820.0</v>
      </c>
      <c r="B1833" s="14">
        <f t="shared" si="1"/>
        <v>0.118832673</v>
      </c>
      <c r="C1833" s="39">
        <f t="array" ref="C1833">NPV(B1833,FCFF!$C$9:$I$9)+FCFF!$B$9+FCFF!$I$9*(1+Inputs!$B$6)/(B1833-Inputs!$B$6)/(1+B1833)^7</f>
        <v>-1801.790706</v>
      </c>
    </row>
    <row r="1834" ht="14.25" customHeight="1">
      <c r="A1834" s="7">
        <v>1821.0</v>
      </c>
      <c r="B1834" s="14">
        <f t="shared" si="1"/>
        <v>0.1248154204</v>
      </c>
      <c r="C1834" s="39">
        <f t="array" ref="C1834">NPV(B1834,FCFF!$C$9:$I$9)+FCFF!$B$9+FCFF!$I$9*(1+Inputs!$B$6)/(B1834-Inputs!$B$6)/(1+B1834)^7</f>
        <v>-1898.548569</v>
      </c>
    </row>
    <row r="1835" ht="14.25" customHeight="1">
      <c r="A1835" s="7">
        <v>1822.0</v>
      </c>
      <c r="B1835" s="14">
        <f t="shared" si="1"/>
        <v>0.120079343</v>
      </c>
      <c r="C1835" s="39">
        <f t="array" ref="C1835">NPV(B1835,FCFF!$C$9:$I$9)+FCFF!$B$9+FCFF!$I$9*(1+Inputs!$B$6)/(B1835-Inputs!$B$6)/(1+B1835)^7</f>
        <v>-1823.079463</v>
      </c>
    </row>
    <row r="1836" ht="14.25" customHeight="1">
      <c r="A1836" s="7">
        <v>1823.0</v>
      </c>
      <c r="B1836" s="14">
        <f t="shared" si="1"/>
        <v>0.1044030998</v>
      </c>
      <c r="C1836" s="39">
        <f t="array" ref="C1836">NPV(B1836,FCFF!$C$9:$I$9)+FCFF!$B$9+FCFF!$I$9*(1+Inputs!$B$6)/(B1836-Inputs!$B$6)/(1+B1836)^7</f>
        <v>-1500.908618</v>
      </c>
    </row>
    <row r="1837" ht="14.25" customHeight="1">
      <c r="A1837" s="7">
        <v>1824.0</v>
      </c>
      <c r="B1837" s="14">
        <f t="shared" si="1"/>
        <v>0.1013566275</v>
      </c>
      <c r="C1837" s="39">
        <f t="array" ref="C1837">NPV(B1837,FCFF!$C$9:$I$9)+FCFF!$B$9+FCFF!$I$9*(1+Inputs!$B$6)/(B1837-Inputs!$B$6)/(1+B1837)^7</f>
        <v>-1421.367538</v>
      </c>
    </row>
    <row r="1838" ht="14.25" customHeight="1">
      <c r="A1838" s="7">
        <v>1825.0</v>
      </c>
      <c r="B1838" s="14">
        <f t="shared" si="1"/>
        <v>0.1017557955</v>
      </c>
      <c r="C1838" s="39">
        <f t="array" ref="C1838">NPV(B1838,FCFF!$C$9:$I$9)+FCFF!$B$9+FCFF!$I$9*(1+Inputs!$B$6)/(B1838-Inputs!$B$6)/(1+B1838)^7</f>
        <v>-1432.179092</v>
      </c>
    </row>
    <row r="1839" ht="14.25" customHeight="1">
      <c r="A1839" s="7">
        <v>1826.0</v>
      </c>
      <c r="B1839" s="14">
        <f t="shared" si="1"/>
        <v>0.1231053469</v>
      </c>
      <c r="C1839" s="39">
        <f t="array" ref="C1839">NPV(B1839,FCFF!$C$9:$I$9)+FCFF!$B$9+FCFF!$I$9*(1+Inputs!$B$6)/(B1839-Inputs!$B$6)/(1+B1839)^7</f>
        <v>-1872.242202</v>
      </c>
    </row>
    <row r="1840" ht="14.25" customHeight="1">
      <c r="A1840" s="7">
        <v>1827.0</v>
      </c>
      <c r="B1840" s="14">
        <f t="shared" si="1"/>
        <v>0.1057624167</v>
      </c>
      <c r="C1840" s="39">
        <f t="array" ref="C1840">NPV(B1840,FCFF!$C$9:$I$9)+FCFF!$B$9+FCFF!$I$9*(1+Inputs!$B$6)/(B1840-Inputs!$B$6)/(1+B1840)^7</f>
        <v>-1534.302198</v>
      </c>
    </row>
    <row r="1841" ht="14.25" customHeight="1">
      <c r="A1841" s="7">
        <v>1828.0</v>
      </c>
      <c r="B1841" s="14">
        <f t="shared" si="1"/>
        <v>0.09411824988</v>
      </c>
      <c r="C1841" s="39">
        <f t="array" ref="C1841">NPV(B1841,FCFF!$C$9:$I$9)+FCFF!$B$9+FCFF!$I$9*(1+Inputs!$B$6)/(B1841-Inputs!$B$6)/(1+B1841)^7</f>
        <v>-1201.86575</v>
      </c>
    </row>
    <row r="1842" ht="14.25" customHeight="1">
      <c r="A1842" s="7">
        <v>1829.0</v>
      </c>
      <c r="B1842" s="14">
        <f t="shared" si="1"/>
        <v>0.1313984526</v>
      </c>
      <c r="C1842" s="39">
        <f t="array" ref="C1842">NPV(B1842,FCFF!$C$9:$I$9)+FCFF!$B$9+FCFF!$I$9*(1+Inputs!$B$6)/(B1842-Inputs!$B$6)/(1+B1842)^7</f>
        <v>-1990.941687</v>
      </c>
    </row>
    <row r="1843" ht="14.25" customHeight="1">
      <c r="A1843" s="7">
        <v>1830.0</v>
      </c>
      <c r="B1843" s="14">
        <f t="shared" si="1"/>
        <v>0.1322399135</v>
      </c>
      <c r="C1843" s="39">
        <f t="array" ref="C1843">NPV(B1843,FCFF!$C$9:$I$9)+FCFF!$B$9+FCFF!$I$9*(1+Inputs!$B$6)/(B1843-Inputs!$B$6)/(1+B1843)^7</f>
        <v>-2001.824403</v>
      </c>
    </row>
    <row r="1844" ht="14.25" customHeight="1">
      <c r="A1844" s="7">
        <v>1831.0</v>
      </c>
      <c r="B1844" s="14">
        <f t="shared" si="1"/>
        <v>0.1173812918</v>
      </c>
      <c r="C1844" s="39">
        <f t="array" ref="C1844">NPV(B1844,FCFF!$C$9:$I$9)+FCFF!$B$9+FCFF!$I$9*(1+Inputs!$B$6)/(B1844-Inputs!$B$6)/(1+B1844)^7</f>
        <v>-1776.197724</v>
      </c>
    </row>
    <row r="1845" ht="14.25" customHeight="1">
      <c r="A1845" s="7">
        <v>1832.0</v>
      </c>
      <c r="B1845" s="14">
        <f t="shared" si="1"/>
        <v>0.1000883897</v>
      </c>
      <c r="C1845" s="39">
        <f t="array" ref="C1845">NPV(B1845,FCFF!$C$9:$I$9)+FCFF!$B$9+FCFF!$I$9*(1+Inputs!$B$6)/(B1845-Inputs!$B$6)/(1+B1845)^7</f>
        <v>-1386.19212</v>
      </c>
    </row>
    <row r="1846" ht="14.25" customHeight="1">
      <c r="A1846" s="7">
        <v>1833.0</v>
      </c>
      <c r="B1846" s="14">
        <f t="shared" si="1"/>
        <v>0.1155306402</v>
      </c>
      <c r="C1846" s="39">
        <f t="array" ref="C1846">NPV(B1846,FCFF!$C$9:$I$9)+FCFF!$B$9+FCFF!$I$9*(1+Inputs!$B$6)/(B1846-Inputs!$B$6)/(1+B1846)^7</f>
        <v>-1742.238</v>
      </c>
    </row>
    <row r="1847" ht="14.25" customHeight="1">
      <c r="A1847" s="7">
        <v>1834.0</v>
      </c>
      <c r="B1847" s="14">
        <f t="shared" si="1"/>
        <v>0.10362137</v>
      </c>
      <c r="C1847" s="39">
        <f t="array" ref="C1847">NPV(B1847,FCFF!$C$9:$I$9)+FCFF!$B$9+FCFF!$I$9*(1+Inputs!$B$6)/(B1847-Inputs!$B$6)/(1+B1847)^7</f>
        <v>-1481.135282</v>
      </c>
    </row>
    <row r="1848" ht="14.25" customHeight="1">
      <c r="A1848" s="7">
        <v>1835.0</v>
      </c>
      <c r="B1848" s="14">
        <f t="shared" si="1"/>
        <v>0.09951895479</v>
      </c>
      <c r="C1848" s="39">
        <f t="array" ref="C1848">NPV(B1848,FCFF!$C$9:$I$9)+FCFF!$B$9+FCFF!$I$9*(1+Inputs!$B$6)/(B1848-Inputs!$B$6)/(1+B1848)^7</f>
        <v>-1369.977871</v>
      </c>
    </row>
    <row r="1849" ht="14.25" customHeight="1">
      <c r="A1849" s="7">
        <v>1836.0</v>
      </c>
      <c r="B1849" s="14">
        <f t="shared" si="1"/>
        <v>0.09382645526</v>
      </c>
      <c r="C1849" s="39">
        <f t="array" ref="C1849">NPV(B1849,FCFF!$C$9:$I$9)+FCFF!$B$9+FCFF!$I$9*(1+Inputs!$B$6)/(B1849-Inputs!$B$6)/(1+B1849)^7</f>
        <v>-1191.976722</v>
      </c>
    </row>
    <row r="1850" ht="14.25" customHeight="1">
      <c r="A1850" s="7">
        <v>1837.0</v>
      </c>
      <c r="B1850" s="14">
        <f t="shared" si="1"/>
        <v>0.09811576044</v>
      </c>
      <c r="C1850" s="39">
        <f t="array" ref="C1850">NPV(B1850,FCFF!$C$9:$I$9)+FCFF!$B$9+FCFF!$I$9*(1+Inputs!$B$6)/(B1850-Inputs!$B$6)/(1+B1850)^7</f>
        <v>-1328.860559</v>
      </c>
    </row>
    <row r="1851" ht="14.25" customHeight="1">
      <c r="A1851" s="7">
        <v>1838.0</v>
      </c>
      <c r="B1851" s="14">
        <f t="shared" si="1"/>
        <v>0.09338571193</v>
      </c>
      <c r="C1851" s="39">
        <f t="array" ref="C1851">NPV(B1851,FCFF!$C$9:$I$9)+FCFF!$B$9+FCFF!$I$9*(1+Inputs!$B$6)/(B1851-Inputs!$B$6)/(1+B1851)^7</f>
        <v>-1176.868904</v>
      </c>
    </row>
    <row r="1852" ht="14.25" customHeight="1">
      <c r="A1852" s="7">
        <v>1839.0</v>
      </c>
      <c r="B1852" s="14">
        <f t="shared" si="1"/>
        <v>0.1236445275</v>
      </c>
      <c r="C1852" s="39">
        <f t="array" ref="C1852">NPV(B1852,FCFF!$C$9:$I$9)+FCFF!$B$9+FCFF!$I$9*(1+Inputs!$B$6)/(B1852-Inputs!$B$6)/(1+B1852)^7</f>
        <v>-1880.647386</v>
      </c>
    </row>
    <row r="1853" ht="14.25" customHeight="1">
      <c r="A1853" s="7">
        <v>1840.0</v>
      </c>
      <c r="B1853" s="14">
        <f t="shared" si="1"/>
        <v>0.09354434966</v>
      </c>
      <c r="C1853" s="39">
        <f t="array" ref="C1853">NPV(B1853,FCFF!$C$9:$I$9)+FCFF!$B$9+FCFF!$I$9*(1+Inputs!$B$6)/(B1853-Inputs!$B$6)/(1+B1853)^7</f>
        <v>-1182.330579</v>
      </c>
    </row>
    <row r="1854" ht="14.25" customHeight="1">
      <c r="A1854" s="7">
        <v>1841.0</v>
      </c>
      <c r="B1854" s="14">
        <f t="shared" si="1"/>
        <v>0.09318915036</v>
      </c>
      <c r="C1854" s="39">
        <f t="array" ref="C1854">NPV(B1854,FCFF!$C$9:$I$9)+FCFF!$B$9+FCFF!$I$9*(1+Inputs!$B$6)/(B1854-Inputs!$B$6)/(1+B1854)^7</f>
        <v>-1170.063953</v>
      </c>
    </row>
    <row r="1855" ht="14.25" customHeight="1">
      <c r="A1855" s="7">
        <v>1842.0</v>
      </c>
      <c r="B1855" s="14">
        <f t="shared" si="1"/>
        <v>0.117422441</v>
      </c>
      <c r="C1855" s="39">
        <f t="array" ref="C1855">NPV(B1855,FCFF!$C$9:$I$9)+FCFF!$B$9+FCFF!$I$9*(1+Inputs!$B$6)/(B1855-Inputs!$B$6)/(1+B1855)^7</f>
        <v>-1776.935661</v>
      </c>
    </row>
    <row r="1856" ht="14.25" customHeight="1">
      <c r="A1856" s="7">
        <v>1843.0</v>
      </c>
      <c r="B1856" s="14">
        <f t="shared" si="1"/>
        <v>0.1192418928</v>
      </c>
      <c r="C1856" s="39">
        <f t="array" ref="C1856">NPV(B1856,FCFF!$C$9:$I$9)+FCFF!$B$9+FCFF!$I$9*(1+Inputs!$B$6)/(B1856-Inputs!$B$6)/(1+B1856)^7</f>
        <v>-1808.848079</v>
      </c>
    </row>
    <row r="1857" ht="14.25" customHeight="1">
      <c r="A1857" s="7">
        <v>1844.0</v>
      </c>
      <c r="B1857" s="14">
        <f t="shared" si="1"/>
        <v>0.1135923528</v>
      </c>
      <c r="C1857" s="39">
        <f t="array" ref="C1857">NPV(B1857,FCFF!$C$9:$I$9)+FCFF!$B$9+FCFF!$I$9*(1+Inputs!$B$6)/(B1857-Inputs!$B$6)/(1+B1857)^7</f>
        <v>-1704.980414</v>
      </c>
    </row>
    <row r="1858" ht="14.25" customHeight="1">
      <c r="A1858" s="7">
        <v>1845.0</v>
      </c>
      <c r="B1858" s="14">
        <f t="shared" si="1"/>
        <v>0.1172337281</v>
      </c>
      <c r="C1858" s="39">
        <f t="array" ref="C1858">NPV(B1858,FCFF!$C$9:$I$9)+FCFF!$B$9+FCFF!$I$9*(1+Inputs!$B$6)/(B1858-Inputs!$B$6)/(1+B1858)^7</f>
        <v>-1773.545411</v>
      </c>
    </row>
    <row r="1859" ht="14.25" customHeight="1">
      <c r="A1859" s="7">
        <v>1846.0</v>
      </c>
      <c r="B1859" s="14">
        <f t="shared" si="1"/>
        <v>0.1099733653</v>
      </c>
      <c r="C1859" s="39">
        <f t="array" ref="C1859">NPV(B1859,FCFF!$C$9:$I$9)+FCFF!$B$9+FCFF!$I$9*(1+Inputs!$B$6)/(B1859-Inputs!$B$6)/(1+B1859)^7</f>
        <v>-1630.3791</v>
      </c>
    </row>
    <row r="1860" ht="14.25" customHeight="1">
      <c r="A1860" s="7">
        <v>1847.0</v>
      </c>
      <c r="B1860" s="14">
        <f t="shared" si="1"/>
        <v>0.1171140874</v>
      </c>
      <c r="C1860" s="39">
        <f t="array" ref="C1860">NPV(B1860,FCFF!$C$9:$I$9)+FCFF!$B$9+FCFF!$I$9*(1+Inputs!$B$6)/(B1860-Inputs!$B$6)/(1+B1860)^7</f>
        <v>-1771.38805</v>
      </c>
    </row>
    <row r="1861" ht="14.25" customHeight="1">
      <c r="A1861" s="7">
        <v>1848.0</v>
      </c>
      <c r="B1861" s="14">
        <f t="shared" si="1"/>
        <v>0.1281640675</v>
      </c>
      <c r="C1861" s="39">
        <f t="array" ref="C1861">NPV(B1861,FCFF!$C$9:$I$9)+FCFF!$B$9+FCFF!$I$9*(1+Inputs!$B$6)/(B1861-Inputs!$B$6)/(1+B1861)^7</f>
        <v>-1947.219432</v>
      </c>
    </row>
    <row r="1862" ht="14.25" customHeight="1">
      <c r="A1862" s="7">
        <v>1849.0</v>
      </c>
      <c r="B1862" s="14">
        <f t="shared" si="1"/>
        <v>0.1203580179</v>
      </c>
      <c r="C1862" s="39">
        <f t="array" ref="C1862">NPV(B1862,FCFF!$C$9:$I$9)+FCFF!$B$9+FCFF!$I$9*(1+Inputs!$B$6)/(B1862-Inputs!$B$6)/(1+B1862)^7</f>
        <v>-1827.753282</v>
      </c>
    </row>
    <row r="1863" ht="14.25" customHeight="1">
      <c r="A1863" s="7">
        <v>1850.0</v>
      </c>
      <c r="B1863" s="14">
        <f t="shared" si="1"/>
        <v>0.1105628903</v>
      </c>
      <c r="C1863" s="39">
        <f t="array" ref="C1863">NPV(B1863,FCFF!$C$9:$I$9)+FCFF!$B$9+FCFF!$I$9*(1+Inputs!$B$6)/(B1863-Inputs!$B$6)/(1+B1863)^7</f>
        <v>-1643.005196</v>
      </c>
    </row>
    <row r="1864" ht="14.25" customHeight="1">
      <c r="A1864" s="7">
        <v>1851.0</v>
      </c>
      <c r="B1864" s="14">
        <f t="shared" si="1"/>
        <v>0.1161073814</v>
      </c>
      <c r="C1864" s="39">
        <f t="array" ref="C1864">NPV(B1864,FCFF!$C$9:$I$9)+FCFF!$B$9+FCFF!$I$9*(1+Inputs!$B$6)/(B1864-Inputs!$B$6)/(1+B1864)^7</f>
        <v>-1752.985585</v>
      </c>
    </row>
    <row r="1865" ht="14.25" customHeight="1">
      <c r="A1865" s="7">
        <v>1852.0</v>
      </c>
      <c r="B1865" s="14">
        <f t="shared" si="1"/>
        <v>0.1284628579</v>
      </c>
      <c r="C1865" s="39">
        <f t="array" ref="C1865">NPV(B1865,FCFF!$C$9:$I$9)+FCFF!$B$9+FCFF!$I$9*(1+Inputs!$B$6)/(B1865-Inputs!$B$6)/(1+B1865)^7</f>
        <v>-1951.389026</v>
      </c>
    </row>
    <row r="1866" ht="14.25" customHeight="1">
      <c r="A1866" s="7">
        <v>1853.0</v>
      </c>
      <c r="B1866" s="14">
        <f t="shared" si="1"/>
        <v>0.1123568675</v>
      </c>
      <c r="C1866" s="39">
        <f t="array" ref="C1866">NPV(B1866,FCFF!$C$9:$I$9)+FCFF!$B$9+FCFF!$I$9*(1+Inputs!$B$6)/(B1866-Inputs!$B$6)/(1+B1866)^7</f>
        <v>-1680.277094</v>
      </c>
    </row>
    <row r="1867" ht="14.25" customHeight="1">
      <c r="A1867" s="7">
        <v>1854.0</v>
      </c>
      <c r="B1867" s="14">
        <f t="shared" si="1"/>
        <v>0.09331863602</v>
      </c>
      <c r="C1867" s="39">
        <f t="array" ref="C1867">NPV(B1867,FCFF!$C$9:$I$9)+FCFF!$B$9+FCFF!$I$9*(1+Inputs!$B$6)/(B1867-Inputs!$B$6)/(1+B1867)^7</f>
        <v>-1174.551434</v>
      </c>
    </row>
    <row r="1868" ht="14.25" customHeight="1">
      <c r="A1868" s="7">
        <v>1855.0</v>
      </c>
      <c r="B1868" s="14">
        <f t="shared" si="1"/>
        <v>0.1200580166</v>
      </c>
      <c r="C1868" s="39">
        <f t="array" ref="C1868">NPV(B1868,FCFF!$C$9:$I$9)+FCFF!$B$9+FCFF!$I$9*(1+Inputs!$B$6)/(B1868-Inputs!$B$6)/(1+B1868)^7</f>
        <v>-1822.720523</v>
      </c>
    </row>
    <row r="1869" ht="14.25" customHeight="1">
      <c r="A1869" s="7">
        <v>1856.0</v>
      </c>
      <c r="B1869" s="14">
        <f t="shared" si="1"/>
        <v>0.1032675272</v>
      </c>
      <c r="C1869" s="39">
        <f t="array" ref="C1869">NPV(B1869,FCFF!$C$9:$I$9)+FCFF!$B$9+FCFF!$I$9*(1+Inputs!$B$6)/(B1869-Inputs!$B$6)/(1+B1869)^7</f>
        <v>-1472.044053</v>
      </c>
    </row>
    <row r="1870" ht="14.25" customHeight="1">
      <c r="A1870" s="7">
        <v>1857.0</v>
      </c>
      <c r="B1870" s="14">
        <f t="shared" si="1"/>
        <v>0.1077430038</v>
      </c>
      <c r="C1870" s="39">
        <f t="array" ref="C1870">NPV(B1870,FCFF!$C$9:$I$9)+FCFF!$B$9+FCFF!$I$9*(1+Inputs!$B$6)/(B1870-Inputs!$B$6)/(1+B1870)^7</f>
        <v>-1580.82266</v>
      </c>
    </row>
    <row r="1871" ht="14.25" customHeight="1">
      <c r="A1871" s="7">
        <v>1858.0</v>
      </c>
      <c r="B1871" s="14">
        <f t="shared" si="1"/>
        <v>0.1135615338</v>
      </c>
      <c r="C1871" s="39">
        <f t="array" ref="C1871">NPV(B1871,FCFF!$C$9:$I$9)+FCFF!$B$9+FCFF!$I$9*(1+Inputs!$B$6)/(B1871-Inputs!$B$6)/(1+B1871)^7</f>
        <v>-1704.37344</v>
      </c>
    </row>
    <row r="1872" ht="14.25" customHeight="1">
      <c r="A1872" s="7">
        <v>1859.0</v>
      </c>
      <c r="B1872" s="14">
        <f t="shared" si="1"/>
        <v>0.09789740461</v>
      </c>
      <c r="C1872" s="39">
        <f t="array" ref="C1872">NPV(B1872,FCFF!$C$9:$I$9)+FCFF!$B$9+FCFF!$I$9*(1+Inputs!$B$6)/(B1872-Inputs!$B$6)/(1+B1872)^7</f>
        <v>-1322.308953</v>
      </c>
    </row>
    <row r="1873" ht="14.25" customHeight="1">
      <c r="A1873" s="7">
        <v>1860.0</v>
      </c>
      <c r="B1873" s="14">
        <f t="shared" si="1"/>
        <v>0.1167802923</v>
      </c>
      <c r="C1873" s="39">
        <f t="array" ref="C1873">NPV(B1873,FCFF!$C$9:$I$9)+FCFF!$B$9+FCFF!$I$9*(1+Inputs!$B$6)/(B1873-Inputs!$B$6)/(1+B1873)^7</f>
        <v>-1765.335995</v>
      </c>
    </row>
    <row r="1874" ht="14.25" customHeight="1">
      <c r="A1874" s="7">
        <v>1861.0</v>
      </c>
      <c r="B1874" s="14">
        <f t="shared" si="1"/>
        <v>0.1280953661</v>
      </c>
      <c r="C1874" s="39">
        <f t="array" ref="C1874">NPV(B1874,FCFF!$C$9:$I$9)+FCFF!$B$9+FCFF!$I$9*(1+Inputs!$B$6)/(B1874-Inputs!$B$6)/(1+B1874)^7</f>
        <v>-1946.256827</v>
      </c>
    </row>
    <row r="1875" ht="14.25" customHeight="1">
      <c r="A1875" s="7">
        <v>1862.0</v>
      </c>
      <c r="B1875" s="14">
        <f t="shared" si="1"/>
        <v>0.1236148626</v>
      </c>
      <c r="C1875" s="39">
        <f t="array" ref="C1875">NPV(B1875,FCFF!$C$9:$I$9)+FCFF!$B$9+FCFF!$I$9*(1+Inputs!$B$6)/(B1875-Inputs!$B$6)/(1+B1875)^7</f>
        <v>-1880.187632</v>
      </c>
    </row>
    <row r="1876" ht="14.25" customHeight="1">
      <c r="A1876" s="7">
        <v>1863.0</v>
      </c>
      <c r="B1876" s="14">
        <f t="shared" si="1"/>
        <v>0.1322343817</v>
      </c>
      <c r="C1876" s="39">
        <f t="array" ref="C1876">NPV(B1876,FCFF!$C$9:$I$9)+FCFF!$B$9+FCFF!$I$9*(1+Inputs!$B$6)/(B1876-Inputs!$B$6)/(1+B1876)^7</f>
        <v>-2001.753497</v>
      </c>
    </row>
    <row r="1877" ht="14.25" customHeight="1">
      <c r="A1877" s="7">
        <v>1864.0</v>
      </c>
      <c r="B1877" s="14">
        <f t="shared" si="1"/>
        <v>0.1178354171</v>
      </c>
      <c r="C1877" s="39">
        <f t="array" ref="C1877">NPV(B1877,FCFF!$C$9:$I$9)+FCFF!$B$9+FCFF!$I$9*(1+Inputs!$B$6)/(B1877-Inputs!$B$6)/(1+B1877)^7</f>
        <v>-1784.30136</v>
      </c>
    </row>
    <row r="1878" ht="14.25" customHeight="1">
      <c r="A1878" s="7">
        <v>1865.0</v>
      </c>
      <c r="B1878" s="14">
        <f t="shared" si="1"/>
        <v>0.120577979</v>
      </c>
      <c r="C1878" s="39">
        <f t="array" ref="C1878">NPV(B1878,FCFF!$C$9:$I$9)+FCFF!$B$9+FCFF!$I$9*(1+Inputs!$B$6)/(B1878-Inputs!$B$6)/(1+B1878)^7</f>
        <v>-1831.42086</v>
      </c>
    </row>
    <row r="1879" ht="14.25" customHeight="1">
      <c r="A1879" s="7">
        <v>1866.0</v>
      </c>
      <c r="B1879" s="14">
        <f t="shared" si="1"/>
        <v>0.1031020002</v>
      </c>
      <c r="C1879" s="39">
        <f t="array" ref="C1879">NPV(B1879,FCFF!$C$9:$I$9)+FCFF!$B$9+FCFF!$I$9*(1+Inputs!$B$6)/(B1879-Inputs!$B$6)/(1+B1879)^7</f>
        <v>-1467.760513</v>
      </c>
    </row>
    <row r="1880" ht="14.25" customHeight="1">
      <c r="A1880" s="7">
        <v>1867.0</v>
      </c>
      <c r="B1880" s="14">
        <f t="shared" si="1"/>
        <v>0.1203659363</v>
      </c>
      <c r="C1880" s="39">
        <f t="array" ref="C1880">NPV(B1880,FCFF!$C$9:$I$9)+FCFF!$B$9+FCFF!$I$9*(1+Inputs!$B$6)/(B1880-Inputs!$B$6)/(1+B1880)^7</f>
        <v>-1827.88564</v>
      </c>
    </row>
    <row r="1881" ht="14.25" customHeight="1">
      <c r="A1881" s="7">
        <v>1868.0</v>
      </c>
      <c r="B1881" s="14">
        <f t="shared" si="1"/>
        <v>0.1309922027</v>
      </c>
      <c r="C1881" s="39">
        <f t="array" ref="C1881">NPV(B1881,FCFF!$C$9:$I$9)+FCFF!$B$9+FCFF!$I$9*(1+Inputs!$B$6)/(B1881-Inputs!$B$6)/(1+B1881)^7</f>
        <v>-1985.616865</v>
      </c>
    </row>
    <row r="1882" ht="14.25" customHeight="1">
      <c r="A1882" s="7">
        <v>1869.0</v>
      </c>
      <c r="B1882" s="14">
        <f t="shared" si="1"/>
        <v>0.1182409372</v>
      </c>
      <c r="C1882" s="39">
        <f t="array" ref="C1882">NPV(B1882,FCFF!$C$9:$I$9)+FCFF!$B$9+FCFF!$I$9*(1+Inputs!$B$6)/(B1882-Inputs!$B$6)/(1+B1882)^7</f>
        <v>-1791.463443</v>
      </c>
    </row>
    <row r="1883" ht="14.25" customHeight="1">
      <c r="A1883" s="7">
        <v>1870.0</v>
      </c>
      <c r="B1883" s="14">
        <f t="shared" si="1"/>
        <v>0.09857298106</v>
      </c>
      <c r="C1883" s="39">
        <f t="array" ref="C1883">NPV(B1883,FCFF!$C$9:$I$9)+FCFF!$B$9+FCFF!$I$9*(1+Inputs!$B$6)/(B1883-Inputs!$B$6)/(1+B1883)^7</f>
        <v>-1342.443742</v>
      </c>
    </row>
    <row r="1884" ht="14.25" customHeight="1">
      <c r="A1884" s="7">
        <v>1871.0</v>
      </c>
      <c r="B1884" s="14">
        <f t="shared" si="1"/>
        <v>0.1165506435</v>
      </c>
      <c r="C1884" s="39">
        <f t="array" ref="C1884">NPV(B1884,FCFF!$C$9:$I$9)+FCFF!$B$9+FCFF!$I$9*(1+Inputs!$B$6)/(B1884-Inputs!$B$6)/(1+B1884)^7</f>
        <v>-1761.143745</v>
      </c>
    </row>
    <row r="1885" ht="14.25" customHeight="1">
      <c r="A1885" s="7">
        <v>1872.0</v>
      </c>
      <c r="B1885" s="14">
        <f t="shared" si="1"/>
        <v>0.1327313055</v>
      </c>
      <c r="C1885" s="39">
        <f t="array" ref="C1885">NPV(B1885,FCFF!$C$9:$I$9)+FCFF!$B$9+FCFF!$I$9*(1+Inputs!$B$6)/(B1885-Inputs!$B$6)/(1+B1885)^7</f>
        <v>-2008.089737</v>
      </c>
    </row>
    <row r="1886" ht="14.25" customHeight="1">
      <c r="A1886" s="7">
        <v>1873.0</v>
      </c>
      <c r="B1886" s="14">
        <f t="shared" si="1"/>
        <v>0.1207228925</v>
      </c>
      <c r="C1886" s="39">
        <f t="array" ref="C1886">NPV(B1886,FCFF!$C$9:$I$9)+FCFF!$B$9+FCFF!$I$9*(1+Inputs!$B$6)/(B1886-Inputs!$B$6)/(1+B1886)^7</f>
        <v>-1833.826811</v>
      </c>
    </row>
    <row r="1887" ht="14.25" customHeight="1">
      <c r="A1887" s="7">
        <v>1874.0</v>
      </c>
      <c r="B1887" s="14">
        <f t="shared" si="1"/>
        <v>0.09312025802</v>
      </c>
      <c r="C1887" s="39">
        <f t="array" ref="C1887">NPV(B1887,FCFF!$C$9:$I$9)+FCFF!$B$9+FCFF!$I$9*(1+Inputs!$B$6)/(B1887-Inputs!$B$6)/(1+B1887)^7</f>
        <v>-1167.66899</v>
      </c>
    </row>
    <row r="1888" ht="14.25" customHeight="1">
      <c r="A1888" s="7">
        <v>1875.0</v>
      </c>
      <c r="B1888" s="14">
        <f t="shared" si="1"/>
        <v>0.1155118383</v>
      </c>
      <c r="C1888" s="39">
        <f t="array" ref="C1888">NPV(B1888,FCFF!$C$9:$I$9)+FCFF!$B$9+FCFF!$I$9*(1+Inputs!$B$6)/(B1888-Inputs!$B$6)/(1+B1888)^7</f>
        <v>-1741.88507</v>
      </c>
    </row>
    <row r="1889" ht="14.25" customHeight="1">
      <c r="A1889" s="7">
        <v>1876.0</v>
      </c>
      <c r="B1889" s="14">
        <f t="shared" si="1"/>
        <v>0.1249187098</v>
      </c>
      <c r="C1889" s="39">
        <f t="array" ref="C1889">NPV(B1889,FCFF!$C$9:$I$9)+FCFF!$B$9+FCFF!$I$9*(1+Inputs!$B$6)/(B1889-Inputs!$B$6)/(1+B1889)^7</f>
        <v>-1900.105023</v>
      </c>
    </row>
    <row r="1890" ht="14.25" customHeight="1">
      <c r="A1890" s="7">
        <v>1877.0</v>
      </c>
      <c r="B1890" s="14">
        <f t="shared" si="1"/>
        <v>0.09323222336</v>
      </c>
      <c r="C1890" s="39">
        <f t="array" ref="C1890">NPV(B1890,FCFF!$C$9:$I$9)+FCFF!$B$9+FCFF!$I$9*(1+Inputs!$B$6)/(B1890-Inputs!$B$6)/(1+B1890)^7</f>
        <v>-1171.558716</v>
      </c>
    </row>
    <row r="1891" ht="14.25" customHeight="1">
      <c r="A1891" s="7">
        <v>1878.0</v>
      </c>
      <c r="B1891" s="14">
        <f t="shared" si="1"/>
        <v>0.1287143799</v>
      </c>
      <c r="C1891" s="39">
        <f t="array" ref="C1891">NPV(B1891,FCFF!$C$9:$I$9)+FCFF!$B$9+FCFF!$I$9*(1+Inputs!$B$6)/(B1891-Inputs!$B$6)/(1+B1891)^7</f>
        <v>-1954.877846</v>
      </c>
    </row>
    <row r="1892" ht="14.25" customHeight="1">
      <c r="A1892" s="7">
        <v>1879.0</v>
      </c>
      <c r="B1892" s="14">
        <f t="shared" si="1"/>
        <v>0.09452038996</v>
      </c>
      <c r="C1892" s="39">
        <f t="array" ref="C1892">NPV(B1892,FCFF!$C$9:$I$9)+FCFF!$B$9+FCFF!$I$9*(1+Inputs!$B$6)/(B1892-Inputs!$B$6)/(1+B1892)^7</f>
        <v>-1215.349176</v>
      </c>
    </row>
    <row r="1893" ht="14.25" customHeight="1">
      <c r="A1893" s="7">
        <v>1880.0</v>
      </c>
      <c r="B1893" s="14">
        <f t="shared" si="1"/>
        <v>0.1228969625</v>
      </c>
      <c r="C1893" s="39">
        <f t="array" ref="C1893">NPV(B1893,FCFF!$C$9:$I$9)+FCFF!$B$9+FCFF!$I$9*(1+Inputs!$B$6)/(B1893-Inputs!$B$6)/(1+B1893)^7</f>
        <v>-1868.965832</v>
      </c>
    </row>
    <row r="1894" ht="14.25" customHeight="1">
      <c r="A1894" s="7">
        <v>1881.0</v>
      </c>
      <c r="B1894" s="14">
        <f t="shared" si="1"/>
        <v>0.1271919208</v>
      </c>
      <c r="C1894" s="39">
        <f t="array" ref="C1894">NPV(B1894,FCFF!$C$9:$I$9)+FCFF!$B$9+FCFF!$I$9*(1+Inputs!$B$6)/(B1894-Inputs!$B$6)/(1+B1894)^7</f>
        <v>-1933.461549</v>
      </c>
    </row>
    <row r="1895" ht="14.25" customHeight="1">
      <c r="A1895" s="7">
        <v>1882.0</v>
      </c>
      <c r="B1895" s="14">
        <f t="shared" si="1"/>
        <v>0.1023106118</v>
      </c>
      <c r="C1895" s="39">
        <f t="array" ref="C1895">NPV(B1895,FCFF!$C$9:$I$9)+FCFF!$B$9+FCFF!$I$9*(1+Inputs!$B$6)/(B1895-Inputs!$B$6)/(1+B1895)^7</f>
        <v>-1447.005941</v>
      </c>
    </row>
    <row r="1896" ht="14.25" customHeight="1">
      <c r="A1896" s="7">
        <v>1883.0</v>
      </c>
      <c r="B1896" s="14">
        <f t="shared" si="1"/>
        <v>0.09503974138</v>
      </c>
      <c r="C1896" s="39">
        <f t="array" ref="C1896">NPV(B1896,FCFF!$C$9:$I$9)+FCFF!$B$9+FCFF!$I$9*(1+Inputs!$B$6)/(B1896-Inputs!$B$6)/(1+B1896)^7</f>
        <v>-1232.51785</v>
      </c>
    </row>
    <row r="1897" ht="14.25" customHeight="1">
      <c r="A1897" s="7">
        <v>1884.0</v>
      </c>
      <c r="B1897" s="14">
        <f t="shared" si="1"/>
        <v>0.09700861002</v>
      </c>
      <c r="C1897" s="39">
        <f t="array" ref="C1897">NPV(B1897,FCFF!$C$9:$I$9)+FCFF!$B$9+FCFF!$I$9*(1+Inputs!$B$6)/(B1897-Inputs!$B$6)/(1+B1897)^7</f>
        <v>-1295.200563</v>
      </c>
    </row>
    <row r="1898" ht="14.25" customHeight="1">
      <c r="A1898" s="7">
        <v>1885.0</v>
      </c>
      <c r="B1898" s="14">
        <f t="shared" si="1"/>
        <v>0.09769099334</v>
      </c>
      <c r="C1898" s="39">
        <f t="array" ref="C1898">NPV(B1898,FCFF!$C$9:$I$9)+FCFF!$B$9+FCFF!$I$9*(1+Inputs!$B$6)/(B1898-Inputs!$B$6)/(1+B1898)^7</f>
        <v>-1316.076835</v>
      </c>
    </row>
    <row r="1899" ht="14.25" customHeight="1">
      <c r="A1899" s="7">
        <v>1886.0</v>
      </c>
      <c r="B1899" s="14">
        <f t="shared" si="1"/>
        <v>0.1113478382</v>
      </c>
      <c r="C1899" s="39">
        <f t="array" ref="C1899">NPV(B1899,FCFF!$C$9:$I$9)+FCFF!$B$9+FCFF!$I$9*(1+Inputs!$B$6)/(B1899-Inputs!$B$6)/(1+B1899)^7</f>
        <v>-1659.523028</v>
      </c>
    </row>
    <row r="1900" ht="14.25" customHeight="1">
      <c r="A1900" s="7">
        <v>1887.0</v>
      </c>
      <c r="B1900" s="14">
        <f t="shared" si="1"/>
        <v>0.1147986841</v>
      </c>
      <c r="C1900" s="39">
        <f t="array" ref="C1900">NPV(B1900,FCFF!$C$9:$I$9)+FCFF!$B$9+FCFF!$I$9*(1+Inputs!$B$6)/(B1900-Inputs!$B$6)/(1+B1900)^7</f>
        <v>-1728.377502</v>
      </c>
    </row>
    <row r="1901" ht="14.25" customHeight="1">
      <c r="A1901" s="7">
        <v>1888.0</v>
      </c>
      <c r="B1901" s="14">
        <f t="shared" si="1"/>
        <v>0.104052071</v>
      </c>
      <c r="C1901" s="39">
        <f t="array" ref="C1901">NPV(B1901,FCFF!$C$9:$I$9)+FCFF!$B$9+FCFF!$I$9*(1+Inputs!$B$6)/(B1901-Inputs!$B$6)/(1+B1901)^7</f>
        <v>-1492.082101</v>
      </c>
    </row>
    <row r="1902" ht="14.25" customHeight="1">
      <c r="A1902" s="7">
        <v>1889.0</v>
      </c>
      <c r="B1902" s="14">
        <f t="shared" si="1"/>
        <v>0.1308930336</v>
      </c>
      <c r="C1902" s="39">
        <f t="array" ref="C1902">NPV(B1902,FCFF!$C$9:$I$9)+FCFF!$B$9+FCFF!$I$9*(1+Inputs!$B$6)/(B1902-Inputs!$B$6)/(1+B1902)^7</f>
        <v>-1984.309944</v>
      </c>
    </row>
    <row r="1903" ht="14.25" customHeight="1">
      <c r="A1903" s="7">
        <v>1890.0</v>
      </c>
      <c r="B1903" s="14">
        <f t="shared" si="1"/>
        <v>0.09508139358</v>
      </c>
      <c r="C1903" s="39">
        <f t="array" ref="C1903">NPV(B1903,FCFF!$C$9:$I$9)+FCFF!$B$9+FCFF!$I$9*(1+Inputs!$B$6)/(B1903-Inputs!$B$6)/(1+B1903)^7</f>
        <v>-1233.883</v>
      </c>
    </row>
    <row r="1904" ht="14.25" customHeight="1">
      <c r="A1904" s="7">
        <v>1891.0</v>
      </c>
      <c r="B1904" s="14">
        <f t="shared" si="1"/>
        <v>0.1172901715</v>
      </c>
      <c r="C1904" s="39">
        <f t="array" ref="C1904">NPV(B1904,FCFF!$C$9:$I$9)+FCFF!$B$9+FCFF!$I$9*(1+Inputs!$B$6)/(B1904-Inputs!$B$6)/(1+B1904)^7</f>
        <v>-1774.56104</v>
      </c>
    </row>
    <row r="1905" ht="14.25" customHeight="1">
      <c r="A1905" s="7">
        <v>1892.0</v>
      </c>
      <c r="B1905" s="14">
        <f t="shared" si="1"/>
        <v>0.1191155129</v>
      </c>
      <c r="C1905" s="39">
        <f t="array" ref="C1905">NPV(B1905,FCFF!$C$9:$I$9)+FCFF!$B$9+FCFF!$I$9*(1+Inputs!$B$6)/(B1905-Inputs!$B$6)/(1+B1905)^7</f>
        <v>-1806.675848</v>
      </c>
    </row>
    <row r="1906" ht="14.25" customHeight="1">
      <c r="A1906" s="7">
        <v>1893.0</v>
      </c>
      <c r="B1906" s="14">
        <f t="shared" si="1"/>
        <v>0.09881039722</v>
      </c>
      <c r="C1906" s="39">
        <f t="array" ref="C1906">NPV(B1906,FCFF!$C$9:$I$9)+FCFF!$B$9+FCFF!$I$9*(1+Inputs!$B$6)/(B1906-Inputs!$B$6)/(1+B1906)^7</f>
        <v>-1349.425559</v>
      </c>
    </row>
    <row r="1907" ht="14.25" customHeight="1">
      <c r="A1907" s="7">
        <v>1894.0</v>
      </c>
      <c r="B1907" s="14">
        <f t="shared" si="1"/>
        <v>0.1252617903</v>
      </c>
      <c r="C1907" s="39">
        <f t="array" ref="C1907">NPV(B1907,FCFF!$C$9:$I$9)+FCFF!$B$9+FCFF!$I$9*(1+Inputs!$B$6)/(B1907-Inputs!$B$6)/(1+B1907)^7</f>
        <v>-1905.248895</v>
      </c>
    </row>
    <row r="1908" ht="14.25" customHeight="1">
      <c r="A1908" s="7">
        <v>1895.0</v>
      </c>
      <c r="B1908" s="14">
        <f t="shared" si="1"/>
        <v>0.1080772702</v>
      </c>
      <c r="C1908" s="39">
        <f t="array" ref="C1908">NPV(B1908,FCFF!$C$9:$I$9)+FCFF!$B$9+FCFF!$I$9*(1+Inputs!$B$6)/(B1908-Inputs!$B$6)/(1+B1908)^7</f>
        <v>-1588.435367</v>
      </c>
    </row>
    <row r="1909" ht="14.25" customHeight="1">
      <c r="A1909" s="7">
        <v>1896.0</v>
      </c>
      <c r="B1909" s="14">
        <f t="shared" si="1"/>
        <v>0.1084295912</v>
      </c>
      <c r="C1909" s="39">
        <f t="array" ref="C1909">NPV(B1909,FCFF!$C$9:$I$9)+FCFF!$B$9+FCFF!$I$9*(1+Inputs!$B$6)/(B1909-Inputs!$B$6)/(1+B1909)^7</f>
        <v>-1596.387078</v>
      </c>
    </row>
    <row r="1910" ht="14.25" customHeight="1">
      <c r="A1910" s="7">
        <v>1897.0</v>
      </c>
      <c r="B1910" s="14">
        <f t="shared" si="1"/>
        <v>0.1093602428</v>
      </c>
      <c r="C1910" s="39">
        <f t="array" ref="C1910">NPV(B1910,FCFF!$C$9:$I$9)+FCFF!$B$9+FCFF!$I$9*(1+Inputs!$B$6)/(B1910-Inputs!$B$6)/(1+B1910)^7</f>
        <v>-1617.042068</v>
      </c>
    </row>
    <row r="1911" ht="14.25" customHeight="1">
      <c r="A1911" s="7">
        <v>1898.0</v>
      </c>
      <c r="B1911" s="14">
        <f t="shared" si="1"/>
        <v>0.1229916149</v>
      </c>
      <c r="C1911" s="39">
        <f t="array" ref="C1911">NPV(B1911,FCFF!$C$9:$I$9)+FCFF!$B$9+FCFF!$I$9*(1+Inputs!$B$6)/(B1911-Inputs!$B$6)/(1+B1911)^7</f>
        <v>-1870.455967</v>
      </c>
    </row>
    <row r="1912" ht="14.25" customHeight="1">
      <c r="A1912" s="7">
        <v>1899.0</v>
      </c>
      <c r="B1912" s="14">
        <f t="shared" si="1"/>
        <v>0.09592015607</v>
      </c>
      <c r="C1912" s="39">
        <f t="array" ref="C1912">NPV(B1912,FCFF!$C$9:$I$9)+FCFF!$B$9+FCFF!$I$9*(1+Inputs!$B$6)/(B1912-Inputs!$B$6)/(1+B1912)^7</f>
        <v>-1261.008421</v>
      </c>
    </row>
    <row r="1913" ht="14.25" customHeight="1">
      <c r="A1913" s="7">
        <v>1900.0</v>
      </c>
      <c r="B1913" s="14">
        <f t="shared" si="1"/>
        <v>0.1103252409</v>
      </c>
      <c r="C1913" s="39">
        <f t="array" ref="C1913">NPV(B1913,FCFF!$C$9:$I$9)+FCFF!$B$9+FCFF!$I$9*(1+Inputs!$B$6)/(B1913-Inputs!$B$6)/(1+B1913)^7</f>
        <v>-1637.938405</v>
      </c>
    </row>
    <row r="1914" ht="14.25" customHeight="1">
      <c r="A1914" s="7">
        <v>1901.0</v>
      </c>
      <c r="B1914" s="14">
        <f t="shared" si="1"/>
        <v>0.1163765186</v>
      </c>
      <c r="C1914" s="39">
        <f t="array" ref="C1914">NPV(B1914,FCFF!$C$9:$I$9)+FCFF!$B$9+FCFF!$I$9*(1+Inputs!$B$6)/(B1914-Inputs!$B$6)/(1+B1914)^7</f>
        <v>-1757.949484</v>
      </c>
    </row>
    <row r="1915" ht="14.25" customHeight="1">
      <c r="A1915" s="7">
        <v>1902.0</v>
      </c>
      <c r="B1915" s="14">
        <f t="shared" si="1"/>
        <v>0.09816317979</v>
      </c>
      <c r="C1915" s="39">
        <f t="array" ref="C1915">NPV(B1915,FCFF!$C$9:$I$9)+FCFF!$B$9+FCFF!$I$9*(1+Inputs!$B$6)/(B1915-Inputs!$B$6)/(1+B1915)^7</f>
        <v>-1330.277787</v>
      </c>
    </row>
    <row r="1916" ht="14.25" customHeight="1">
      <c r="A1916" s="7">
        <v>1903.0</v>
      </c>
      <c r="B1916" s="14">
        <f t="shared" si="1"/>
        <v>0.1316209014</v>
      </c>
      <c r="C1916" s="39">
        <f t="array" ref="C1916">NPV(B1916,FCFF!$C$9:$I$9)+FCFF!$B$9+FCFF!$I$9*(1+Inputs!$B$6)/(B1916-Inputs!$B$6)/(1+B1916)^7</f>
        <v>-1993.837747</v>
      </c>
    </row>
    <row r="1917" ht="14.25" customHeight="1">
      <c r="A1917" s="7">
        <v>1904.0</v>
      </c>
      <c r="B1917" s="14">
        <f t="shared" si="1"/>
        <v>0.1140780094</v>
      </c>
      <c r="C1917" s="39">
        <f t="array" ref="C1917">NPV(B1917,FCFF!$C$9:$I$9)+FCFF!$B$9+FCFF!$I$9*(1+Inputs!$B$6)/(B1917-Inputs!$B$6)/(1+B1917)^7</f>
        <v>-1714.4841</v>
      </c>
    </row>
    <row r="1918" ht="14.25" customHeight="1">
      <c r="A1918" s="7">
        <v>1905.0</v>
      </c>
      <c r="B1918" s="14">
        <f t="shared" si="1"/>
        <v>0.09725977348</v>
      </c>
      <c r="C1918" s="39">
        <f t="array" ref="C1918">NPV(B1918,FCFF!$C$9:$I$9)+FCFF!$B$9+FCFF!$I$9*(1+Inputs!$B$6)/(B1918-Inputs!$B$6)/(1+B1918)^7</f>
        <v>-1302.933684</v>
      </c>
    </row>
    <row r="1919" ht="14.25" customHeight="1">
      <c r="A1919" s="7">
        <v>1906.0</v>
      </c>
      <c r="B1919" s="14">
        <f t="shared" si="1"/>
        <v>0.1036998326</v>
      </c>
      <c r="C1919" s="39">
        <f t="array" ref="C1919">NPV(B1919,FCFF!$C$9:$I$9)+FCFF!$B$9+FCFF!$I$9*(1+Inputs!$B$6)/(B1919-Inputs!$B$6)/(1+B1919)^7</f>
        <v>-1483.139199</v>
      </c>
    </row>
    <row r="1920" ht="14.25" customHeight="1">
      <c r="A1920" s="7">
        <v>1907.0</v>
      </c>
      <c r="B1920" s="14">
        <f t="shared" si="1"/>
        <v>0.09861557547</v>
      </c>
      <c r="C1920" s="39">
        <f t="array" ref="C1920">NPV(B1920,FCFF!$C$9:$I$9)+FCFF!$B$9+FCFF!$I$9*(1+Inputs!$B$6)/(B1920-Inputs!$B$6)/(1+B1920)^7</f>
        <v>-1343.699905</v>
      </c>
    </row>
    <row r="1921" ht="14.25" customHeight="1">
      <c r="A1921" s="7">
        <v>1908.0</v>
      </c>
      <c r="B1921" s="14">
        <f t="shared" si="1"/>
        <v>0.1053657432</v>
      </c>
      <c r="C1921" s="39">
        <f t="array" ref="C1921">NPV(B1921,FCFF!$C$9:$I$9)+FCFF!$B$9+FCFF!$I$9*(1+Inputs!$B$6)/(B1921-Inputs!$B$6)/(1+B1921)^7</f>
        <v>-1524.684309</v>
      </c>
    </row>
    <row r="1922" ht="14.25" customHeight="1">
      <c r="A1922" s="7">
        <v>1909.0</v>
      </c>
      <c r="B1922" s="14">
        <f t="shared" si="1"/>
        <v>0.09520448035</v>
      </c>
      <c r="C1922" s="39">
        <f t="array" ref="C1922">NPV(B1922,FCFF!$C$9:$I$9)+FCFF!$B$9+FCFF!$I$9*(1+Inputs!$B$6)/(B1922-Inputs!$B$6)/(1+B1922)^7</f>
        <v>-1237.907041</v>
      </c>
    </row>
    <row r="1923" ht="14.25" customHeight="1">
      <c r="A1923" s="7">
        <v>1910.0</v>
      </c>
      <c r="B1923" s="14">
        <f t="shared" si="1"/>
        <v>0.1288941399</v>
      </c>
      <c r="C1923" s="39">
        <f t="array" ref="C1923">NPV(B1923,FCFF!$C$9:$I$9)+FCFF!$B$9+FCFF!$I$9*(1+Inputs!$B$6)/(B1923-Inputs!$B$6)/(1+B1923)^7</f>
        <v>-1957.359505</v>
      </c>
    </row>
    <row r="1924" ht="14.25" customHeight="1">
      <c r="A1924" s="7">
        <v>1911.0</v>
      </c>
      <c r="B1924" s="14">
        <f t="shared" si="1"/>
        <v>0.1167260269</v>
      </c>
      <c r="C1924" s="39">
        <f t="array" ref="C1924">NPV(B1924,FCFF!$C$9:$I$9)+FCFF!$B$9+FCFF!$I$9*(1+Inputs!$B$6)/(B1924-Inputs!$B$6)/(1+B1924)^7</f>
        <v>-1764.347483</v>
      </c>
    </row>
    <row r="1925" ht="14.25" customHeight="1">
      <c r="A1925" s="7">
        <v>1912.0</v>
      </c>
      <c r="B1925" s="14">
        <f t="shared" si="1"/>
        <v>0.1022617381</v>
      </c>
      <c r="C1925" s="39">
        <f t="array" ref="C1925">NPV(B1925,FCFF!$C$9:$I$9)+FCFF!$B$9+FCFF!$I$9*(1+Inputs!$B$6)/(B1925-Inputs!$B$6)/(1+B1925)^7</f>
        <v>-1445.709099</v>
      </c>
    </row>
    <row r="1926" ht="14.25" customHeight="1">
      <c r="A1926" s="7">
        <v>1913.0</v>
      </c>
      <c r="B1926" s="14">
        <f t="shared" si="1"/>
        <v>0.1184514118</v>
      </c>
      <c r="C1926" s="39">
        <f t="array" ref="C1926">NPV(B1926,FCFF!$C$9:$I$9)+FCFF!$B$9+FCFF!$I$9*(1+Inputs!$B$6)/(B1926-Inputs!$B$6)/(1+B1926)^7</f>
        <v>-1795.153451</v>
      </c>
    </row>
    <row r="1927" ht="14.25" customHeight="1">
      <c r="A1927" s="7">
        <v>1914.0</v>
      </c>
      <c r="B1927" s="14">
        <f t="shared" si="1"/>
        <v>0.1244564606</v>
      </c>
      <c r="C1927" s="39">
        <f t="array" ref="C1927">NPV(B1927,FCFF!$C$9:$I$9)+FCFF!$B$9+FCFF!$I$9*(1+Inputs!$B$6)/(B1927-Inputs!$B$6)/(1+B1927)^7</f>
        <v>-1893.111091</v>
      </c>
    </row>
    <row r="1928" ht="14.25" customHeight="1">
      <c r="A1928" s="7">
        <v>1915.0</v>
      </c>
      <c r="B1928" s="14">
        <f t="shared" si="1"/>
        <v>0.1141165014</v>
      </c>
      <c r="C1928" s="39">
        <f t="array" ref="C1928">NPV(B1928,FCFF!$C$9:$I$9)+FCFF!$B$9+FCFF!$I$9*(1+Inputs!$B$6)/(B1928-Inputs!$B$6)/(1+B1928)^7</f>
        <v>-1715.232444</v>
      </c>
    </row>
    <row r="1929" ht="14.25" customHeight="1">
      <c r="A1929" s="7">
        <v>1916.0</v>
      </c>
      <c r="B1929" s="14">
        <f t="shared" si="1"/>
        <v>0.09713079232</v>
      </c>
      <c r="C1929" s="39">
        <f t="array" ref="C1929">NPV(B1929,FCFF!$C$9:$I$9)+FCFF!$B$9+FCFF!$I$9*(1+Inputs!$B$6)/(B1929-Inputs!$B$6)/(1+B1929)^7</f>
        <v>-1298.969678</v>
      </c>
    </row>
    <row r="1930" ht="14.25" customHeight="1">
      <c r="A1930" s="7">
        <v>1917.0</v>
      </c>
      <c r="B1930" s="14">
        <f t="shared" si="1"/>
        <v>0.1107703462</v>
      </c>
      <c r="C1930" s="39">
        <f t="array" ref="C1930">NPV(B1930,FCFF!$C$9:$I$9)+FCFF!$B$9+FCFF!$I$9*(1+Inputs!$B$6)/(B1930-Inputs!$B$6)/(1+B1930)^7</f>
        <v>-1647.403044</v>
      </c>
    </row>
    <row r="1931" ht="14.25" customHeight="1">
      <c r="A1931" s="7">
        <v>1918.0</v>
      </c>
      <c r="B1931" s="14">
        <f t="shared" si="1"/>
        <v>0.09645775809</v>
      </c>
      <c r="C1931" s="39">
        <f t="array" ref="C1931">NPV(B1931,FCFF!$C$9:$I$9)+FCFF!$B$9+FCFF!$I$9*(1+Inputs!$B$6)/(B1931-Inputs!$B$6)/(1+B1931)^7</f>
        <v>-1278.035952</v>
      </c>
    </row>
    <row r="1932" ht="14.25" customHeight="1">
      <c r="A1932" s="7">
        <v>1919.0</v>
      </c>
      <c r="B1932" s="14">
        <f t="shared" si="1"/>
        <v>0.1223830879</v>
      </c>
      <c r="C1932" s="39">
        <f t="array" ref="C1932">NPV(B1932,FCFF!$C$9:$I$9)+FCFF!$B$9+FCFF!$I$9*(1+Inputs!$B$6)/(B1932-Inputs!$B$6)/(1+B1932)^7</f>
        <v>-1860.818961</v>
      </c>
    </row>
    <row r="1933" ht="14.25" customHeight="1">
      <c r="A1933" s="7">
        <v>1920.0</v>
      </c>
      <c r="B1933" s="14">
        <f t="shared" si="1"/>
        <v>0.1074909084</v>
      </c>
      <c r="C1933" s="39">
        <f t="array" ref="C1933">NPV(B1933,FCFF!$C$9:$I$9)+FCFF!$B$9+FCFF!$I$9*(1+Inputs!$B$6)/(B1933-Inputs!$B$6)/(1+B1933)^7</f>
        <v>-1575.03673</v>
      </c>
    </row>
    <row r="1934" ht="14.25" customHeight="1">
      <c r="A1934" s="7">
        <v>1921.0</v>
      </c>
      <c r="B1934" s="14">
        <f t="shared" si="1"/>
        <v>0.1153862818</v>
      </c>
      <c r="C1934" s="39">
        <f t="array" ref="C1934">NPV(B1934,FCFF!$C$9:$I$9)+FCFF!$B$9+FCFF!$I$9*(1+Inputs!$B$6)/(B1934-Inputs!$B$6)/(1+B1934)^7</f>
        <v>-1739.524077</v>
      </c>
    </row>
    <row r="1935" ht="14.25" customHeight="1">
      <c r="A1935" s="7">
        <v>1922.0</v>
      </c>
      <c r="B1935" s="14">
        <f t="shared" si="1"/>
        <v>0.127170795</v>
      </c>
      <c r="C1935" s="39">
        <f t="array" ref="C1935">NPV(B1935,FCFF!$C$9:$I$9)+FCFF!$B$9+FCFF!$I$9*(1+Inputs!$B$6)/(B1935-Inputs!$B$6)/(1+B1935)^7</f>
        <v>-1933.159279</v>
      </c>
    </row>
    <row r="1936" ht="14.25" customHeight="1">
      <c r="A1936" s="7">
        <v>1923.0</v>
      </c>
      <c r="B1936" s="14">
        <f t="shared" si="1"/>
        <v>0.115836769</v>
      </c>
      <c r="C1936" s="39">
        <f t="array" ref="C1936">NPV(B1936,FCFF!$C$9:$I$9)+FCFF!$B$9+FCFF!$I$9*(1+Inputs!$B$6)/(B1936-Inputs!$B$6)/(1+B1936)^7</f>
        <v>-1747.961562</v>
      </c>
    </row>
    <row r="1937" ht="14.25" customHeight="1">
      <c r="A1937" s="7">
        <v>1924.0</v>
      </c>
      <c r="B1937" s="14">
        <f t="shared" si="1"/>
        <v>0.1028486896</v>
      </c>
      <c r="C1937" s="39">
        <f t="array" ref="C1937">NPV(B1937,FCFF!$C$9:$I$9)+FCFF!$B$9+FCFF!$I$9*(1+Inputs!$B$6)/(B1937-Inputs!$B$6)/(1+B1937)^7</f>
        <v>-1461.167054</v>
      </c>
    </row>
    <row r="1938" ht="14.25" customHeight="1">
      <c r="A1938" s="7">
        <v>1925.0</v>
      </c>
      <c r="B1938" s="14">
        <f t="shared" si="1"/>
        <v>0.1088200767</v>
      </c>
      <c r="C1938" s="39">
        <f t="array" ref="C1938">NPV(B1938,FCFF!$C$9:$I$9)+FCFF!$B$9+FCFF!$I$9*(1+Inputs!$B$6)/(B1938-Inputs!$B$6)/(1+B1938)^7</f>
        <v>-1605.11472</v>
      </c>
    </row>
    <row r="1939" ht="14.25" customHeight="1">
      <c r="A1939" s="7">
        <v>1926.0</v>
      </c>
      <c r="B1939" s="14">
        <f t="shared" si="1"/>
        <v>0.1178841729</v>
      </c>
      <c r="C1939" s="39">
        <f t="array" ref="C1939">NPV(B1939,FCFF!$C$9:$I$9)+FCFF!$B$9+FCFF!$I$9*(1+Inputs!$B$6)/(B1939-Inputs!$B$6)/(1+B1939)^7</f>
        <v>-1785.166142</v>
      </c>
    </row>
    <row r="1940" ht="14.25" customHeight="1">
      <c r="A1940" s="7">
        <v>1927.0</v>
      </c>
      <c r="B1940" s="14">
        <f t="shared" si="1"/>
        <v>0.1084236869</v>
      </c>
      <c r="C1940" s="39">
        <f t="array" ref="C1940">NPV(B1940,FCFF!$C$9:$I$9)+FCFF!$B$9+FCFF!$I$9*(1+Inputs!$B$6)/(B1940-Inputs!$B$6)/(1+B1940)^7</f>
        <v>-1596.254426</v>
      </c>
    </row>
    <row r="1941" ht="14.25" customHeight="1">
      <c r="A1941" s="7">
        <v>1928.0</v>
      </c>
      <c r="B1941" s="14">
        <f t="shared" si="1"/>
        <v>0.09471181091</v>
      </c>
      <c r="C1941" s="39">
        <f t="array" ref="C1941">NPV(B1941,FCFF!$C$9:$I$9)+FCFF!$B$9+FCFF!$I$9*(1+Inputs!$B$6)/(B1941-Inputs!$B$6)/(1+B1941)^7</f>
        <v>-1221.70898</v>
      </c>
    </row>
    <row r="1942" ht="14.25" customHeight="1">
      <c r="A1942" s="7">
        <v>1929.0</v>
      </c>
      <c r="B1942" s="14">
        <f t="shared" si="1"/>
        <v>0.1016222896</v>
      </c>
      <c r="C1942" s="39">
        <f t="array" ref="C1942">NPV(B1942,FCFF!$C$9:$I$9)+FCFF!$B$9+FCFF!$I$9*(1+Inputs!$B$6)/(B1942-Inputs!$B$6)/(1+B1942)^7</f>
        <v>-1428.57661</v>
      </c>
    </row>
    <row r="1943" ht="14.25" customHeight="1">
      <c r="A1943" s="7">
        <v>1930.0</v>
      </c>
      <c r="B1943" s="14">
        <f t="shared" si="1"/>
        <v>0.1220839977</v>
      </c>
      <c r="C1943" s="39">
        <f t="array" ref="C1943">NPV(B1943,FCFF!$C$9:$I$9)+FCFF!$B$9+FCFF!$I$9*(1+Inputs!$B$6)/(B1943-Inputs!$B$6)/(1+B1943)^7</f>
        <v>-1856.032637</v>
      </c>
    </row>
    <row r="1944" ht="14.25" customHeight="1">
      <c r="A1944" s="7">
        <v>1931.0</v>
      </c>
      <c r="B1944" s="14">
        <f t="shared" si="1"/>
        <v>0.1003590437</v>
      </c>
      <c r="C1944" s="39">
        <f t="array" ref="C1944">NPV(B1944,FCFF!$C$9:$I$9)+FCFF!$B$9+FCFF!$I$9*(1+Inputs!$B$6)/(B1944-Inputs!$B$6)/(1+B1944)^7</f>
        <v>-1393.806188</v>
      </c>
    </row>
    <row r="1945" ht="14.25" customHeight="1">
      <c r="A1945" s="7">
        <v>1932.0</v>
      </c>
      <c r="B1945" s="14">
        <f t="shared" si="1"/>
        <v>0.1134272432</v>
      </c>
      <c r="C1945" s="39">
        <f t="array" ref="C1945">NPV(B1945,FCFF!$C$9:$I$9)+FCFF!$B$9+FCFF!$I$9*(1+Inputs!$B$6)/(B1945-Inputs!$B$6)/(1+B1945)^7</f>
        <v>-1701.723157</v>
      </c>
    </row>
    <row r="1946" ht="14.25" customHeight="1">
      <c r="A1946" s="7">
        <v>1933.0</v>
      </c>
      <c r="B1946" s="14">
        <f t="shared" si="1"/>
        <v>0.1097367871</v>
      </c>
      <c r="C1946" s="39">
        <f t="array" ref="C1946">NPV(B1946,FCFF!$C$9:$I$9)+FCFF!$B$9+FCFF!$I$9*(1+Inputs!$B$6)/(B1946-Inputs!$B$6)/(1+B1946)^7</f>
        <v>-1625.257977</v>
      </c>
    </row>
    <row r="1947" ht="14.25" customHeight="1">
      <c r="A1947" s="7">
        <v>1934.0</v>
      </c>
      <c r="B1947" s="14">
        <f t="shared" si="1"/>
        <v>0.1069682528</v>
      </c>
      <c r="C1947" s="39">
        <f t="array" ref="C1947">NPV(B1947,FCFF!$C$9:$I$9)+FCFF!$B$9+FCFF!$I$9*(1+Inputs!$B$6)/(B1947-Inputs!$B$6)/(1+B1947)^7</f>
        <v>-1562.91718</v>
      </c>
    </row>
    <row r="1948" ht="14.25" customHeight="1">
      <c r="A1948" s="7">
        <v>1935.0</v>
      </c>
      <c r="B1948" s="14">
        <f t="shared" si="1"/>
        <v>0.1314338579</v>
      </c>
      <c r="C1948" s="39">
        <f t="array" ref="C1948">NPV(B1948,FCFF!$C$9:$I$9)+FCFF!$B$9+FCFF!$I$9*(1+Inputs!$B$6)/(B1948-Inputs!$B$6)/(1+B1948)^7</f>
        <v>-1991.403554</v>
      </c>
    </row>
    <row r="1949" ht="14.25" customHeight="1">
      <c r="A1949" s="7">
        <v>1936.0</v>
      </c>
      <c r="B1949" s="14">
        <f t="shared" si="1"/>
        <v>0.1081892213</v>
      </c>
      <c r="C1949" s="39">
        <f t="array" ref="C1949">NPV(B1949,FCFF!$C$9:$I$9)+FCFF!$B$9+FCFF!$I$9*(1+Inputs!$B$6)/(B1949-Inputs!$B$6)/(1+B1949)^7</f>
        <v>-1590.970034</v>
      </c>
    </row>
    <row r="1950" ht="14.25" customHeight="1">
      <c r="A1950" s="7">
        <v>1937.0</v>
      </c>
      <c r="B1950" s="14">
        <f t="shared" si="1"/>
        <v>0.09323850427</v>
      </c>
      <c r="C1950" s="39">
        <f t="array" ref="C1950">NPV(B1950,FCFF!$C$9:$I$9)+FCFF!$B$9+FCFF!$I$9*(1+Inputs!$B$6)/(B1950-Inputs!$B$6)/(1+B1950)^7</f>
        <v>-1171.776514</v>
      </c>
    </row>
    <row r="1951" ht="14.25" customHeight="1">
      <c r="A1951" s="7">
        <v>1938.0</v>
      </c>
      <c r="B1951" s="14">
        <f t="shared" si="1"/>
        <v>0.1270792837</v>
      </c>
      <c r="C1951" s="39">
        <f t="array" ref="C1951">NPV(B1951,FCFF!$C$9:$I$9)+FCFF!$B$9+FCFF!$I$9*(1+Inputs!$B$6)/(B1951-Inputs!$B$6)/(1+B1951)^7</f>
        <v>-1931.848285</v>
      </c>
    </row>
    <row r="1952" ht="14.25" customHeight="1">
      <c r="A1952" s="7">
        <v>1939.0</v>
      </c>
      <c r="B1952" s="14">
        <f t="shared" si="1"/>
        <v>0.1090866214</v>
      </c>
      <c r="C1952" s="39">
        <f t="array" ref="C1952">NPV(B1952,FCFF!$C$9:$I$9)+FCFF!$B$9+FCFF!$I$9*(1+Inputs!$B$6)/(B1952-Inputs!$B$6)/(1+B1952)^7</f>
        <v>-1611.021244</v>
      </c>
    </row>
    <row r="1953" ht="14.25" customHeight="1">
      <c r="A1953" s="7">
        <v>1940.0</v>
      </c>
      <c r="B1953" s="14">
        <f t="shared" si="1"/>
        <v>0.1155062663</v>
      </c>
      <c r="C1953" s="39">
        <f t="array" ref="C1953">NPV(B1953,FCFF!$C$9:$I$9)+FCFF!$B$9+FCFF!$I$9*(1+Inputs!$B$6)/(B1953-Inputs!$B$6)/(1+B1953)^7</f>
        <v>-1741.780446</v>
      </c>
    </row>
    <row r="1954" ht="14.25" customHeight="1">
      <c r="A1954" s="7">
        <v>1941.0</v>
      </c>
      <c r="B1954" s="14">
        <f t="shared" si="1"/>
        <v>0.09844755359</v>
      </c>
      <c r="C1954" s="39">
        <f t="array" ref="C1954">NPV(B1954,FCFF!$C$9:$I$9)+FCFF!$B$9+FCFF!$I$9*(1+Inputs!$B$6)/(B1954-Inputs!$B$6)/(1+B1954)^7</f>
        <v>-1338.735625</v>
      </c>
    </row>
    <row r="1955" ht="14.25" customHeight="1">
      <c r="A1955" s="7">
        <v>1942.0</v>
      </c>
      <c r="B1955" s="14">
        <f t="shared" si="1"/>
        <v>0.0959101068</v>
      </c>
      <c r="C1955" s="39">
        <f t="array" ref="C1955">NPV(B1955,FCFF!$C$9:$I$9)+FCFF!$B$9+FCFF!$I$9*(1+Inputs!$B$6)/(B1955-Inputs!$B$6)/(1+B1955)^7</f>
        <v>-1260.687494</v>
      </c>
    </row>
    <row r="1956" ht="14.25" customHeight="1">
      <c r="A1956" s="7">
        <v>1943.0</v>
      </c>
      <c r="B1956" s="14">
        <f t="shared" si="1"/>
        <v>0.116714712</v>
      </c>
      <c r="C1956" s="39">
        <f t="array" ref="C1956">NPV(B1956,FCFF!$C$9:$I$9)+FCFF!$B$9+FCFF!$I$9*(1+Inputs!$B$6)/(B1956-Inputs!$B$6)/(1+B1956)^7</f>
        <v>-1764.141202</v>
      </c>
    </row>
    <row r="1957" ht="14.25" customHeight="1">
      <c r="A1957" s="7">
        <v>1944.0</v>
      </c>
      <c r="B1957" s="14">
        <f t="shared" si="1"/>
        <v>0.1066118807</v>
      </c>
      <c r="C1957" s="39">
        <f t="array" ref="C1957">NPV(B1957,FCFF!$C$9:$I$9)+FCFF!$B$9+FCFF!$I$9*(1+Inputs!$B$6)/(B1957-Inputs!$B$6)/(1+B1957)^7</f>
        <v>-1554.556287</v>
      </c>
    </row>
    <row r="1958" ht="14.25" customHeight="1">
      <c r="A1958" s="7">
        <v>1945.0</v>
      </c>
      <c r="B1958" s="14">
        <f t="shared" si="1"/>
        <v>0.1049297028</v>
      </c>
      <c r="C1958" s="39">
        <f t="array" ref="C1958">NPV(B1958,FCFF!$C$9:$I$9)+FCFF!$B$9+FCFF!$I$9*(1+Inputs!$B$6)/(B1958-Inputs!$B$6)/(1+B1958)^7</f>
        <v>-1513.991991</v>
      </c>
    </row>
    <row r="1959" ht="14.25" customHeight="1">
      <c r="A1959" s="7">
        <v>1946.0</v>
      </c>
      <c r="B1959" s="14">
        <f t="shared" si="1"/>
        <v>0.1196605652</v>
      </c>
      <c r="C1959" s="39">
        <f t="array" ref="C1959">NPV(B1959,FCFF!$C$9:$I$9)+FCFF!$B$9+FCFF!$I$9*(1+Inputs!$B$6)/(B1959-Inputs!$B$6)/(1+B1959)^7</f>
        <v>-1815.998031</v>
      </c>
    </row>
    <row r="1960" ht="14.25" customHeight="1">
      <c r="A1960" s="7">
        <v>1947.0</v>
      </c>
      <c r="B1960" s="14">
        <f t="shared" si="1"/>
        <v>0.1313332205</v>
      </c>
      <c r="C1960" s="39">
        <f t="array" ref="C1960">NPV(B1960,FCFF!$C$9:$I$9)+FCFF!$B$9+FCFF!$I$9*(1+Inputs!$B$6)/(B1960-Inputs!$B$6)/(1+B1960)^7</f>
        <v>-1990.089806</v>
      </c>
    </row>
    <row r="1961" ht="14.25" customHeight="1">
      <c r="A1961" s="7">
        <v>1948.0</v>
      </c>
      <c r="B1961" s="14">
        <f t="shared" si="1"/>
        <v>0.1057488449</v>
      </c>
      <c r="C1961" s="39">
        <f t="array" ref="C1961">NPV(B1961,FCFF!$C$9:$I$9)+FCFF!$B$9+FCFF!$I$9*(1+Inputs!$B$6)/(B1961-Inputs!$B$6)/(1+B1961)^7</f>
        <v>-1533.974832</v>
      </c>
    </row>
    <row r="1962" ht="14.25" customHeight="1">
      <c r="A1962" s="7">
        <v>1949.0</v>
      </c>
      <c r="B1962" s="14">
        <f t="shared" si="1"/>
        <v>0.1106510208</v>
      </c>
      <c r="C1962" s="39">
        <f t="array" ref="C1962">NPV(B1962,FCFF!$C$9:$I$9)+FCFF!$B$9+FCFF!$I$9*(1+Inputs!$B$6)/(B1962-Inputs!$B$6)/(1+B1962)^7</f>
        <v>-1644.87633</v>
      </c>
    </row>
    <row r="1963" ht="14.25" customHeight="1">
      <c r="A1963" s="7">
        <v>1950.0</v>
      </c>
      <c r="B1963" s="14">
        <f t="shared" si="1"/>
        <v>0.1118896759</v>
      </c>
      <c r="C1963" s="39">
        <f t="array" ref="C1963">NPV(B1963,FCFF!$C$9:$I$9)+FCFF!$B$9+FCFF!$I$9*(1+Inputs!$B$6)/(B1963-Inputs!$B$6)/(1+B1963)^7</f>
        <v>-1670.733704</v>
      </c>
    </row>
    <row r="1964" ht="14.25" customHeight="1">
      <c r="A1964" s="7">
        <v>1951.0</v>
      </c>
      <c r="B1964" s="14">
        <f t="shared" si="1"/>
        <v>0.1295716862</v>
      </c>
      <c r="C1964" s="39">
        <f t="array" ref="C1964">NPV(B1964,FCFF!$C$9:$I$9)+FCFF!$B$9+FCFF!$I$9*(1+Inputs!$B$6)/(B1964-Inputs!$B$6)/(1+B1964)^7</f>
        <v>-1966.626151</v>
      </c>
    </row>
    <row r="1965" ht="14.25" customHeight="1">
      <c r="A1965" s="7">
        <v>1952.0</v>
      </c>
      <c r="B1965" s="14">
        <f t="shared" si="1"/>
        <v>0.1089523654</v>
      </c>
      <c r="C1965" s="39">
        <f t="array" ref="C1965">NPV(B1965,FCFF!$C$9:$I$9)+FCFF!$B$9+FCFF!$I$9*(1+Inputs!$B$6)/(B1965-Inputs!$B$6)/(1+B1965)^7</f>
        <v>-1608.051319</v>
      </c>
    </row>
    <row r="1966" ht="14.25" customHeight="1">
      <c r="A1966" s="7">
        <v>1953.0</v>
      </c>
      <c r="B1966" s="14">
        <f t="shared" si="1"/>
        <v>0.1065623542</v>
      </c>
      <c r="C1966" s="39">
        <f t="array" ref="C1966">NPV(B1966,FCFF!$C$9:$I$9)+FCFF!$B$9+FCFF!$I$9*(1+Inputs!$B$6)/(B1966-Inputs!$B$6)/(1+B1966)^7</f>
        <v>-1553.388029</v>
      </c>
    </row>
    <row r="1967" ht="14.25" customHeight="1">
      <c r="A1967" s="7">
        <v>1954.0</v>
      </c>
      <c r="B1967" s="14">
        <f t="shared" si="1"/>
        <v>0.09863080655</v>
      </c>
      <c r="C1967" s="39">
        <f t="array" ref="C1967">NPV(B1967,FCFF!$C$9:$I$9)+FCFF!$B$9+FCFF!$I$9*(1+Inputs!$B$6)/(B1967-Inputs!$B$6)/(1+B1967)^7</f>
        <v>-1344.148709</v>
      </c>
    </row>
    <row r="1968" ht="14.25" customHeight="1">
      <c r="A1968" s="7">
        <v>1955.0</v>
      </c>
      <c r="B1968" s="14">
        <f t="shared" si="1"/>
        <v>0.1171320085</v>
      </c>
      <c r="C1968" s="39">
        <f t="array" ref="C1968">NPV(B1968,FCFF!$C$9:$I$9)+FCFF!$B$9+FCFF!$I$9*(1+Inputs!$B$6)/(B1968-Inputs!$B$6)/(1+B1968)^7</f>
        <v>-1771.711601</v>
      </c>
    </row>
    <row r="1969" ht="14.25" customHeight="1">
      <c r="A1969" s="7">
        <v>1956.0</v>
      </c>
      <c r="B1969" s="14">
        <f t="shared" si="1"/>
        <v>0.1069026249</v>
      </c>
      <c r="C1969" s="39">
        <f t="array" ref="C1969">NPV(B1969,FCFF!$C$9:$I$9)+FCFF!$B$9+FCFF!$I$9*(1+Inputs!$B$6)/(B1969-Inputs!$B$6)/(1+B1969)^7</f>
        <v>-1561.383439</v>
      </c>
    </row>
    <row r="1970" ht="14.25" customHeight="1">
      <c r="A1970" s="7">
        <v>1957.0</v>
      </c>
      <c r="B1970" s="14">
        <f t="shared" si="1"/>
        <v>0.1161470594</v>
      </c>
      <c r="C1970" s="39">
        <f t="array" ref="C1970">NPV(B1970,FCFF!$C$9:$I$9)+FCFF!$B$9+FCFF!$I$9*(1+Inputs!$B$6)/(B1970-Inputs!$B$6)/(1+B1970)^7</f>
        <v>-1753.71944</v>
      </c>
    </row>
    <row r="1971" ht="14.25" customHeight="1">
      <c r="A1971" s="7">
        <v>1958.0</v>
      </c>
      <c r="B1971" s="14">
        <f t="shared" si="1"/>
        <v>0.1306066594</v>
      </c>
      <c r="C1971" s="39">
        <f t="array" ref="C1971">NPV(B1971,FCFF!$C$9:$I$9)+FCFF!$B$9+FCFF!$I$9*(1+Inputs!$B$6)/(B1971-Inputs!$B$6)/(1+B1971)^7</f>
        <v>-1980.520168</v>
      </c>
    </row>
    <row r="1972" ht="14.25" customHeight="1">
      <c r="A1972" s="7">
        <v>1959.0</v>
      </c>
      <c r="B1972" s="14">
        <f t="shared" si="1"/>
        <v>0.1192136628</v>
      </c>
      <c r="C1972" s="39">
        <f t="array" ref="C1972">NPV(B1972,FCFF!$C$9:$I$9)+FCFF!$B$9+FCFF!$I$9*(1+Inputs!$B$6)/(B1972-Inputs!$B$6)/(1+B1972)^7</f>
        <v>-1808.363423</v>
      </c>
    </row>
    <row r="1973" ht="14.25" customHeight="1">
      <c r="A1973" s="7">
        <v>1960.0</v>
      </c>
      <c r="B1973" s="14">
        <f t="shared" si="1"/>
        <v>0.1256126051</v>
      </c>
      <c r="C1973" s="39">
        <f t="array" ref="C1973">NPV(B1973,FCFF!$C$9:$I$9)+FCFF!$B$9+FCFF!$I$9*(1+Inputs!$B$6)/(B1973-Inputs!$B$6)/(1+B1973)^7</f>
        <v>-1910.467793</v>
      </c>
    </row>
    <row r="1974" ht="14.25" customHeight="1">
      <c r="A1974" s="7">
        <v>1961.0</v>
      </c>
      <c r="B1974" s="14">
        <f t="shared" si="1"/>
        <v>0.1259732651</v>
      </c>
      <c r="C1974" s="39">
        <f t="array" ref="C1974">NPV(B1974,FCFF!$C$9:$I$9)+FCFF!$B$9+FCFF!$I$9*(1+Inputs!$B$6)/(B1974-Inputs!$B$6)/(1+B1974)^7</f>
        <v>-1915.790466</v>
      </c>
    </row>
    <row r="1975" ht="14.25" customHeight="1">
      <c r="A1975" s="7">
        <v>1962.0</v>
      </c>
      <c r="B1975" s="14">
        <f t="shared" si="1"/>
        <v>0.1225013279</v>
      </c>
      <c r="C1975" s="39">
        <f t="array" ref="C1975">NPV(B1975,FCFF!$C$9:$I$9)+FCFF!$B$9+FCFF!$I$9*(1+Inputs!$B$6)/(B1975-Inputs!$B$6)/(1+B1975)^7</f>
        <v>-1862.70206</v>
      </c>
    </row>
    <row r="1976" ht="14.25" customHeight="1">
      <c r="A1976" s="7">
        <v>1963.0</v>
      </c>
      <c r="B1976" s="14">
        <f t="shared" si="1"/>
        <v>0.09804511938</v>
      </c>
      <c r="C1976" s="39">
        <f t="array" ref="C1976">NPV(B1976,FCFF!$C$9:$I$9)+FCFF!$B$9+FCFF!$I$9*(1+Inputs!$B$6)/(B1976-Inputs!$B$6)/(1+B1976)^7</f>
        <v>-1326.745633</v>
      </c>
    </row>
    <row r="1977" ht="14.25" customHeight="1">
      <c r="A1977" s="7">
        <v>1964.0</v>
      </c>
      <c r="B1977" s="14">
        <f t="shared" si="1"/>
        <v>0.1251623682</v>
      </c>
      <c r="C1977" s="39">
        <f t="array" ref="C1977">NPV(B1977,FCFF!$C$9:$I$9)+FCFF!$B$9+FCFF!$I$9*(1+Inputs!$B$6)/(B1977-Inputs!$B$6)/(1+B1977)^7</f>
        <v>-1903.762333</v>
      </c>
    </row>
    <row r="1978" ht="14.25" customHeight="1">
      <c r="A1978" s="7">
        <v>1965.0</v>
      </c>
      <c r="B1978" s="14">
        <f t="shared" si="1"/>
        <v>0.1100497264</v>
      </c>
      <c r="C1978" s="39">
        <f t="array" ref="C1978">NPV(B1978,FCFF!$C$9:$I$9)+FCFF!$B$9+FCFF!$I$9*(1+Inputs!$B$6)/(B1978-Inputs!$B$6)/(1+B1978)^7</f>
        <v>-1632.02539</v>
      </c>
    </row>
    <row r="1979" ht="14.25" customHeight="1">
      <c r="A1979" s="7">
        <v>1966.0</v>
      </c>
      <c r="B1979" s="14">
        <f t="shared" si="1"/>
        <v>0.118817019</v>
      </c>
      <c r="C1979" s="39">
        <f t="array" ref="C1979">NPV(B1979,FCFF!$C$9:$I$9)+FCFF!$B$9+FCFF!$I$9*(1+Inputs!$B$6)/(B1979-Inputs!$B$6)/(1+B1979)^7</f>
        <v>-1801.519375</v>
      </c>
    </row>
    <row r="1980" ht="14.25" customHeight="1">
      <c r="A1980" s="7">
        <v>1967.0</v>
      </c>
      <c r="B1980" s="14">
        <f t="shared" si="1"/>
        <v>0.1185431986</v>
      </c>
      <c r="C1980" s="39">
        <f t="array" ref="C1980">NPV(B1980,FCFF!$C$9:$I$9)+FCFF!$B$9+FCFF!$I$9*(1+Inputs!$B$6)/(B1980-Inputs!$B$6)/(1+B1980)^7</f>
        <v>-1796.756851</v>
      </c>
    </row>
    <row r="1981" ht="14.25" customHeight="1">
      <c r="A1981" s="7">
        <v>1968.0</v>
      </c>
      <c r="B1981" s="14">
        <f t="shared" si="1"/>
        <v>0.1193862865</v>
      </c>
      <c r="C1981" s="39">
        <f t="array" ref="C1981">NPV(B1981,FCFF!$C$9:$I$9)+FCFF!$B$9+FCFF!$I$9*(1+Inputs!$B$6)/(B1981-Inputs!$B$6)/(1+B1981)^7</f>
        <v>-1811.321988</v>
      </c>
    </row>
    <row r="1982" ht="14.25" customHeight="1">
      <c r="A1982" s="7">
        <v>1969.0</v>
      </c>
      <c r="B1982" s="14">
        <f t="shared" si="1"/>
        <v>0.09379216379</v>
      </c>
      <c r="C1982" s="39">
        <f t="array" ref="C1982">NPV(B1982,FCFF!$C$9:$I$9)+FCFF!$B$9+FCFF!$I$9*(1+Inputs!$B$6)/(B1982-Inputs!$B$6)/(1+B1982)^7</f>
        <v>-1190.808689</v>
      </c>
    </row>
    <row r="1983" ht="14.25" customHeight="1">
      <c r="A1983" s="7">
        <v>1970.0</v>
      </c>
      <c r="B1983" s="14">
        <f t="shared" si="1"/>
        <v>0.1216633307</v>
      </c>
      <c r="C1983" s="39">
        <f t="array" ref="C1983">NPV(B1983,FCFF!$C$9:$I$9)+FCFF!$B$9+FCFF!$I$9*(1+Inputs!$B$6)/(B1983-Inputs!$B$6)/(1+B1983)^7</f>
        <v>-1849.24446</v>
      </c>
    </row>
    <row r="1984" ht="14.25" customHeight="1">
      <c r="A1984" s="7">
        <v>1971.0</v>
      </c>
      <c r="B1984" s="14">
        <f t="shared" si="1"/>
        <v>0.1042549108</v>
      </c>
      <c r="C1984" s="39">
        <f t="array" ref="C1984">NPV(B1984,FCFF!$C$9:$I$9)+FCFF!$B$9+FCFF!$I$9*(1+Inputs!$B$6)/(B1984-Inputs!$B$6)/(1+B1984)^7</f>
        <v>-1497.192807</v>
      </c>
    </row>
    <row r="1985" ht="14.25" customHeight="1">
      <c r="A1985" s="7">
        <v>1972.0</v>
      </c>
      <c r="B1985" s="14">
        <f t="shared" si="1"/>
        <v>0.1183650273</v>
      </c>
      <c r="C1985" s="39">
        <f t="array" ref="C1985">NPV(B1985,FCFF!$C$9:$I$9)+FCFF!$B$9+FCFF!$I$9*(1+Inputs!$B$6)/(B1985-Inputs!$B$6)/(1+B1985)^7</f>
        <v>-1793.641213</v>
      </c>
    </row>
    <row r="1986" ht="14.25" customHeight="1">
      <c r="A1986" s="7">
        <v>1973.0</v>
      </c>
      <c r="B1986" s="14">
        <f t="shared" si="1"/>
        <v>0.1126647768</v>
      </c>
      <c r="C1986" s="39">
        <f t="array" ref="C1986">NPV(B1986,FCFF!$C$9:$I$9)+FCFF!$B$9+FCFF!$I$9*(1+Inputs!$B$6)/(B1986-Inputs!$B$6)/(1+B1986)^7</f>
        <v>-1686.505555</v>
      </c>
    </row>
    <row r="1987" ht="14.25" customHeight="1">
      <c r="A1987" s="7">
        <v>1974.0</v>
      </c>
      <c r="B1987" s="14">
        <f t="shared" si="1"/>
        <v>0.1078973214</v>
      </c>
      <c r="C1987" s="39">
        <f t="array" ref="C1987">NPV(B1987,FCFF!$C$9:$I$9)+FCFF!$B$9+FCFF!$I$9*(1+Inputs!$B$6)/(B1987-Inputs!$B$6)/(1+B1987)^7</f>
        <v>-1584.345486</v>
      </c>
    </row>
    <row r="1988" ht="14.25" customHeight="1">
      <c r="A1988" s="7">
        <v>1975.0</v>
      </c>
      <c r="B1988" s="14">
        <f t="shared" si="1"/>
        <v>0.09311911857</v>
      </c>
      <c r="C1988" s="39">
        <f t="array" ref="C1988">NPV(B1988,FCFF!$C$9:$I$9)+FCFF!$B$9+FCFF!$I$9*(1+Inputs!$B$6)/(B1988-Inputs!$B$6)/(1+B1988)^7</f>
        <v>-1167.629335</v>
      </c>
    </row>
    <row r="1989" ht="14.25" customHeight="1">
      <c r="A1989" s="7">
        <v>1976.0</v>
      </c>
      <c r="B1989" s="14">
        <f t="shared" si="1"/>
        <v>0.130769415</v>
      </c>
      <c r="C1989" s="39">
        <f t="array" ref="C1989">NPV(B1989,FCFF!$C$9:$I$9)+FCFF!$B$9+FCFF!$I$9*(1+Inputs!$B$6)/(B1989-Inputs!$B$6)/(1+B1989)^7</f>
        <v>-1982.67689</v>
      </c>
    </row>
    <row r="1990" ht="14.25" customHeight="1">
      <c r="A1990" s="7">
        <v>1977.0</v>
      </c>
      <c r="B1990" s="14">
        <f t="shared" si="1"/>
        <v>0.1160694504</v>
      </c>
      <c r="C1990" s="39">
        <f t="array" ref="C1990">NPV(B1990,FCFF!$C$9:$I$9)+FCFF!$B$9+FCFF!$I$9*(1+Inputs!$B$6)/(B1990-Inputs!$B$6)/(1+B1990)^7</f>
        <v>-1752.283377</v>
      </c>
    </row>
    <row r="1991" ht="14.25" customHeight="1">
      <c r="A1991" s="7">
        <v>1978.0</v>
      </c>
      <c r="B1991" s="14">
        <f t="shared" si="1"/>
        <v>0.1313528636</v>
      </c>
      <c r="C1991" s="39">
        <f t="array" ref="C1991">NPV(B1991,FCFF!$C$9:$I$9)+FCFF!$B$9+FCFF!$I$9*(1+Inputs!$B$6)/(B1991-Inputs!$B$6)/(1+B1991)^7</f>
        <v>-1990.346455</v>
      </c>
    </row>
    <row r="1992" ht="14.25" customHeight="1">
      <c r="A1992" s="7">
        <v>1979.0</v>
      </c>
      <c r="B1992" s="14">
        <f t="shared" si="1"/>
        <v>0.09621820572</v>
      </c>
      <c r="C1992" s="39">
        <f t="array" ref="C1992">NPV(B1992,FCFF!$C$9:$I$9)+FCFF!$B$9+FCFF!$I$9*(1+Inputs!$B$6)/(B1992-Inputs!$B$6)/(1+B1992)^7</f>
        <v>-1270.482609</v>
      </c>
    </row>
    <row r="1993" ht="14.25" customHeight="1">
      <c r="A1993" s="7">
        <v>1980.0</v>
      </c>
      <c r="B1993" s="14">
        <f t="shared" si="1"/>
        <v>0.09454859507</v>
      </c>
      <c r="C1993" s="39">
        <f t="array" ref="C1993">NPV(B1993,FCFF!$C$9:$I$9)+FCFF!$B$9+FCFF!$I$9*(1+Inputs!$B$6)/(B1993-Inputs!$B$6)/(1+B1993)^7</f>
        <v>-1216.288618</v>
      </c>
    </row>
    <row r="1994" ht="14.25" customHeight="1">
      <c r="A1994" s="7">
        <v>1981.0</v>
      </c>
      <c r="B1994" s="14">
        <f t="shared" si="1"/>
        <v>0.1088129698</v>
      </c>
      <c r="C1994" s="39">
        <f t="array" ref="C1994">NPV(B1994,FCFF!$C$9:$I$9)+FCFF!$B$9+FCFF!$I$9*(1+Inputs!$B$6)/(B1994-Inputs!$B$6)/(1+B1994)^7</f>
        <v>-1604.956671</v>
      </c>
    </row>
    <row r="1995" ht="14.25" customHeight="1">
      <c r="A1995" s="7">
        <v>1982.0</v>
      </c>
      <c r="B1995" s="14">
        <f t="shared" si="1"/>
        <v>0.1304681541</v>
      </c>
      <c r="C1995" s="39">
        <f t="array" ref="C1995">NPV(B1995,FCFF!$C$9:$I$9)+FCFF!$B$9+FCFF!$I$9*(1+Inputs!$B$6)/(B1995-Inputs!$B$6)/(1+B1995)^7</f>
        <v>-1978.678811</v>
      </c>
    </row>
    <row r="1996" ht="14.25" customHeight="1">
      <c r="A1996" s="7">
        <v>1983.0</v>
      </c>
      <c r="B1996" s="14">
        <f t="shared" si="1"/>
        <v>0.1225727187</v>
      </c>
      <c r="C1996" s="39">
        <f t="array" ref="C1996">NPV(B1996,FCFF!$C$9:$I$9)+FCFF!$B$9+FCFF!$I$9*(1+Inputs!$B$6)/(B1996-Inputs!$B$6)/(1+B1996)^7</f>
        <v>-1863.836554</v>
      </c>
    </row>
    <row r="1997" ht="14.25" customHeight="1">
      <c r="A1997" s="7">
        <v>1984.0</v>
      </c>
      <c r="B1997" s="14">
        <f t="shared" si="1"/>
        <v>0.1121502584</v>
      </c>
      <c r="C1997" s="39">
        <f t="array" ref="C1997">NPV(B1997,FCFF!$C$9:$I$9)+FCFF!$B$9+FCFF!$I$9*(1+Inputs!$B$6)/(B1997-Inputs!$B$6)/(1+B1997)^7</f>
        <v>-1676.070559</v>
      </c>
    </row>
    <row r="1998" ht="14.25" customHeight="1">
      <c r="A1998" s="7">
        <v>1985.0</v>
      </c>
      <c r="B1998" s="14">
        <f t="shared" si="1"/>
        <v>0.1104903803</v>
      </c>
      <c r="C1998" s="39">
        <f t="array" ref="C1998">NPV(B1998,FCFF!$C$9:$I$9)+FCFF!$B$9+FCFF!$I$9*(1+Inputs!$B$6)/(B1998-Inputs!$B$6)/(1+B1998)^7</f>
        <v>-1641.462529</v>
      </c>
    </row>
    <row r="1999" ht="14.25" customHeight="1">
      <c r="A1999" s="7">
        <v>1986.0</v>
      </c>
      <c r="B1999" s="14">
        <f t="shared" si="1"/>
        <v>0.1224405043</v>
      </c>
      <c r="C1999" s="39">
        <f t="array" ref="C1999">NPV(B1999,FCFF!$C$9:$I$9)+FCFF!$B$9+FCFF!$I$9*(1+Inputs!$B$6)/(B1999-Inputs!$B$6)/(1+B1999)^7</f>
        <v>-1861.734019</v>
      </c>
    </row>
    <row r="2000" ht="14.25" customHeight="1">
      <c r="A2000" s="7">
        <v>1987.0</v>
      </c>
      <c r="B2000" s="14">
        <f t="shared" si="1"/>
        <v>0.09916477378</v>
      </c>
      <c r="C2000" s="39">
        <f t="array" ref="C2000">NPV(B2000,FCFF!$C$9:$I$9)+FCFF!$B$9+FCFF!$I$9*(1+Inputs!$B$6)/(B2000-Inputs!$B$6)/(1+B2000)^7</f>
        <v>-1359.757414</v>
      </c>
    </row>
    <row r="2001" ht="14.25" customHeight="1">
      <c r="A2001" s="7">
        <v>1988.0</v>
      </c>
      <c r="B2001" s="14">
        <f t="shared" si="1"/>
        <v>0.1104059645</v>
      </c>
      <c r="C2001" s="39">
        <f t="array" ref="C2001">NPV(B2001,FCFF!$C$9:$I$9)+FCFF!$B$9+FCFF!$I$9*(1+Inputs!$B$6)/(B2001-Inputs!$B$6)/(1+B2001)^7</f>
        <v>-1639.66294</v>
      </c>
    </row>
    <row r="2002" ht="14.25" customHeight="1">
      <c r="A2002" s="7">
        <v>1989.0</v>
      </c>
      <c r="B2002" s="14">
        <f t="shared" si="1"/>
        <v>0.1273804369</v>
      </c>
      <c r="C2002" s="39">
        <f t="array" ref="C2002">NPV(B2002,FCFF!$C$9:$I$9)+FCFF!$B$9+FCFF!$I$9*(1+Inputs!$B$6)/(B2002-Inputs!$B$6)/(1+B2002)^7</f>
        <v>-1936.152604</v>
      </c>
    </row>
    <row r="2003" ht="14.25" customHeight="1">
      <c r="A2003" s="7">
        <v>1990.0</v>
      </c>
      <c r="B2003" s="14">
        <f t="shared" si="1"/>
        <v>0.1021078837</v>
      </c>
      <c r="C2003" s="39">
        <f t="array" ref="C2003">NPV(B2003,FCFF!$C$9:$I$9)+FCFF!$B$9+FCFF!$I$9*(1+Inputs!$B$6)/(B2003-Inputs!$B$6)/(1+B2003)^7</f>
        <v>-1441.615026</v>
      </c>
    </row>
    <row r="2004" ht="14.25" customHeight="1">
      <c r="A2004" s="7">
        <v>1991.0</v>
      </c>
      <c r="B2004" s="14">
        <f t="shared" si="1"/>
        <v>0.1277588407</v>
      </c>
      <c r="C2004" s="39">
        <f t="array" ref="C2004">NPV(B2004,FCFF!$C$9:$I$9)+FCFF!$B$9+FCFF!$I$9*(1+Inputs!$B$6)/(B2004-Inputs!$B$6)/(1+B2004)^7</f>
        <v>-1941.520522</v>
      </c>
    </row>
    <row r="2005" ht="14.25" customHeight="1">
      <c r="A2005" s="7">
        <v>1992.0</v>
      </c>
      <c r="B2005" s="14">
        <f t="shared" si="1"/>
        <v>0.1054099442</v>
      </c>
      <c r="C2005" s="39">
        <f t="array" ref="C2005">NPV(B2005,FCFF!$C$9:$I$9)+FCFF!$B$9+FCFF!$I$9*(1+Inputs!$B$6)/(B2005-Inputs!$B$6)/(1+B2005)^7</f>
        <v>-1525.761137</v>
      </c>
    </row>
    <row r="2006" ht="14.25" customHeight="1">
      <c r="A2006" s="7">
        <v>1993.0</v>
      </c>
      <c r="B2006" s="14">
        <f t="shared" si="1"/>
        <v>0.1119569147</v>
      </c>
      <c r="C2006" s="39">
        <f t="array" ref="C2006">NPV(B2006,FCFF!$C$9:$I$9)+FCFF!$B$9+FCFF!$I$9*(1+Inputs!$B$6)/(B2006-Inputs!$B$6)/(1+B2006)^7</f>
        <v>-1672.114159</v>
      </c>
    </row>
    <row r="2007" ht="14.25" customHeight="1">
      <c r="A2007" s="7">
        <v>1994.0</v>
      </c>
      <c r="B2007" s="14">
        <f t="shared" si="1"/>
        <v>0.09707699988</v>
      </c>
      <c r="C2007" s="39">
        <f t="array" ref="C2007">NPV(B2007,FCFF!$C$9:$I$9)+FCFF!$B$9+FCFF!$I$9*(1+Inputs!$B$6)/(B2007-Inputs!$B$6)/(1+B2007)^7</f>
        <v>-1297.311963</v>
      </c>
    </row>
    <row r="2008" ht="14.25" customHeight="1">
      <c r="A2008" s="7">
        <v>1995.0</v>
      </c>
      <c r="B2008" s="14">
        <f t="shared" si="1"/>
        <v>0.09872130337</v>
      </c>
      <c r="C2008" s="39">
        <f t="array" ref="C2008">NPV(B2008,FCFF!$C$9:$I$9)+FCFF!$B$9+FCFF!$I$9*(1+Inputs!$B$6)/(B2008-Inputs!$B$6)/(1+B2008)^7</f>
        <v>-1346.811203</v>
      </c>
    </row>
    <row r="2009" ht="14.25" customHeight="1">
      <c r="A2009" s="7">
        <v>1996.0</v>
      </c>
      <c r="B2009" s="14">
        <f t="shared" si="1"/>
        <v>0.1091650656</v>
      </c>
      <c r="C2009" s="39">
        <f t="array" ref="C2009">NPV(B2009,FCFF!$C$9:$I$9)+FCFF!$B$9+FCFF!$I$9*(1+Inputs!$B$6)/(B2009-Inputs!$B$6)/(1+B2009)^7</f>
        <v>-1612.751734</v>
      </c>
    </row>
    <row r="2010" ht="14.25" customHeight="1">
      <c r="A2010" s="7">
        <v>1997.0</v>
      </c>
      <c r="B2010" s="14">
        <f t="shared" si="1"/>
        <v>0.111877337</v>
      </c>
      <c r="C2010" s="39">
        <f t="array" ref="C2010">NPV(B2010,FCFF!$C$9:$I$9)+FCFF!$B$9+FCFF!$I$9*(1+Inputs!$B$6)/(B2010-Inputs!$B$6)/(1+B2010)^7</f>
        <v>-1670.480122</v>
      </c>
    </row>
    <row r="2011" ht="14.25" customHeight="1">
      <c r="A2011" s="7">
        <v>1998.0</v>
      </c>
      <c r="B2011" s="14">
        <f t="shared" si="1"/>
        <v>0.100187986</v>
      </c>
      <c r="C2011" s="39">
        <f t="array" ref="C2011">NPV(B2011,FCFF!$C$9:$I$9)+FCFF!$B$9+FCFF!$I$9*(1+Inputs!$B$6)/(B2011-Inputs!$B$6)/(1+B2011)^7</f>
        <v>-1389.000851</v>
      </c>
    </row>
    <row r="2012" ht="14.25" customHeight="1">
      <c r="A2012" s="7">
        <v>1999.0</v>
      </c>
      <c r="B2012" s="14">
        <f t="shared" si="1"/>
        <v>0.1269230502</v>
      </c>
      <c r="C2012" s="39">
        <f t="array" ref="C2012">NPV(B2012,FCFF!$C$9:$I$9)+FCFF!$B$9+FCFF!$I$9*(1+Inputs!$B$6)/(B2012-Inputs!$B$6)/(1+B2012)^7</f>
        <v>-1929.603916</v>
      </c>
    </row>
    <row r="2013" ht="14.25" customHeight="1">
      <c r="A2013" s="7">
        <v>2000.0</v>
      </c>
      <c r="B2013" s="14">
        <f t="shared" si="1"/>
        <v>0.127464945</v>
      </c>
      <c r="C2013" s="39">
        <f t="array" ref="C2013">NPV(B2013,FCFF!$C$9:$I$9)+FCFF!$B$9+FCFF!$I$9*(1+Inputs!$B$6)/(B2013-Inputs!$B$6)/(1+B2013)^7</f>
        <v>-1937.355309</v>
      </c>
    </row>
    <row r="2014" ht="14.25" customHeight="1">
      <c r="A2014" s="7">
        <v>2001.0</v>
      </c>
      <c r="B2014" s="14">
        <f t="shared" si="1"/>
        <v>0.1233185109</v>
      </c>
      <c r="C2014" s="39">
        <f t="array" ref="C2014">NPV(B2014,FCFF!$C$9:$I$9)+FCFF!$B$9+FCFF!$I$9*(1+Inputs!$B$6)/(B2014-Inputs!$B$6)/(1+B2014)^7</f>
        <v>-1875.577568</v>
      </c>
    </row>
    <row r="2015" ht="14.25" customHeight="1">
      <c r="A2015" s="7">
        <v>2002.0</v>
      </c>
      <c r="B2015" s="14">
        <f t="shared" si="1"/>
        <v>0.1262261099</v>
      </c>
      <c r="C2015" s="39">
        <f t="array" ref="C2015">NPV(B2015,FCFF!$C$9:$I$9)+FCFF!$B$9+FCFF!$I$9*(1+Inputs!$B$6)/(B2015-Inputs!$B$6)/(1+B2015)^7</f>
        <v>-1919.496431</v>
      </c>
    </row>
    <row r="2016" ht="14.25" customHeight="1">
      <c r="A2016" s="7">
        <v>2003.0</v>
      </c>
      <c r="B2016" s="14">
        <f t="shared" si="1"/>
        <v>0.1059421068</v>
      </c>
      <c r="C2016" s="39">
        <f t="array" ref="C2016">NPV(B2016,FCFF!$C$9:$I$9)+FCFF!$B$9+FCFF!$I$9*(1+Inputs!$B$6)/(B2016-Inputs!$B$6)/(1+B2016)^7</f>
        <v>-1538.625258</v>
      </c>
    </row>
    <row r="2017" ht="14.25" customHeight="1">
      <c r="A2017" s="7">
        <v>2004.0</v>
      </c>
      <c r="B2017" s="14">
        <f t="shared" si="1"/>
        <v>0.1074265221</v>
      </c>
      <c r="C2017" s="39">
        <f t="array" ref="C2017">NPV(B2017,FCFF!$C$9:$I$9)+FCFF!$B$9+FCFF!$I$9*(1+Inputs!$B$6)/(B2017-Inputs!$B$6)/(1+B2017)^7</f>
        <v>-1573.552777</v>
      </c>
    </row>
    <row r="2018" ht="14.25" customHeight="1">
      <c r="A2018" s="7">
        <v>2005.0</v>
      </c>
      <c r="B2018" s="14">
        <f t="shared" si="1"/>
        <v>0.1227860763</v>
      </c>
      <c r="C2018" s="39">
        <f t="array" ref="C2018">NPV(B2018,FCFF!$C$9:$I$9)+FCFF!$B$9+FCFF!$I$9*(1+Inputs!$B$6)/(B2018-Inputs!$B$6)/(1+B2018)^7</f>
        <v>-1867.216</v>
      </c>
    </row>
    <row r="2019" ht="14.25" customHeight="1">
      <c r="A2019" s="7">
        <v>2006.0</v>
      </c>
      <c r="B2019" s="14">
        <f t="shared" si="1"/>
        <v>0.1018612141</v>
      </c>
      <c r="C2019" s="39">
        <f t="array" ref="C2019">NPV(B2019,FCFF!$C$9:$I$9)+FCFF!$B$9+FCFF!$I$9*(1+Inputs!$B$6)/(B2019-Inputs!$B$6)/(1+B2019)^7</f>
        <v>-1435.01411</v>
      </c>
    </row>
    <row r="2020" ht="14.25" customHeight="1">
      <c r="A2020" s="7">
        <v>2007.0</v>
      </c>
      <c r="B2020" s="14">
        <f t="shared" si="1"/>
        <v>0.09416618848</v>
      </c>
      <c r="C2020" s="39">
        <f t="array" ref="C2020">NPV(B2020,FCFF!$C$9:$I$9)+FCFF!$B$9+FCFF!$I$9*(1+Inputs!$B$6)/(B2020-Inputs!$B$6)/(1+B2020)^7</f>
        <v>-1203.481887</v>
      </c>
    </row>
    <row r="2021" ht="14.25" customHeight="1">
      <c r="A2021" s="7">
        <v>2008.0</v>
      </c>
      <c r="B2021" s="14">
        <f t="shared" si="1"/>
        <v>0.09828271231</v>
      </c>
      <c r="C2021" s="39">
        <f t="array" ref="C2021">NPV(B2021,FCFF!$C$9:$I$9)+FCFF!$B$9+FCFF!$I$9*(1+Inputs!$B$6)/(B2021-Inputs!$B$6)/(1+B2021)^7</f>
        <v>-1333.841519</v>
      </c>
    </row>
    <row r="2022" ht="14.25" customHeight="1">
      <c r="A2022" s="7">
        <v>2009.0</v>
      </c>
      <c r="B2022" s="14">
        <f t="shared" si="1"/>
        <v>0.1170330686</v>
      </c>
      <c r="C2022" s="39">
        <f t="array" ref="C2022">NPV(B2022,FCFF!$C$9:$I$9)+FCFF!$B$9+FCFF!$I$9*(1+Inputs!$B$6)/(B2022-Inputs!$B$6)/(1+B2022)^7</f>
        <v>-1769.923578</v>
      </c>
    </row>
    <row r="2023" ht="14.25" customHeight="1">
      <c r="A2023" s="7">
        <v>2010.0</v>
      </c>
      <c r="B2023" s="14">
        <f t="shared" si="1"/>
        <v>0.09611590682</v>
      </c>
      <c r="C2023" s="39">
        <f t="array" ref="C2023">NPV(B2023,FCFF!$C$9:$I$9)+FCFF!$B$9+FCFF!$I$9*(1+Inputs!$B$6)/(B2023-Inputs!$B$6)/(1+B2023)^7</f>
        <v>-1267.240395</v>
      </c>
    </row>
    <row r="2024" ht="14.25" customHeight="1">
      <c r="A2024" s="7">
        <v>2011.0</v>
      </c>
      <c r="B2024" s="14">
        <f t="shared" si="1"/>
        <v>0.1300278215</v>
      </c>
      <c r="C2024" s="39">
        <f t="array" ref="C2024">NPV(B2024,FCFF!$C$9:$I$9)+FCFF!$B$9+FCFF!$I$9*(1+Inputs!$B$6)/(B2024-Inputs!$B$6)/(1+B2024)^7</f>
        <v>-1972.788009</v>
      </c>
    </row>
    <row r="2025" ht="14.25" customHeight="1">
      <c r="A2025" s="7">
        <v>2012.0</v>
      </c>
      <c r="B2025" s="14">
        <f t="shared" si="1"/>
        <v>0.1304900702</v>
      </c>
      <c r="C2025" s="39">
        <f t="array" ref="C2025">NPV(B2025,FCFF!$C$9:$I$9)+FCFF!$B$9+FCFF!$I$9*(1+Inputs!$B$6)/(B2025-Inputs!$B$6)/(1+B2025)^7</f>
        <v>-1978.970542</v>
      </c>
    </row>
    <row r="2026" ht="14.25" customHeight="1">
      <c r="A2026" s="7">
        <v>2013.0</v>
      </c>
      <c r="B2026" s="14">
        <f t="shared" si="1"/>
        <v>0.1024803184</v>
      </c>
      <c r="C2026" s="39">
        <f t="array" ref="C2026">NPV(B2026,FCFF!$C$9:$I$9)+FCFF!$B$9+FCFF!$I$9*(1+Inputs!$B$6)/(B2026-Inputs!$B$6)/(1+B2026)^7</f>
        <v>-1451.495273</v>
      </c>
    </row>
    <row r="2027" ht="14.25" customHeight="1">
      <c r="A2027" s="7">
        <v>2014.0</v>
      </c>
      <c r="B2027" s="14">
        <f t="shared" si="1"/>
        <v>0.09323384948</v>
      </c>
      <c r="C2027" s="39">
        <f t="array" ref="C2027">NPV(B2027,FCFF!$C$9:$I$9)+FCFF!$B$9+FCFF!$I$9*(1+Inputs!$B$6)/(B2027-Inputs!$B$6)/(1+B2027)^7</f>
        <v>-1171.615108</v>
      </c>
    </row>
    <row r="2028" ht="14.25" customHeight="1">
      <c r="A2028" s="7">
        <v>2015.0</v>
      </c>
      <c r="B2028" s="14">
        <f t="shared" si="1"/>
        <v>0.1034875251</v>
      </c>
      <c r="C2028" s="39">
        <f t="array" ref="C2028">NPV(B2028,FCFF!$C$9:$I$9)+FCFF!$B$9+FCFF!$I$9*(1+Inputs!$B$6)/(B2028-Inputs!$B$6)/(1+B2028)^7</f>
        <v>-1477.706881</v>
      </c>
    </row>
    <row r="2029" ht="14.25" customHeight="1">
      <c r="A2029" s="7">
        <v>2016.0</v>
      </c>
      <c r="B2029" s="14">
        <f t="shared" si="1"/>
        <v>0.1159017047</v>
      </c>
      <c r="C2029" s="39">
        <f t="array" ref="C2029">NPV(B2029,FCFF!$C$9:$I$9)+FCFF!$B$9+FCFF!$I$9*(1+Inputs!$B$6)/(B2029-Inputs!$B$6)/(1+B2029)^7</f>
        <v>-1749.170144</v>
      </c>
    </row>
    <row r="2030" ht="14.25" customHeight="1">
      <c r="A2030" s="7">
        <v>2017.0</v>
      </c>
      <c r="B2030" s="14">
        <f t="shared" si="1"/>
        <v>0.1235393231</v>
      </c>
      <c r="C2030" s="39">
        <f t="array" ref="C2030">NPV(B2030,FCFF!$C$9:$I$9)+FCFF!$B$9+FCFF!$I$9*(1+Inputs!$B$6)/(B2030-Inputs!$B$6)/(1+B2030)^7</f>
        <v>-1879.015498</v>
      </c>
    </row>
    <row r="2031" ht="14.25" customHeight="1">
      <c r="A2031" s="7">
        <v>2018.0</v>
      </c>
      <c r="B2031" s="14">
        <f t="shared" si="1"/>
        <v>0.1006397863</v>
      </c>
      <c r="C2031" s="39">
        <f t="array" ref="C2031">NPV(B2031,FCFF!$C$9:$I$9)+FCFF!$B$9+FCFF!$I$9*(1+Inputs!$B$6)/(B2031-Inputs!$B$6)/(1+B2031)^7</f>
        <v>-1401.641961</v>
      </c>
    </row>
    <row r="2032" ht="14.25" customHeight="1">
      <c r="A2032" s="7">
        <v>2019.0</v>
      </c>
      <c r="B2032" s="14">
        <f t="shared" si="1"/>
        <v>0.1270133379</v>
      </c>
      <c r="C2032" s="39">
        <f t="array" ref="C2032">NPV(B2032,FCFF!$C$9:$I$9)+FCFF!$B$9+FCFF!$I$9*(1+Inputs!$B$6)/(B2032-Inputs!$B$6)/(1+B2032)^7</f>
        <v>-1930.901891</v>
      </c>
    </row>
    <row r="2033" ht="14.25" customHeight="1">
      <c r="A2033" s="7">
        <v>2020.0</v>
      </c>
      <c r="B2033" s="14">
        <f t="shared" si="1"/>
        <v>0.1057010059</v>
      </c>
      <c r="C2033" s="39">
        <f t="array" ref="C2033">NPV(B2033,FCFF!$C$9:$I$9)+FCFF!$B$9+FCFF!$I$9*(1+Inputs!$B$6)/(B2033-Inputs!$B$6)/(1+B2033)^7</f>
        <v>-1532.819945</v>
      </c>
    </row>
    <row r="2034" ht="14.25" customHeight="1">
      <c r="A2034" s="7">
        <v>2021.0</v>
      </c>
      <c r="B2034" s="14">
        <f t="shared" si="1"/>
        <v>0.1234960494</v>
      </c>
      <c r="C2034" s="39">
        <f t="array" ref="C2034">NPV(B2034,FCFF!$C$9:$I$9)+FCFF!$B$9+FCFF!$I$9*(1+Inputs!$B$6)/(B2034-Inputs!$B$6)/(1+B2034)^7</f>
        <v>-1878.343116</v>
      </c>
    </row>
    <row r="2035" ht="14.25" customHeight="1">
      <c r="A2035" s="7">
        <v>2022.0</v>
      </c>
      <c r="B2035" s="14">
        <f t="shared" si="1"/>
        <v>0.1117532799</v>
      </c>
      <c r="C2035" s="39">
        <f t="array" ref="C2035">NPV(B2035,FCFF!$C$9:$I$9)+FCFF!$B$9+FCFF!$I$9*(1+Inputs!$B$6)/(B2035-Inputs!$B$6)/(1+B2035)^7</f>
        <v>-1667.926169</v>
      </c>
    </row>
    <row r="2036" ht="14.25" customHeight="1">
      <c r="A2036" s="7">
        <v>2023.0</v>
      </c>
      <c r="B2036" s="14">
        <f t="shared" si="1"/>
        <v>0.1316877876</v>
      </c>
      <c r="C2036" s="39">
        <f t="array" ref="C2036">NPV(B2036,FCFF!$C$9:$I$9)+FCFF!$B$9+FCFF!$I$9*(1+Inputs!$B$6)/(B2036-Inputs!$B$6)/(1+B2036)^7</f>
        <v>-1994.705839</v>
      </c>
    </row>
    <row r="2037" ht="14.25" customHeight="1">
      <c r="A2037" s="7">
        <v>2024.0</v>
      </c>
      <c r="B2037" s="14">
        <f t="shared" si="1"/>
        <v>0.1129870555</v>
      </c>
      <c r="C2037" s="39">
        <f t="array" ref="C2037">NPV(B2037,FCFF!$C$9:$I$9)+FCFF!$B$9+FCFF!$I$9*(1+Inputs!$B$6)/(B2037-Inputs!$B$6)/(1+B2037)^7</f>
        <v>-1692.973222</v>
      </c>
    </row>
    <row r="2038" ht="14.25" customHeight="1">
      <c r="A2038" s="7">
        <v>2025.0</v>
      </c>
      <c r="B2038" s="14">
        <f t="shared" si="1"/>
        <v>0.1121218986</v>
      </c>
      <c r="C2038" s="39">
        <f t="array" ref="C2038">NPV(B2038,FCFF!$C$9:$I$9)+FCFF!$B$9+FCFF!$I$9*(1+Inputs!$B$6)/(B2038-Inputs!$B$6)/(1+B2038)^7</f>
        <v>-1675.491441</v>
      </c>
    </row>
    <row r="2039" ht="14.25" customHeight="1">
      <c r="A2039" s="7">
        <v>2026.0</v>
      </c>
      <c r="B2039" s="14">
        <f t="shared" si="1"/>
        <v>0.106738431</v>
      </c>
      <c r="C2039" s="39">
        <f t="array" ref="C2039">NPV(B2039,FCFF!$C$9:$I$9)+FCFF!$B$9+FCFF!$I$9*(1+Inputs!$B$6)/(B2039-Inputs!$B$6)/(1+B2039)^7</f>
        <v>-1557.534408</v>
      </c>
    </row>
    <row r="2040" ht="14.25" customHeight="1">
      <c r="A2040" s="7">
        <v>2027.0</v>
      </c>
      <c r="B2040" s="14">
        <f t="shared" si="1"/>
        <v>0.1227062314</v>
      </c>
      <c r="C2040" s="39">
        <f t="array" ref="C2040">NPV(B2040,FCFF!$C$9:$I$9)+FCFF!$B$9+FCFF!$I$9*(1+Inputs!$B$6)/(B2040-Inputs!$B$6)/(1+B2040)^7</f>
        <v>-1865.95325</v>
      </c>
    </row>
    <row r="2041" ht="14.25" customHeight="1">
      <c r="A2041" s="7">
        <v>2028.0</v>
      </c>
      <c r="B2041" s="14">
        <f t="shared" si="1"/>
        <v>0.09334789405</v>
      </c>
      <c r="C2041" s="39">
        <f t="array" ref="C2041">NPV(B2041,FCFF!$C$9:$I$9)+FCFF!$B$9+FCFF!$I$9*(1+Inputs!$B$6)/(B2041-Inputs!$B$6)/(1+B2041)^7</f>
        <v>-1175.562895</v>
      </c>
    </row>
    <row r="2042" ht="14.25" customHeight="1">
      <c r="A2042" s="7">
        <v>2029.0</v>
      </c>
      <c r="B2042" s="14">
        <f t="shared" si="1"/>
        <v>0.1309359447</v>
      </c>
      <c r="C2042" s="39">
        <f t="array" ref="C2042">NPV(B2042,FCFF!$C$9:$I$9)+FCFF!$B$9+FCFF!$I$9*(1+Inputs!$B$6)/(B2042-Inputs!$B$6)/(1+B2042)^7</f>
        <v>-1984.875799</v>
      </c>
    </row>
    <row r="2043" ht="14.25" customHeight="1">
      <c r="A2043" s="7">
        <v>2030.0</v>
      </c>
      <c r="B2043" s="14">
        <f t="shared" si="1"/>
        <v>0.1138421632</v>
      </c>
      <c r="C2043" s="39">
        <f t="array" ref="C2043">NPV(B2043,FCFF!$C$9:$I$9)+FCFF!$B$9+FCFF!$I$9*(1+Inputs!$B$6)/(B2043-Inputs!$B$6)/(1+B2043)^7</f>
        <v>-1709.883226</v>
      </c>
    </row>
    <row r="2044" ht="14.25" customHeight="1">
      <c r="A2044" s="7">
        <v>2031.0</v>
      </c>
      <c r="B2044" s="14">
        <f t="shared" si="1"/>
        <v>0.1034132912</v>
      </c>
      <c r="C2044" s="39">
        <f t="array" ref="C2044">NPV(B2044,FCFF!$C$9:$I$9)+FCFF!$B$9+FCFF!$I$9*(1+Inputs!$B$6)/(B2044-Inputs!$B$6)/(1+B2044)^7</f>
        <v>-1475.799926</v>
      </c>
    </row>
    <row r="2045" ht="14.25" customHeight="1">
      <c r="A2045" s="7">
        <v>2032.0</v>
      </c>
      <c r="B2045" s="14">
        <f t="shared" si="1"/>
        <v>0.09945314527</v>
      </c>
      <c r="C2045" s="39">
        <f t="array" ref="C2045">NPV(B2045,FCFF!$C$9:$I$9)+FCFF!$B$9+FCFF!$I$9*(1+Inputs!$B$6)/(B2045-Inputs!$B$6)/(1+B2045)^7</f>
        <v>-1368.086756</v>
      </c>
    </row>
    <row r="2046" ht="14.25" customHeight="1">
      <c r="A2046" s="7">
        <v>2033.0</v>
      </c>
      <c r="B2046" s="14">
        <f t="shared" si="1"/>
        <v>0.1000502933</v>
      </c>
      <c r="C2046" s="39">
        <f t="array" ref="C2046">NPV(B2046,FCFF!$C$9:$I$9)+FCFF!$B$9+FCFF!$I$9*(1+Inputs!$B$6)/(B2046-Inputs!$B$6)/(1+B2046)^7</f>
        <v>-1385.115632</v>
      </c>
    </row>
    <row r="2047" ht="14.25" customHeight="1">
      <c r="A2047" s="7">
        <v>2034.0</v>
      </c>
      <c r="B2047" s="14">
        <f t="shared" si="1"/>
        <v>0.1297939848</v>
      </c>
      <c r="C2047" s="39">
        <f t="array" ref="C2047">NPV(B2047,FCFF!$C$9:$I$9)+FCFF!$B$9+FCFF!$I$9*(1+Inputs!$B$6)/(B2047-Inputs!$B$6)/(1+B2047)^7</f>
        <v>-1969.636778</v>
      </c>
    </row>
    <row r="2048" ht="14.25" customHeight="1">
      <c r="A2048" s="7">
        <v>2035.0</v>
      </c>
      <c r="B2048" s="14">
        <f t="shared" si="1"/>
        <v>0.1181569169</v>
      </c>
      <c r="C2048" s="39">
        <f t="array" ref="C2048">NPV(B2048,FCFF!$C$9:$I$9)+FCFF!$B$9+FCFF!$I$9*(1+Inputs!$B$6)/(B2048-Inputs!$B$6)/(1+B2048)^7</f>
        <v>-1789.985223</v>
      </c>
    </row>
    <row r="2049" ht="14.25" customHeight="1">
      <c r="A2049" s="7">
        <v>2036.0</v>
      </c>
      <c r="B2049" s="14">
        <f t="shared" si="1"/>
        <v>0.1246428051</v>
      </c>
      <c r="C2049" s="39">
        <f t="array" ref="C2049">NPV(B2049,FCFF!$C$9:$I$9)+FCFF!$B$9+FCFF!$I$9*(1+Inputs!$B$6)/(B2049-Inputs!$B$6)/(1+B2049)^7</f>
        <v>-1895.939328</v>
      </c>
    </row>
    <row r="2050" ht="14.25" customHeight="1">
      <c r="A2050" s="7">
        <v>2037.0</v>
      </c>
      <c r="B2050" s="14">
        <f t="shared" si="1"/>
        <v>0.1197882852</v>
      </c>
      <c r="C2050" s="39">
        <f t="array" ref="C2050">NPV(B2050,FCFF!$C$9:$I$9)+FCFF!$B$9+FCFF!$I$9*(1+Inputs!$B$6)/(B2050-Inputs!$B$6)/(1+B2050)^7</f>
        <v>-1818.165155</v>
      </c>
    </row>
    <row r="2051" ht="14.25" customHeight="1">
      <c r="A2051" s="7">
        <v>2038.0</v>
      </c>
      <c r="B2051" s="14">
        <f t="shared" si="1"/>
        <v>0.129810424</v>
      </c>
      <c r="C2051" s="39">
        <f t="array" ref="C2051">NPV(B2051,FCFF!$C$9:$I$9)+FCFF!$B$9+FCFF!$I$9*(1+Inputs!$B$6)/(B2051-Inputs!$B$6)/(1+B2051)^7</f>
        <v>-1969.85884</v>
      </c>
    </row>
    <row r="2052" ht="14.25" customHeight="1">
      <c r="A2052" s="7">
        <v>2039.0</v>
      </c>
      <c r="B2052" s="14">
        <f t="shared" si="1"/>
        <v>0.1316224435</v>
      </c>
      <c r="C2052" s="39">
        <f t="array" ref="C2052">NPV(B2052,FCFF!$C$9:$I$9)+FCFF!$B$9+FCFF!$I$9*(1+Inputs!$B$6)/(B2052-Inputs!$B$6)/(1+B2052)^7</f>
        <v>-1993.857775</v>
      </c>
    </row>
    <row r="2053" ht="14.25" customHeight="1">
      <c r="A2053" s="7">
        <v>2040.0</v>
      </c>
      <c r="B2053" s="14">
        <f t="shared" si="1"/>
        <v>0.1256843078</v>
      </c>
      <c r="C2053" s="39">
        <f t="array" ref="C2053">NPV(B2053,FCFF!$C$9:$I$9)+FCFF!$B$9+FCFF!$I$9*(1+Inputs!$B$6)/(B2053-Inputs!$B$6)/(1+B2053)^7</f>
        <v>-1911.529424</v>
      </c>
    </row>
    <row r="2054" ht="14.25" customHeight="1">
      <c r="A2054" s="7">
        <v>2041.0</v>
      </c>
      <c r="B2054" s="14">
        <f t="shared" si="1"/>
        <v>0.09577304088</v>
      </c>
      <c r="C2054" s="39">
        <f t="array" ref="C2054">NPV(B2054,FCFF!$C$9:$I$9)+FCFF!$B$9+FCFF!$I$9*(1+Inputs!$B$6)/(B2054-Inputs!$B$6)/(1+B2054)^7</f>
        <v>-1256.300512</v>
      </c>
    </row>
    <row r="2055" ht="14.25" customHeight="1">
      <c r="A2055" s="7">
        <v>2042.0</v>
      </c>
      <c r="B2055" s="14">
        <f t="shared" si="1"/>
        <v>0.1260676821</v>
      </c>
      <c r="C2055" s="39">
        <f t="array" ref="C2055">NPV(B2055,FCFF!$C$9:$I$9)+FCFF!$B$9+FCFF!$I$9*(1+Inputs!$B$6)/(B2055-Inputs!$B$6)/(1+B2055)^7</f>
        <v>-1917.176796</v>
      </c>
    </row>
    <row r="2056" ht="14.25" customHeight="1">
      <c r="A2056" s="7">
        <v>2043.0</v>
      </c>
      <c r="B2056" s="14">
        <f t="shared" si="1"/>
        <v>0.1159418008</v>
      </c>
      <c r="C2056" s="39">
        <f t="array" ref="C2056">NPV(B2056,FCFF!$C$9:$I$9)+FCFF!$B$9+FCFF!$I$9*(1+Inputs!$B$6)/(B2056-Inputs!$B$6)/(1+B2056)^7</f>
        <v>-1749.915457</v>
      </c>
    </row>
    <row r="2057" ht="14.25" customHeight="1">
      <c r="A2057" s="7">
        <v>2044.0</v>
      </c>
      <c r="B2057" s="14">
        <f t="shared" si="1"/>
        <v>0.1263153116</v>
      </c>
      <c r="C2057" s="39">
        <f t="array" ref="C2057">NPV(B2057,FCFF!$C$9:$I$9)+FCFF!$B$9+FCFF!$I$9*(1+Inputs!$B$6)/(B2057-Inputs!$B$6)/(1+B2057)^7</f>
        <v>-1920.798876</v>
      </c>
    </row>
    <row r="2058" ht="14.25" customHeight="1">
      <c r="A2058" s="7">
        <v>2045.0</v>
      </c>
      <c r="B2058" s="14">
        <f t="shared" si="1"/>
        <v>0.09794167224</v>
      </c>
      <c r="C2058" s="39">
        <f t="array" ref="C2058">NPV(B2058,FCFF!$C$9:$I$9)+FCFF!$B$9+FCFF!$I$9*(1+Inputs!$B$6)/(B2058-Inputs!$B$6)/(1+B2058)^7</f>
        <v>-1323.640578</v>
      </c>
    </row>
    <row r="2059" ht="14.25" customHeight="1">
      <c r="A2059" s="7">
        <v>2046.0</v>
      </c>
      <c r="B2059" s="14">
        <f t="shared" si="1"/>
        <v>0.09807632718</v>
      </c>
      <c r="C2059" s="39">
        <f t="array" ref="C2059">NPV(B2059,FCFF!$C$9:$I$9)+FCFF!$B$9+FCFF!$I$9*(1+Inputs!$B$6)/(B2059-Inputs!$B$6)/(1+B2059)^7</f>
        <v>-1327.680507</v>
      </c>
    </row>
    <row r="2060" ht="14.25" customHeight="1">
      <c r="A2060" s="7">
        <v>2047.0</v>
      </c>
      <c r="B2060" s="14">
        <f t="shared" si="1"/>
        <v>0.1167558537</v>
      </c>
      <c r="C2060" s="39">
        <f t="array" ref="C2060">NPV(B2060,FCFF!$C$9:$I$9)+FCFF!$B$9+FCFF!$I$9*(1+Inputs!$B$6)/(B2060-Inputs!$B$6)/(1+B2060)^7</f>
        <v>-1764.890976</v>
      </c>
    </row>
    <row r="2061" ht="14.25" customHeight="1">
      <c r="A2061" s="7">
        <v>2048.0</v>
      </c>
      <c r="B2061" s="14">
        <f t="shared" si="1"/>
        <v>0.1108849361</v>
      </c>
      <c r="C2061" s="39">
        <f t="array" ref="C2061">NPV(B2061,FCFF!$C$9:$I$9)+FCFF!$B$9+FCFF!$I$9*(1+Inputs!$B$6)/(B2061-Inputs!$B$6)/(1+B2061)^7</f>
        <v>-1649.822224</v>
      </c>
    </row>
    <row r="2062" ht="14.25" customHeight="1">
      <c r="A2062" s="7">
        <v>2049.0</v>
      </c>
      <c r="B2062" s="14">
        <f t="shared" si="1"/>
        <v>0.131948297</v>
      </c>
      <c r="C2062" s="39">
        <f t="array" ref="C2062">NPV(B2062,FCFF!$C$9:$I$9)+FCFF!$B$9+FCFF!$I$9*(1+Inputs!$B$6)/(B2062-Inputs!$B$6)/(1+B2062)^7</f>
        <v>-1998.075066</v>
      </c>
    </row>
    <row r="2063" ht="14.25" customHeight="1">
      <c r="A2063" s="7">
        <v>2050.0</v>
      </c>
      <c r="B2063" s="14">
        <f t="shared" si="1"/>
        <v>0.09921218533</v>
      </c>
      <c r="C2063" s="39">
        <f t="array" ref="C2063">NPV(B2063,FCFF!$C$9:$I$9)+FCFF!$B$9+FCFF!$I$9*(1+Inputs!$B$6)/(B2063-Inputs!$B$6)/(1+B2063)^7</f>
        <v>-1361.131642</v>
      </c>
    </row>
    <row r="2064" ht="14.25" customHeight="1">
      <c r="A2064" s="7">
        <v>2051.0</v>
      </c>
      <c r="B2064" s="14">
        <f t="shared" si="1"/>
        <v>0.09554066896</v>
      </c>
      <c r="C2064" s="39">
        <f t="array" ref="C2064">NPV(B2064,FCFF!$C$9:$I$9)+FCFF!$B$9+FCFF!$I$9*(1+Inputs!$B$6)/(B2064-Inputs!$B$6)/(1+B2064)^7</f>
        <v>-1248.82141</v>
      </c>
    </row>
    <row r="2065" ht="14.25" customHeight="1">
      <c r="A2065" s="7">
        <v>2052.0</v>
      </c>
      <c r="B2065" s="14">
        <f t="shared" si="1"/>
        <v>0.1013515147</v>
      </c>
      <c r="C2065" s="39">
        <f t="array" ref="C2065">NPV(B2065,FCFF!$C$9:$I$9)+FCFF!$B$9+FCFF!$I$9*(1+Inputs!$B$6)/(B2065-Inputs!$B$6)/(1+B2065)^7</f>
        <v>-1421.228265</v>
      </c>
    </row>
    <row r="2066" ht="14.25" customHeight="1">
      <c r="A2066" s="7">
        <v>2053.0</v>
      </c>
      <c r="B2066" s="14">
        <f t="shared" si="1"/>
        <v>0.1156767995</v>
      </c>
      <c r="C2066" s="39">
        <f t="array" ref="C2066">NPV(B2066,FCFF!$C$9:$I$9)+FCFF!$B$9+FCFF!$I$9*(1+Inputs!$B$6)/(B2066-Inputs!$B$6)/(1+B2066)^7</f>
        <v>-1744.976024</v>
      </c>
    </row>
    <row r="2067" ht="14.25" customHeight="1">
      <c r="A2067" s="7">
        <v>2054.0</v>
      </c>
      <c r="B2067" s="14">
        <f t="shared" si="1"/>
        <v>0.1007278911</v>
      </c>
      <c r="C2067" s="39">
        <f t="array" ref="C2067">NPV(B2067,FCFF!$C$9:$I$9)+FCFF!$B$9+FCFF!$I$9*(1+Inputs!$B$6)/(B2067-Inputs!$B$6)/(1+B2067)^7</f>
        <v>-1404.088117</v>
      </c>
    </row>
    <row r="2068" ht="14.25" customHeight="1">
      <c r="A2068" s="7">
        <v>2055.0</v>
      </c>
      <c r="B2068" s="14">
        <f t="shared" si="1"/>
        <v>0.1178913097</v>
      </c>
      <c r="C2068" s="39">
        <f t="array" ref="C2068">NPV(B2068,FCFF!$C$9:$I$9)+FCFF!$B$9+FCFF!$I$9*(1+Inputs!$B$6)/(B2068-Inputs!$B$6)/(1+B2068)^7</f>
        <v>-1785.292643</v>
      </c>
    </row>
    <row r="2069" ht="14.25" customHeight="1">
      <c r="A2069" s="7">
        <v>2056.0</v>
      </c>
      <c r="B2069" s="14">
        <f t="shared" si="1"/>
        <v>0.1310902331</v>
      </c>
      <c r="C2069" s="39">
        <f t="array" ref="C2069">NPV(B2069,FCFF!$C$9:$I$9)+FCFF!$B$9+FCFF!$I$9*(1+Inputs!$B$6)/(B2069-Inputs!$B$6)/(1+B2069)^7</f>
        <v>-1986.906038</v>
      </c>
    </row>
    <row r="2070" ht="14.25" customHeight="1">
      <c r="A2070" s="7">
        <v>2057.0</v>
      </c>
      <c r="B2070" s="14">
        <f t="shared" si="1"/>
        <v>0.09409210149</v>
      </c>
      <c r="C2070" s="39">
        <f t="array" ref="C2070">NPV(B2070,FCFF!$C$9:$I$9)+FCFF!$B$9+FCFF!$I$9*(1+Inputs!$B$6)/(B2070-Inputs!$B$6)/(1+B2070)^7</f>
        <v>-1200.98321</v>
      </c>
    </row>
    <row r="2071" ht="14.25" customHeight="1">
      <c r="A2071" s="7">
        <v>2058.0</v>
      </c>
      <c r="B2071" s="14">
        <f t="shared" si="1"/>
        <v>0.1278898757</v>
      </c>
      <c r="C2071" s="39">
        <f t="array" ref="C2071">NPV(B2071,FCFF!$C$9:$I$9)+FCFF!$B$9+FCFF!$I$9*(1+Inputs!$B$6)/(B2071-Inputs!$B$6)/(1+B2071)^7</f>
        <v>-1943.368907</v>
      </c>
    </row>
    <row r="2072" ht="14.25" customHeight="1">
      <c r="A2072" s="7">
        <v>2059.0</v>
      </c>
      <c r="B2072" s="14">
        <f t="shared" si="1"/>
        <v>0.09608956551</v>
      </c>
      <c r="C2072" s="39">
        <f t="array" ref="C2072">NPV(B2072,FCFF!$C$9:$I$9)+FCFF!$B$9+FCFF!$I$9*(1+Inputs!$B$6)/(B2072-Inputs!$B$6)/(1+B2072)^7</f>
        <v>-1266.403927</v>
      </c>
    </row>
    <row r="2073" ht="14.25" customHeight="1">
      <c r="A2073" s="7">
        <v>2060.0</v>
      </c>
      <c r="B2073" s="14">
        <f t="shared" si="1"/>
        <v>0.1054093302</v>
      </c>
      <c r="C2073" s="39">
        <f t="array" ref="C2073">NPV(B2073,FCFF!$C$9:$I$9)+FCFF!$B$9+FCFF!$I$9*(1+Inputs!$B$6)/(B2073-Inputs!$B$6)/(1+B2073)^7</f>
        <v>-1525.746188</v>
      </c>
    </row>
    <row r="2074" ht="14.25" customHeight="1">
      <c r="A2074" s="7">
        <v>2061.0</v>
      </c>
      <c r="B2074" s="14">
        <f t="shared" si="1"/>
        <v>0.1324165164</v>
      </c>
      <c r="C2074" s="39">
        <f t="array" ref="C2074">NPV(B2074,FCFF!$C$9:$I$9)+FCFF!$B$9+FCFF!$I$9*(1+Inputs!$B$6)/(B2074-Inputs!$B$6)/(1+B2074)^7</f>
        <v>-2004.083678</v>
      </c>
    </row>
    <row r="2075" ht="14.25" customHeight="1">
      <c r="A2075" s="7">
        <v>2062.0</v>
      </c>
      <c r="B2075" s="14">
        <f t="shared" si="1"/>
        <v>0.1324558743</v>
      </c>
      <c r="C2075" s="39">
        <f t="array" ref="C2075">NPV(B2075,FCFF!$C$9:$I$9)+FCFF!$B$9+FCFF!$I$9*(1+Inputs!$B$6)/(B2075-Inputs!$B$6)/(1+B2075)^7</f>
        <v>-2004.586023</v>
      </c>
    </row>
    <row r="2076" ht="14.25" customHeight="1">
      <c r="A2076" s="7">
        <v>2063.0</v>
      </c>
      <c r="B2076" s="14">
        <f t="shared" si="1"/>
        <v>0.1191648664</v>
      </c>
      <c r="C2076" s="39">
        <f t="array" ref="C2076">NPV(B2076,FCFF!$C$9:$I$9)+FCFF!$B$9+FCFF!$I$9*(1+Inputs!$B$6)/(B2076-Inputs!$B$6)/(1+B2076)^7</f>
        <v>-1807.524914</v>
      </c>
    </row>
    <row r="2077" ht="14.25" customHeight="1">
      <c r="A2077" s="7">
        <v>2064.0</v>
      </c>
      <c r="B2077" s="14">
        <f t="shared" si="1"/>
        <v>0.1313688572</v>
      </c>
      <c r="C2077" s="39">
        <f t="array" ref="C2077">NPV(B2077,FCFF!$C$9:$I$9)+FCFF!$B$9+FCFF!$I$9*(1+Inputs!$B$6)/(B2077-Inputs!$B$6)/(1+B2077)^7</f>
        <v>-1990.555342</v>
      </c>
    </row>
    <row r="2078" ht="14.25" customHeight="1">
      <c r="A2078" s="7">
        <v>2065.0</v>
      </c>
      <c r="B2078" s="14">
        <f t="shared" si="1"/>
        <v>0.1006255649</v>
      </c>
      <c r="C2078" s="39">
        <f t="array" ref="C2078">NPV(B2078,FCFF!$C$9:$I$9)+FCFF!$B$9+FCFF!$I$9*(1+Inputs!$B$6)/(B2078-Inputs!$B$6)/(1+B2078)^7</f>
        <v>-1401.246538</v>
      </c>
    </row>
    <row r="2079" ht="14.25" customHeight="1">
      <c r="A2079" s="7">
        <v>2066.0</v>
      </c>
      <c r="B2079" s="14">
        <f t="shared" si="1"/>
        <v>0.1115283587</v>
      </c>
      <c r="C2079" s="39">
        <f t="array" ref="C2079">NPV(B2079,FCFF!$C$9:$I$9)+FCFF!$B$9+FCFF!$I$9*(1+Inputs!$B$6)/(B2079-Inputs!$B$6)/(1+B2079)^7</f>
        <v>-1663.275178</v>
      </c>
    </row>
    <row r="2080" ht="14.25" customHeight="1">
      <c r="A2080" s="7">
        <v>2067.0</v>
      </c>
      <c r="B2080" s="14">
        <f t="shared" si="1"/>
        <v>0.09479040055</v>
      </c>
      <c r="C2080" s="39">
        <f t="array" ref="C2080">NPV(B2080,FCFF!$C$9:$I$9)+FCFF!$B$9+FCFF!$I$9*(1+Inputs!$B$6)/(B2080-Inputs!$B$6)/(1+B2080)^7</f>
        <v>-1224.309258</v>
      </c>
    </row>
    <row r="2081" ht="14.25" customHeight="1">
      <c r="A2081" s="7">
        <v>2068.0</v>
      </c>
      <c r="B2081" s="14">
        <f t="shared" si="1"/>
        <v>0.1284413035</v>
      </c>
      <c r="C2081" s="39">
        <f t="array" ref="C2081">NPV(B2081,FCFF!$C$9:$I$9)+FCFF!$B$9+FCFF!$I$9*(1+Inputs!$B$6)/(B2081-Inputs!$B$6)/(1+B2081)^7</f>
        <v>-1951.089152</v>
      </c>
    </row>
    <row r="2082" ht="14.25" customHeight="1">
      <c r="A2082" s="7">
        <v>2069.0</v>
      </c>
      <c r="B2082" s="14">
        <f t="shared" si="1"/>
        <v>0.1015154538</v>
      </c>
      <c r="C2082" s="39">
        <f t="array" ref="C2082">NPV(B2082,FCFF!$C$9:$I$9)+FCFF!$B$9+FCFF!$I$9*(1+Inputs!$B$6)/(B2082-Inputs!$B$6)/(1+B2082)^7</f>
        <v>-1425.683994</v>
      </c>
    </row>
    <row r="2083" ht="14.25" customHeight="1">
      <c r="A2083" s="7">
        <v>2070.0</v>
      </c>
      <c r="B2083" s="14">
        <f t="shared" si="1"/>
        <v>0.1048896028</v>
      </c>
      <c r="C2083" s="39">
        <f t="array" ref="C2083">NPV(B2083,FCFF!$C$9:$I$9)+FCFF!$B$9+FCFF!$I$9*(1+Inputs!$B$6)/(B2083-Inputs!$B$6)/(1+B2083)^7</f>
        <v>-1513.002307</v>
      </c>
    </row>
    <row r="2084" ht="14.25" customHeight="1">
      <c r="A2084" s="7">
        <v>2071.0</v>
      </c>
      <c r="B2084" s="14">
        <f t="shared" si="1"/>
        <v>0.1047393004</v>
      </c>
      <c r="C2084" s="39">
        <f t="array" ref="C2084">NPV(B2084,FCFF!$C$9:$I$9)+FCFF!$B$9+FCFF!$I$9*(1+Inputs!$B$6)/(B2084-Inputs!$B$6)/(1+B2084)^7</f>
        <v>-1509.283151</v>
      </c>
    </row>
    <row r="2085" ht="14.25" customHeight="1">
      <c r="A2085" s="7">
        <v>2072.0</v>
      </c>
      <c r="B2085" s="14">
        <f t="shared" si="1"/>
        <v>0.1167487082</v>
      </c>
      <c r="C2085" s="39">
        <f t="array" ref="C2085">NPV(B2085,FCFF!$C$9:$I$9)+FCFF!$B$9+FCFF!$I$9*(1+Inputs!$B$6)/(B2085-Inputs!$B$6)/(1+B2085)^7</f>
        <v>-1764.760808</v>
      </c>
    </row>
    <row r="2086" ht="14.25" customHeight="1">
      <c r="A2086" s="7">
        <v>2073.0</v>
      </c>
      <c r="B2086" s="14">
        <f t="shared" si="1"/>
        <v>0.1201022314</v>
      </c>
      <c r="C2086" s="39">
        <f t="array" ref="C2086">NPV(B2086,FCFF!$C$9:$I$9)+FCFF!$B$9+FCFF!$I$9*(1+Inputs!$B$6)/(B2086-Inputs!$B$6)/(1+B2086)^7</f>
        <v>-1823.464492</v>
      </c>
    </row>
    <row r="2087" ht="14.25" customHeight="1">
      <c r="A2087" s="7">
        <v>2074.0</v>
      </c>
      <c r="B2087" s="14">
        <f t="shared" si="1"/>
        <v>0.1212444169</v>
      </c>
      <c r="C2087" s="39">
        <f t="array" ref="C2087">NPV(B2087,FCFF!$C$9:$I$9)+FCFF!$B$9+FCFF!$I$9*(1+Inputs!$B$6)/(B2087-Inputs!$B$6)/(1+B2087)^7</f>
        <v>-1842.418425</v>
      </c>
    </row>
    <row r="2088" ht="14.25" customHeight="1">
      <c r="A2088" s="7">
        <v>2075.0</v>
      </c>
      <c r="B2088" s="14">
        <f t="shared" si="1"/>
        <v>0.09925856133</v>
      </c>
      <c r="C2088" s="39">
        <f t="array" ref="C2088">NPV(B2088,FCFF!$C$9:$I$9)+FCFF!$B$9+FCFF!$I$9*(1+Inputs!$B$6)/(B2088-Inputs!$B$6)/(1+B2088)^7</f>
        <v>-1362.474026</v>
      </c>
    </row>
    <row r="2089" ht="14.25" customHeight="1">
      <c r="A2089" s="7">
        <v>2076.0</v>
      </c>
      <c r="B2089" s="14">
        <f t="shared" si="1"/>
        <v>0.1210561849</v>
      </c>
      <c r="C2089" s="39">
        <f t="array" ref="C2089">NPV(B2089,FCFF!$C$9:$I$9)+FCFF!$B$9+FCFF!$I$9*(1+Inputs!$B$6)/(B2089-Inputs!$B$6)/(1+B2089)^7</f>
        <v>-1839.329531</v>
      </c>
    </row>
    <row r="2090" ht="14.25" customHeight="1">
      <c r="A2090" s="7">
        <v>2077.0</v>
      </c>
      <c r="B2090" s="14">
        <f t="shared" si="1"/>
        <v>0.1038704368</v>
      </c>
      <c r="C2090" s="39">
        <f t="array" ref="C2090">NPV(B2090,FCFF!$C$9:$I$9)+FCFF!$B$9+FCFF!$I$9*(1+Inputs!$B$6)/(B2090-Inputs!$B$6)/(1+B2090)^7</f>
        <v>-1487.481459</v>
      </c>
    </row>
    <row r="2091" ht="14.25" customHeight="1">
      <c r="A2091" s="7">
        <v>2078.0</v>
      </c>
      <c r="B2091" s="14">
        <f t="shared" si="1"/>
        <v>0.1183668715</v>
      </c>
      <c r="C2091" s="39">
        <f t="array" ref="C2091">NPV(B2091,FCFF!$C$9:$I$9)+FCFF!$B$9+FCFF!$I$9*(1+Inputs!$B$6)/(B2091-Inputs!$B$6)/(1+B2091)^7</f>
        <v>-1793.67353</v>
      </c>
    </row>
    <row r="2092" ht="14.25" customHeight="1">
      <c r="A2092" s="7">
        <v>2079.0</v>
      </c>
      <c r="B2092" s="14">
        <f t="shared" si="1"/>
        <v>0.1256011729</v>
      </c>
      <c r="C2092" s="39">
        <f t="array" ref="C2092">NPV(B2092,FCFF!$C$9:$I$9)+FCFF!$B$9+FCFF!$I$9*(1+Inputs!$B$6)/(B2092-Inputs!$B$6)/(1+B2092)^7</f>
        <v>-1910.298371</v>
      </c>
    </row>
    <row r="2093" ht="14.25" customHeight="1">
      <c r="A2093" s="7">
        <v>2080.0</v>
      </c>
      <c r="B2093" s="14">
        <f t="shared" si="1"/>
        <v>0.1263971119</v>
      </c>
      <c r="C2093" s="39">
        <f t="array" ref="C2093">NPV(B2093,FCFF!$C$9:$I$9)+FCFF!$B$9+FCFF!$I$9*(1+Inputs!$B$6)/(B2093-Inputs!$B$6)/(1+B2093)^7</f>
        <v>-1921.990974</v>
      </c>
    </row>
    <row r="2094" ht="14.25" customHeight="1">
      <c r="A2094" s="7">
        <v>2081.0</v>
      </c>
      <c r="B2094" s="14">
        <f t="shared" si="1"/>
        <v>0.1213968724</v>
      </c>
      <c r="C2094" s="39">
        <f t="array" ref="C2094">NPV(B2094,FCFF!$C$9:$I$9)+FCFF!$B$9+FCFF!$I$9*(1+Inputs!$B$6)/(B2094-Inputs!$B$6)/(1+B2094)^7</f>
        <v>-1844.910323</v>
      </c>
    </row>
    <row r="2095" ht="14.25" customHeight="1">
      <c r="A2095" s="7">
        <v>2082.0</v>
      </c>
      <c r="B2095" s="14">
        <f t="shared" si="1"/>
        <v>0.1329676793</v>
      </c>
      <c r="C2095" s="39">
        <f t="array" ref="C2095">NPV(B2095,FCFF!$C$9:$I$9)+FCFF!$B$9+FCFF!$I$9*(1+Inputs!$B$6)/(B2095-Inputs!$B$6)/(1+B2095)^7</f>
        <v>-2011.080285</v>
      </c>
    </row>
    <row r="2096" ht="14.25" customHeight="1">
      <c r="A2096" s="7">
        <v>2083.0</v>
      </c>
      <c r="B2096" s="14">
        <f t="shared" si="1"/>
        <v>0.1220897485</v>
      </c>
      <c r="C2096" s="39">
        <f t="array" ref="C2096">NPV(B2096,FCFF!$C$9:$I$9)+FCFF!$B$9+FCFF!$I$9*(1+Inputs!$B$6)/(B2096-Inputs!$B$6)/(1+B2096)^7</f>
        <v>-1856.124979</v>
      </c>
    </row>
    <row r="2097" ht="14.25" customHeight="1">
      <c r="A2097" s="7">
        <v>2084.0</v>
      </c>
      <c r="B2097" s="14">
        <f t="shared" si="1"/>
        <v>0.09515053344</v>
      </c>
      <c r="C2097" s="39">
        <f t="array" ref="C2097">NPV(B2097,FCFF!$C$9:$I$9)+FCFF!$B$9+FCFF!$I$9*(1+Inputs!$B$6)/(B2097-Inputs!$B$6)/(1+B2097)^7</f>
        <v>-1236.14523</v>
      </c>
    </row>
    <row r="2098" ht="14.25" customHeight="1">
      <c r="A2098" s="7">
        <v>2085.0</v>
      </c>
      <c r="B2098" s="14">
        <f t="shared" si="1"/>
        <v>0.1311329638</v>
      </c>
      <c r="C2098" s="39">
        <f t="array" ref="C2098">NPV(B2098,FCFF!$C$9:$I$9)+FCFF!$B$9+FCFF!$I$9*(1+Inputs!$B$6)/(B2098-Inputs!$B$6)/(1+B2098)^7</f>
        <v>-1987.467128</v>
      </c>
    </row>
    <row r="2099" ht="14.25" customHeight="1">
      <c r="A2099" s="7">
        <v>2086.0</v>
      </c>
      <c r="B2099" s="14">
        <f t="shared" si="1"/>
        <v>0.1231691835</v>
      </c>
      <c r="C2099" s="39">
        <f t="array" ref="C2099">NPV(B2099,FCFF!$C$9:$I$9)+FCFF!$B$9+FCFF!$I$9*(1+Inputs!$B$6)/(B2099-Inputs!$B$6)/(1+B2099)^7</f>
        <v>-1873.242758</v>
      </c>
    </row>
    <row r="2100" ht="14.25" customHeight="1">
      <c r="A2100" s="7">
        <v>2087.0</v>
      </c>
      <c r="B2100" s="14">
        <f t="shared" si="1"/>
        <v>0.1314677614</v>
      </c>
      <c r="C2100" s="39">
        <f t="array" ref="C2100">NPV(B2100,FCFF!$C$9:$I$9)+FCFF!$B$9+FCFF!$I$9*(1+Inputs!$B$6)/(B2100-Inputs!$B$6)/(1+B2100)^7</f>
        <v>-1991.845501</v>
      </c>
    </row>
    <row r="2101" ht="14.25" customHeight="1">
      <c r="A2101" s="7">
        <v>2088.0</v>
      </c>
      <c r="B2101" s="14">
        <f t="shared" si="1"/>
        <v>0.1055866512</v>
      </c>
      <c r="C2101" s="39">
        <f t="array" ref="C2101">NPV(B2101,FCFF!$C$9:$I$9)+FCFF!$B$9+FCFF!$I$9*(1+Inputs!$B$6)/(B2101-Inputs!$B$6)/(1+B2101)^7</f>
        <v>-1530.053242</v>
      </c>
    </row>
    <row r="2102" ht="14.25" customHeight="1">
      <c r="A2102" s="7">
        <v>2089.0</v>
      </c>
      <c r="B2102" s="14">
        <f t="shared" si="1"/>
        <v>0.1026369471</v>
      </c>
      <c r="C2102" s="39">
        <f t="array" ref="C2102">NPV(B2102,FCFF!$C$9:$I$9)+FCFF!$B$9+FCFF!$I$9*(1+Inputs!$B$6)/(B2102-Inputs!$B$6)/(1+B2102)^7</f>
        <v>-1455.619791</v>
      </c>
    </row>
    <row r="2103" ht="14.25" customHeight="1">
      <c r="A2103" s="7">
        <v>2090.0</v>
      </c>
      <c r="B2103" s="14">
        <f t="shared" si="1"/>
        <v>0.1297952398</v>
      </c>
      <c r="C2103" s="39">
        <f t="array" ref="C2103">NPV(B2103,FCFF!$C$9:$I$9)+FCFF!$B$9+FCFF!$I$9*(1+Inputs!$B$6)/(B2103-Inputs!$B$6)/(1+B2103)^7</f>
        <v>-1969.653734</v>
      </c>
    </row>
    <row r="2104" ht="14.25" customHeight="1">
      <c r="A2104" s="7">
        <v>2091.0</v>
      </c>
      <c r="B2104" s="14">
        <f t="shared" si="1"/>
        <v>0.115927305</v>
      </c>
      <c r="C2104" s="39">
        <f t="array" ref="C2104">NPV(B2104,FCFF!$C$9:$I$9)+FCFF!$B$9+FCFF!$I$9*(1+Inputs!$B$6)/(B2104-Inputs!$B$6)/(1+B2104)^7</f>
        <v>-1749.64609</v>
      </c>
    </row>
    <row r="2105" ht="14.25" customHeight="1">
      <c r="A2105" s="7">
        <v>2092.0</v>
      </c>
      <c r="B2105" s="14">
        <f t="shared" si="1"/>
        <v>0.1183415827</v>
      </c>
      <c r="C2105" s="39">
        <f t="array" ref="C2105">NPV(B2105,FCFF!$C$9:$I$9)+FCFF!$B$9+FCFF!$I$9*(1+Inputs!$B$6)/(B2105-Inputs!$B$6)/(1+B2105)^7</f>
        <v>-1793.230256</v>
      </c>
    </row>
    <row r="2106" ht="14.25" customHeight="1">
      <c r="A2106" s="7">
        <v>2093.0</v>
      </c>
      <c r="B2106" s="14">
        <f t="shared" si="1"/>
        <v>0.1293049719</v>
      </c>
      <c r="C2106" s="39">
        <f t="array" ref="C2106">NPV(B2106,FCFF!$C$9:$I$9)+FCFF!$B$9+FCFF!$I$9*(1+Inputs!$B$6)/(B2106-Inputs!$B$6)/(1+B2106)^7</f>
        <v>-1962.994707</v>
      </c>
    </row>
    <row r="2107" ht="14.25" customHeight="1">
      <c r="A2107" s="7">
        <v>2094.0</v>
      </c>
      <c r="B2107" s="14">
        <f t="shared" si="1"/>
        <v>0.1022535685</v>
      </c>
      <c r="C2107" s="39">
        <f t="array" ref="C2107">NPV(B2107,FCFF!$C$9:$I$9)+FCFF!$B$9+FCFF!$I$9*(1+Inputs!$B$6)/(B2107-Inputs!$B$6)/(1+B2107)^7</f>
        <v>-1445.49215</v>
      </c>
    </row>
    <row r="2108" ht="14.25" customHeight="1">
      <c r="A2108" s="7">
        <v>2095.0</v>
      </c>
      <c r="B2108" s="14">
        <f t="shared" si="1"/>
        <v>0.1110850987</v>
      </c>
      <c r="C2108" s="39">
        <f t="array" ref="C2108">NPV(B2108,FCFF!$C$9:$I$9)+FCFF!$B$9+FCFF!$I$9*(1+Inputs!$B$6)/(B2108-Inputs!$B$6)/(1+B2108)^7</f>
        <v>-1654.031005</v>
      </c>
    </row>
    <row r="2109" ht="14.25" customHeight="1">
      <c r="A2109" s="7">
        <v>2096.0</v>
      </c>
      <c r="B2109" s="14">
        <f t="shared" si="1"/>
        <v>0.1199778821</v>
      </c>
      <c r="C2109" s="39">
        <f t="array" ref="C2109">NPV(B2109,FCFF!$C$9:$I$9)+FCFF!$B$9+FCFF!$I$9*(1+Inputs!$B$6)/(B2109-Inputs!$B$6)/(1+B2109)^7</f>
        <v>-1821.370188</v>
      </c>
    </row>
    <row r="2110" ht="14.25" customHeight="1">
      <c r="A2110" s="7">
        <v>2097.0</v>
      </c>
      <c r="B2110" s="14">
        <f t="shared" si="1"/>
        <v>0.1146579944</v>
      </c>
      <c r="C2110" s="39">
        <f t="array" ref="C2110">NPV(B2110,FCFF!$C$9:$I$9)+FCFF!$B$9+FCFF!$I$9*(1+Inputs!$B$6)/(B2110-Inputs!$B$6)/(1+B2110)^7</f>
        <v>-1725.684648</v>
      </c>
    </row>
    <row r="2111" ht="14.25" customHeight="1">
      <c r="A2111" s="7">
        <v>2098.0</v>
      </c>
      <c r="B2111" s="14">
        <f t="shared" si="1"/>
        <v>0.1306084878</v>
      </c>
      <c r="C2111" s="39">
        <f t="array" ref="C2111">NPV(B2111,FCFF!$C$9:$I$9)+FCFF!$B$9+FCFF!$I$9*(1+Inputs!$B$6)/(B2111-Inputs!$B$6)/(1+B2111)^7</f>
        <v>-1980.544439</v>
      </c>
    </row>
    <row r="2112" ht="14.25" customHeight="1">
      <c r="A2112" s="7">
        <v>2099.0</v>
      </c>
      <c r="B2112" s="14">
        <f t="shared" si="1"/>
        <v>0.1173112867</v>
      </c>
      <c r="C2112" s="39">
        <f t="array" ref="C2112">NPV(B2112,FCFF!$C$9:$I$9)+FCFF!$B$9+FCFF!$I$9*(1+Inputs!$B$6)/(B2112-Inputs!$B$6)/(1+B2112)^7</f>
        <v>-1774.940627</v>
      </c>
    </row>
    <row r="2113" ht="14.25" customHeight="1">
      <c r="A2113" s="7">
        <v>2100.0</v>
      </c>
      <c r="B2113" s="14">
        <f t="shared" si="1"/>
        <v>0.11173263</v>
      </c>
      <c r="C2113" s="39">
        <f t="array" ref="C2113">NPV(B2113,FCFF!$C$9:$I$9)+FCFF!$B$9+FCFF!$I$9*(1+Inputs!$B$6)/(B2113-Inputs!$B$6)/(1+B2113)^7</f>
        <v>-1667.500271</v>
      </c>
    </row>
    <row r="2114" ht="14.25" customHeight="1">
      <c r="A2114" s="7">
        <v>2101.0</v>
      </c>
      <c r="B2114" s="14">
        <f t="shared" si="1"/>
        <v>0.1234991623</v>
      </c>
      <c r="C2114" s="39">
        <f t="array" ref="C2114">NPV(B2114,FCFF!$C$9:$I$9)+FCFF!$B$9+FCFF!$I$9*(1+Inputs!$B$6)/(B2114-Inputs!$B$6)/(1+B2114)^7</f>
        <v>-1878.391506</v>
      </c>
    </row>
    <row r="2115" ht="14.25" customHeight="1">
      <c r="A2115" s="7">
        <v>2102.0</v>
      </c>
      <c r="B2115" s="14">
        <f t="shared" si="1"/>
        <v>0.1175122338</v>
      </c>
      <c r="C2115" s="39">
        <f t="array" ref="C2115">NPV(B2115,FCFF!$C$9:$I$9)+FCFF!$B$9+FCFF!$I$9*(1+Inputs!$B$6)/(B2115-Inputs!$B$6)/(1+B2115)^7</f>
        <v>-1778.5434</v>
      </c>
    </row>
    <row r="2116" ht="14.25" customHeight="1">
      <c r="A2116" s="7">
        <v>2103.0</v>
      </c>
      <c r="B2116" s="14">
        <f t="shared" si="1"/>
        <v>0.09419838162</v>
      </c>
      <c r="C2116" s="39">
        <f t="array" ref="C2116">NPV(B2116,FCFF!$C$9:$I$9)+FCFF!$B$9+FCFF!$I$9*(1+Inputs!$B$6)/(B2116-Inputs!$B$6)/(1+B2116)^7</f>
        <v>-1204.565859</v>
      </c>
    </row>
    <row r="2117" ht="14.25" customHeight="1">
      <c r="A2117" s="7">
        <v>2104.0</v>
      </c>
      <c r="B2117" s="14">
        <f t="shared" si="1"/>
        <v>0.1267502069</v>
      </c>
      <c r="C2117" s="39">
        <f t="array" ref="C2117">NPV(B2117,FCFF!$C$9:$I$9)+FCFF!$B$9+FCFF!$I$9*(1+Inputs!$B$6)/(B2117-Inputs!$B$6)/(1+B2117)^7</f>
        <v>-1927.111842</v>
      </c>
    </row>
    <row r="2118" ht="14.25" customHeight="1">
      <c r="A2118" s="7">
        <v>2105.0</v>
      </c>
      <c r="B2118" s="14">
        <f t="shared" si="1"/>
        <v>0.1247642017</v>
      </c>
      <c r="C2118" s="39">
        <f t="array" ref="C2118">NPV(B2118,FCFF!$C$9:$I$9)+FCFF!$B$9+FCFF!$I$9*(1+Inputs!$B$6)/(B2118-Inputs!$B$6)/(1+B2118)^7</f>
        <v>-1897.775413</v>
      </c>
    </row>
    <row r="2119" ht="14.25" customHeight="1">
      <c r="A2119" s="7">
        <v>2106.0</v>
      </c>
      <c r="B2119" s="14">
        <f t="shared" si="1"/>
        <v>0.1119833946</v>
      </c>
      <c r="C2119" s="39">
        <f t="array" ref="C2119">NPV(B2119,FCFF!$C$9:$I$9)+FCFF!$B$9+FCFF!$I$9*(1+Inputs!$B$6)/(B2119-Inputs!$B$6)/(1+B2119)^7</f>
        <v>-1672.657163</v>
      </c>
    </row>
    <row r="2120" ht="14.25" customHeight="1">
      <c r="A2120" s="7">
        <v>2107.0</v>
      </c>
      <c r="B2120" s="14">
        <f t="shared" si="1"/>
        <v>0.09759051663</v>
      </c>
      <c r="C2120" s="39">
        <f t="array" ref="C2120">NPV(B2120,FCFF!$C$9:$I$9)+FCFF!$B$9+FCFF!$I$9*(1+Inputs!$B$6)/(B2120-Inputs!$B$6)/(1+B2120)^7</f>
        <v>-1313.029389</v>
      </c>
    </row>
    <row r="2121" ht="14.25" customHeight="1">
      <c r="A2121" s="7">
        <v>2108.0</v>
      </c>
      <c r="B2121" s="14">
        <f t="shared" si="1"/>
        <v>0.1305421952</v>
      </c>
      <c r="C2121" s="39">
        <f t="array" ref="C2121">NPV(B2121,FCFF!$C$9:$I$9)+FCFF!$B$9+FCFF!$I$9*(1+Inputs!$B$6)/(B2121-Inputs!$B$6)/(1+B2121)^7</f>
        <v>-1979.663835</v>
      </c>
    </row>
    <row r="2122" ht="14.25" customHeight="1">
      <c r="A2122" s="7">
        <v>2109.0</v>
      </c>
      <c r="B2122" s="14">
        <f t="shared" si="1"/>
        <v>0.09464512451</v>
      </c>
      <c r="C2122" s="39">
        <f t="array" ref="C2122">NPV(B2122,FCFF!$C$9:$I$9)+FCFF!$B$9+FCFF!$I$9*(1+Inputs!$B$6)/(B2122-Inputs!$B$6)/(1+B2122)^7</f>
        <v>-1219.49762</v>
      </c>
    </row>
    <row r="2123" ht="14.25" customHeight="1">
      <c r="A2123" s="7">
        <v>2110.0</v>
      </c>
      <c r="B2123" s="14">
        <f t="shared" si="1"/>
        <v>0.1315912996</v>
      </c>
      <c r="C2123" s="39">
        <f t="array" ref="C2123">NPV(B2123,FCFF!$C$9:$I$9)+FCFF!$B$9+FCFF!$I$9*(1+Inputs!$B$6)/(B2123-Inputs!$B$6)/(1+B2123)^7</f>
        <v>-1993.453158</v>
      </c>
    </row>
    <row r="2124" ht="14.25" customHeight="1">
      <c r="A2124" s="7">
        <v>2111.0</v>
      </c>
      <c r="B2124" s="14">
        <f t="shared" si="1"/>
        <v>0.09847598847</v>
      </c>
      <c r="C2124" s="39">
        <f t="array" ref="C2124">NPV(B2124,FCFF!$C$9:$I$9)+FCFF!$B$9+FCFF!$I$9*(1+Inputs!$B$6)/(B2124-Inputs!$B$6)/(1+B2124)^7</f>
        <v>-1339.577463</v>
      </c>
    </row>
    <row r="2125" ht="14.25" customHeight="1">
      <c r="A2125" s="7">
        <v>2112.0</v>
      </c>
      <c r="B2125" s="14">
        <f t="shared" si="1"/>
        <v>0.1271121328</v>
      </c>
      <c r="C2125" s="39">
        <f t="array" ref="C2125">NPV(B2125,FCFF!$C$9:$I$9)+FCFF!$B$9+FCFF!$I$9*(1+Inputs!$B$6)/(B2125-Inputs!$B$6)/(1+B2125)^7</f>
        <v>-1932.319188</v>
      </c>
    </row>
    <row r="2126" ht="14.25" customHeight="1">
      <c r="A2126" s="7">
        <v>2113.0</v>
      </c>
      <c r="B2126" s="14">
        <f t="shared" si="1"/>
        <v>0.0965753957</v>
      </c>
      <c r="C2126" s="39">
        <f t="array" ref="C2126">NPV(B2126,FCFF!$C$9:$I$9)+FCFF!$B$9+FCFF!$I$9*(1+Inputs!$B$6)/(B2126-Inputs!$B$6)/(1+B2126)^7</f>
        <v>-1281.725351</v>
      </c>
    </row>
    <row r="2127" ht="14.25" customHeight="1">
      <c r="A2127" s="7">
        <v>2114.0</v>
      </c>
      <c r="B2127" s="14">
        <f t="shared" si="1"/>
        <v>0.1204255057</v>
      </c>
      <c r="C2127" s="39">
        <f t="array" ref="C2127">NPV(B2127,FCFF!$C$9:$I$9)+FCFF!$B$9+FCFF!$I$9*(1+Inputs!$B$6)/(B2127-Inputs!$B$6)/(1+B2127)^7</f>
        <v>-1828.880569</v>
      </c>
    </row>
    <row r="2128" ht="14.25" customHeight="1">
      <c r="A2128" s="7">
        <v>2115.0</v>
      </c>
      <c r="B2128" s="14">
        <f t="shared" si="1"/>
        <v>0.1091788795</v>
      </c>
      <c r="C2128" s="39">
        <f t="array" ref="C2128">NPV(B2128,FCFF!$C$9:$I$9)+FCFF!$B$9+FCFF!$I$9*(1+Inputs!$B$6)/(B2128-Inputs!$B$6)/(1+B2128)^7</f>
        <v>-1613.056104</v>
      </c>
    </row>
    <row r="2129" ht="14.25" customHeight="1">
      <c r="A2129" s="7">
        <v>2116.0</v>
      </c>
      <c r="B2129" s="14">
        <f t="shared" si="1"/>
        <v>0.09712819753</v>
      </c>
      <c r="C2129" s="39">
        <f t="array" ref="C2129">NPV(B2129,FCFF!$C$9:$I$9)+FCFF!$B$9+FCFF!$I$9*(1+Inputs!$B$6)/(B2129-Inputs!$B$6)/(1+B2129)^7</f>
        <v>-1298.889775</v>
      </c>
    </row>
    <row r="2130" ht="14.25" customHeight="1">
      <c r="A2130" s="7">
        <v>2117.0</v>
      </c>
      <c r="B2130" s="14">
        <f t="shared" si="1"/>
        <v>0.128922506</v>
      </c>
      <c r="C2130" s="39">
        <f t="array" ref="C2130">NPV(B2130,FCFF!$C$9:$I$9)+FCFF!$B$9+FCFF!$I$9*(1+Inputs!$B$6)/(B2130-Inputs!$B$6)/(1+B2130)^7</f>
        <v>-1957.750219</v>
      </c>
    </row>
    <row r="2131" ht="14.25" customHeight="1">
      <c r="A2131" s="7">
        <v>2118.0</v>
      </c>
      <c r="B2131" s="14">
        <f t="shared" si="1"/>
        <v>0.127299859</v>
      </c>
      <c r="C2131" s="39">
        <f t="array" ref="C2131">NPV(B2131,FCFF!$C$9:$I$9)+FCFF!$B$9+FCFF!$I$9*(1+Inputs!$B$6)/(B2131-Inputs!$B$6)/(1+B2131)^7</f>
        <v>-1935.003735</v>
      </c>
    </row>
    <row r="2132" ht="14.25" customHeight="1">
      <c r="A2132" s="7">
        <v>2119.0</v>
      </c>
      <c r="B2132" s="14">
        <f t="shared" si="1"/>
        <v>0.1146683615</v>
      </c>
      <c r="C2132" s="39">
        <f t="array" ref="C2132">NPV(B2132,FCFF!$C$9:$I$9)+FCFF!$B$9+FCFF!$I$9*(1+Inputs!$B$6)/(B2132-Inputs!$B$6)/(1+B2132)^7</f>
        <v>-1725.883396</v>
      </c>
    </row>
    <row r="2133" ht="14.25" customHeight="1">
      <c r="A2133" s="7">
        <v>2120.0</v>
      </c>
      <c r="B2133" s="14">
        <f t="shared" si="1"/>
        <v>0.09472217659</v>
      </c>
      <c r="C2133" s="39">
        <f t="array" ref="C2133">NPV(B2133,FCFF!$C$9:$I$9)+FCFF!$B$9+FCFF!$I$9*(1+Inputs!$B$6)/(B2133-Inputs!$B$6)/(1+B2133)^7</f>
        <v>-1222.052306</v>
      </c>
    </row>
    <row r="2134" ht="14.25" customHeight="1">
      <c r="A2134" s="7">
        <v>2121.0</v>
      </c>
      <c r="B2134" s="14">
        <f t="shared" si="1"/>
        <v>0.1117417101</v>
      </c>
      <c r="C2134" s="39">
        <f t="array" ref="C2134">NPV(B2134,FCFF!$C$9:$I$9)+FCFF!$B$9+FCFF!$I$9*(1+Inputs!$B$6)/(B2134-Inputs!$B$6)/(1+B2134)^7</f>
        <v>-1667.687574</v>
      </c>
    </row>
    <row r="2135" ht="14.25" customHeight="1">
      <c r="A2135" s="7">
        <v>2122.0</v>
      </c>
      <c r="B2135" s="14">
        <f t="shared" si="1"/>
        <v>0.1219608885</v>
      </c>
      <c r="C2135" s="39">
        <f t="array" ref="C2135">NPV(B2135,FCFF!$C$9:$I$9)+FCFF!$B$9+FCFF!$I$9*(1+Inputs!$B$6)/(B2135-Inputs!$B$6)/(1+B2135)^7</f>
        <v>-1854.052898</v>
      </c>
    </row>
    <row r="2136" ht="14.25" customHeight="1">
      <c r="A2136" s="7">
        <v>2123.0</v>
      </c>
      <c r="B2136" s="14">
        <f t="shared" si="1"/>
        <v>0.1254371037</v>
      </c>
      <c r="C2136" s="39">
        <f t="array" ref="C2136">NPV(B2136,FCFF!$C$9:$I$9)+FCFF!$B$9+FCFF!$I$9*(1+Inputs!$B$6)/(B2136-Inputs!$B$6)/(1+B2136)^7</f>
        <v>-1907.862092</v>
      </c>
    </row>
    <row r="2137" ht="14.25" customHeight="1">
      <c r="A2137" s="7">
        <v>2124.0</v>
      </c>
      <c r="B2137" s="14">
        <f t="shared" si="1"/>
        <v>0.125938404</v>
      </c>
      <c r="C2137" s="39">
        <f t="array" ref="C2137">NPV(B2137,FCFF!$C$9:$I$9)+FCFF!$B$9+FCFF!$I$9*(1+Inputs!$B$6)/(B2137-Inputs!$B$6)/(1+B2137)^7</f>
        <v>-1915.277857</v>
      </c>
    </row>
    <row r="2138" ht="14.25" customHeight="1">
      <c r="A2138" s="7">
        <v>2125.0</v>
      </c>
      <c r="B2138" s="14">
        <f t="shared" si="1"/>
        <v>0.1307024944</v>
      </c>
      <c r="C2138" s="39">
        <f t="array" ref="C2138">NPV(B2138,FCFF!$C$9:$I$9)+FCFF!$B$9+FCFF!$I$9*(1+Inputs!$B$6)/(B2138-Inputs!$B$6)/(1+B2138)^7</f>
        <v>-1981.791023</v>
      </c>
    </row>
    <row r="2139" ht="14.25" customHeight="1">
      <c r="A2139" s="7">
        <v>2126.0</v>
      </c>
      <c r="B2139" s="14">
        <f t="shared" si="1"/>
        <v>0.096640633</v>
      </c>
      <c r="C2139" s="39">
        <f t="array" ref="C2139">NPV(B2139,FCFF!$C$9:$I$9)+FCFF!$B$9+FCFF!$I$9*(1+Inputs!$B$6)/(B2139-Inputs!$B$6)/(1+B2139)^7</f>
        <v>-1283.76575</v>
      </c>
    </row>
    <row r="2140" ht="14.25" customHeight="1">
      <c r="A2140" s="7">
        <v>2127.0</v>
      </c>
      <c r="B2140" s="14">
        <f t="shared" si="1"/>
        <v>0.1132830019</v>
      </c>
      <c r="C2140" s="39">
        <f t="array" ref="C2140">NPV(B2140,FCFF!$C$9:$I$9)+FCFF!$B$9+FCFF!$I$9*(1+Inputs!$B$6)/(B2140-Inputs!$B$6)/(1+B2140)^7</f>
        <v>-1698.866574</v>
      </c>
    </row>
    <row r="2141" ht="14.25" customHeight="1">
      <c r="A2141" s="7">
        <v>2128.0</v>
      </c>
      <c r="B2141" s="14">
        <f t="shared" si="1"/>
        <v>0.1245516694</v>
      </c>
      <c r="C2141" s="39">
        <f t="array" ref="C2141">NPV(B2141,FCFF!$C$9:$I$9)+FCFF!$B$9+FCFF!$I$9*(1+Inputs!$B$6)/(B2141-Inputs!$B$6)/(1+B2141)^7</f>
        <v>-1894.557611</v>
      </c>
    </row>
    <row r="2142" ht="14.25" customHeight="1">
      <c r="A2142" s="7">
        <v>2129.0</v>
      </c>
      <c r="B2142" s="14">
        <f t="shared" si="1"/>
        <v>0.1293071817</v>
      </c>
      <c r="C2142" s="39">
        <f t="array" ref="C2142">NPV(B2142,FCFF!$C$9:$I$9)+FCFF!$B$9+FCFF!$I$9*(1+Inputs!$B$6)/(B2142-Inputs!$B$6)/(1+B2142)^7</f>
        <v>-1963.024881</v>
      </c>
    </row>
    <row r="2143" ht="14.25" customHeight="1">
      <c r="A2143" s="7">
        <v>2130.0</v>
      </c>
      <c r="B2143" s="14">
        <f t="shared" si="1"/>
        <v>0.1061142951</v>
      </c>
      <c r="C2143" s="39">
        <f t="array" ref="C2143">NPV(B2143,FCFF!$C$9:$I$9)+FCFF!$B$9+FCFF!$I$9*(1+Inputs!$B$6)/(B2143-Inputs!$B$6)/(1+B2143)^7</f>
        <v>-1542.748261</v>
      </c>
    </row>
    <row r="2144" ht="14.25" customHeight="1">
      <c r="A2144" s="7">
        <v>2131.0</v>
      </c>
      <c r="B2144" s="14">
        <f t="shared" si="1"/>
        <v>0.1024612836</v>
      </c>
      <c r="C2144" s="39">
        <f t="array" ref="C2144">NPV(B2144,FCFF!$C$9:$I$9)+FCFF!$B$9+FCFF!$I$9*(1+Inputs!$B$6)/(B2144-Inputs!$B$6)/(1+B2144)^7</f>
        <v>-1450.992797</v>
      </c>
    </row>
    <row r="2145" ht="14.25" customHeight="1">
      <c r="A2145" s="7">
        <v>2132.0</v>
      </c>
      <c r="B2145" s="14">
        <f t="shared" si="1"/>
        <v>0.1099183939</v>
      </c>
      <c r="C2145" s="39">
        <f t="array" ref="C2145">NPV(B2145,FCFF!$C$9:$I$9)+FCFF!$B$9+FCFF!$I$9*(1+Inputs!$B$6)/(B2145-Inputs!$B$6)/(1+B2145)^7</f>
        <v>-1629.191944</v>
      </c>
    </row>
    <row r="2146" ht="14.25" customHeight="1">
      <c r="A2146" s="7">
        <v>2133.0</v>
      </c>
      <c r="B2146" s="14">
        <f t="shared" si="1"/>
        <v>0.1197788367</v>
      </c>
      <c r="C2146" s="39">
        <f t="array" ref="C2146">NPV(B2146,FCFF!$C$9:$I$9)+FCFF!$B$9+FCFF!$I$9*(1+Inputs!$B$6)/(B2146-Inputs!$B$6)/(1+B2146)^7</f>
        <v>-1818.005059</v>
      </c>
    </row>
    <row r="2147" ht="14.25" customHeight="1">
      <c r="A2147" s="7">
        <v>2134.0</v>
      </c>
      <c r="B2147" s="14">
        <f t="shared" si="1"/>
        <v>0.1214934419</v>
      </c>
      <c r="C2147" s="39">
        <f t="array" ref="C2147">NPV(B2147,FCFF!$C$9:$I$9)+FCFF!$B$9+FCFF!$I$9*(1+Inputs!$B$6)/(B2147-Inputs!$B$6)/(1+B2147)^7</f>
        <v>-1846.484196</v>
      </c>
    </row>
    <row r="2148" ht="14.25" customHeight="1">
      <c r="A2148" s="7">
        <v>2135.0</v>
      </c>
      <c r="B2148" s="14">
        <f t="shared" si="1"/>
        <v>0.1060568285</v>
      </c>
      <c r="C2148" s="39">
        <f t="array" ref="C2148">NPV(B2148,FCFF!$C$9:$I$9)+FCFF!$B$9+FCFF!$I$9*(1+Inputs!$B$6)/(B2148-Inputs!$B$6)/(1+B2148)^7</f>
        <v>-1541.37436</v>
      </c>
    </row>
    <row r="2149" ht="14.25" customHeight="1">
      <c r="A2149" s="7">
        <v>2136.0</v>
      </c>
      <c r="B2149" s="14">
        <f t="shared" si="1"/>
        <v>0.0967206981</v>
      </c>
      <c r="C2149" s="39">
        <f t="array" ref="C2149">NPV(B2149,FCFF!$C$9:$I$9)+FCFF!$B$9+FCFF!$I$9*(1+Inputs!$B$6)/(B2149-Inputs!$B$6)/(1+B2149)^7</f>
        <v>-1286.264471</v>
      </c>
    </row>
    <row r="2150" ht="14.25" customHeight="1">
      <c r="A2150" s="7">
        <v>2137.0</v>
      </c>
      <c r="B2150" s="14">
        <f t="shared" si="1"/>
        <v>0.1085035183</v>
      </c>
      <c r="C2150" s="39">
        <f t="array" ref="C2150">NPV(B2150,FCFF!$C$9:$I$9)+FCFF!$B$9+FCFF!$I$9*(1+Inputs!$B$6)/(B2150-Inputs!$B$6)/(1+B2150)^7</f>
        <v>-1598.04626</v>
      </c>
    </row>
    <row r="2151" ht="14.25" customHeight="1">
      <c r="A2151" s="7">
        <v>2138.0</v>
      </c>
      <c r="B2151" s="14">
        <f t="shared" si="1"/>
        <v>0.131305769</v>
      </c>
      <c r="C2151" s="39">
        <f t="array" ref="C2151">NPV(B2151,FCFF!$C$9:$I$9)+FCFF!$B$9+FCFF!$I$9*(1+Inputs!$B$6)/(B2151-Inputs!$B$6)/(1+B2151)^7</f>
        <v>-1989.730952</v>
      </c>
    </row>
    <row r="2152" ht="14.25" customHeight="1">
      <c r="A2152" s="7">
        <v>2139.0</v>
      </c>
      <c r="B2152" s="14">
        <f t="shared" si="1"/>
        <v>0.1210593866</v>
      </c>
      <c r="C2152" s="39">
        <f t="array" ref="C2152">NPV(B2152,FCFF!$C$9:$I$9)+FCFF!$B$9+FCFF!$I$9*(1+Inputs!$B$6)/(B2152-Inputs!$B$6)/(1+B2152)^7</f>
        <v>-1839.382184</v>
      </c>
    </row>
    <row r="2153" ht="14.25" customHeight="1">
      <c r="A2153" s="7">
        <v>2140.0</v>
      </c>
      <c r="B2153" s="14">
        <f t="shared" si="1"/>
        <v>0.1279082958</v>
      </c>
      <c r="C2153" s="39">
        <f t="array" ref="C2153">NPV(B2153,FCFF!$C$9:$I$9)+FCFF!$B$9+FCFF!$I$9*(1+Inputs!$B$6)/(B2153-Inputs!$B$6)/(1+B2153)^7</f>
        <v>-1943.628313</v>
      </c>
    </row>
    <row r="2154" ht="14.25" customHeight="1">
      <c r="A2154" s="7">
        <v>2141.0</v>
      </c>
      <c r="B2154" s="14">
        <f t="shared" si="1"/>
        <v>0.103669668</v>
      </c>
      <c r="C2154" s="39">
        <f t="array" ref="C2154">NPV(B2154,FCFF!$C$9:$I$9)+FCFF!$B$9+FCFF!$I$9*(1+Inputs!$B$6)/(B2154-Inputs!$B$6)/(1+B2154)^7</f>
        <v>-1482.369315</v>
      </c>
    </row>
    <row r="2155" ht="14.25" customHeight="1">
      <c r="A2155" s="7">
        <v>2142.0</v>
      </c>
      <c r="B2155" s="14">
        <f t="shared" si="1"/>
        <v>0.09798277258</v>
      </c>
      <c r="C2155" s="39">
        <f t="array" ref="C2155">NPV(B2155,FCFF!$C$9:$I$9)+FCFF!$B$9+FCFF!$I$9*(1+Inputs!$B$6)/(B2155-Inputs!$B$6)/(1+B2155)^7</f>
        <v>-1324.875373</v>
      </c>
    </row>
    <row r="2156" ht="14.25" customHeight="1">
      <c r="A2156" s="7">
        <v>2143.0</v>
      </c>
      <c r="B2156" s="14">
        <f t="shared" si="1"/>
        <v>0.1055071509</v>
      </c>
      <c r="C2156" s="39">
        <f t="array" ref="C2156">NPV(B2156,FCFF!$C$9:$I$9)+FCFF!$B$9+FCFF!$I$9*(1+Inputs!$B$6)/(B2156-Inputs!$B$6)/(1+B2156)^7</f>
        <v>-1528.124766</v>
      </c>
    </row>
    <row r="2157" ht="14.25" customHeight="1">
      <c r="A2157" s="7">
        <v>2144.0</v>
      </c>
      <c r="B2157" s="14">
        <f t="shared" si="1"/>
        <v>0.1198384471</v>
      </c>
      <c r="C2157" s="39">
        <f t="array" ref="C2157">NPV(B2157,FCFF!$C$9:$I$9)+FCFF!$B$9+FCFF!$I$9*(1+Inputs!$B$6)/(B2157-Inputs!$B$6)/(1+B2157)^7</f>
        <v>-1819.014507</v>
      </c>
    </row>
    <row r="2158" ht="14.25" customHeight="1">
      <c r="A2158" s="7">
        <v>2145.0</v>
      </c>
      <c r="B2158" s="14">
        <f t="shared" si="1"/>
        <v>0.1107552953</v>
      </c>
      <c r="C2158" s="39">
        <f t="array" ref="C2158">NPV(B2158,FCFF!$C$9:$I$9)+FCFF!$B$9+FCFF!$I$9*(1+Inputs!$B$6)/(B2158-Inputs!$B$6)/(1+B2158)^7</f>
        <v>-1647.084768</v>
      </c>
    </row>
    <row r="2159" ht="14.25" customHeight="1">
      <c r="A2159" s="7">
        <v>2146.0</v>
      </c>
      <c r="B2159" s="14">
        <f t="shared" si="1"/>
        <v>0.1286969738</v>
      </c>
      <c r="C2159" s="39">
        <f t="array" ref="C2159">NPV(B2159,FCFF!$C$9:$I$9)+FCFF!$B$9+FCFF!$I$9*(1+Inputs!$B$6)/(B2159-Inputs!$B$6)/(1+B2159)^7</f>
        <v>-1954.637028</v>
      </c>
    </row>
    <row r="2160" ht="14.25" customHeight="1">
      <c r="A2160" s="7">
        <v>2147.0</v>
      </c>
      <c r="B2160" s="14">
        <f t="shared" si="1"/>
        <v>0.1171970025</v>
      </c>
      <c r="C2160" s="39">
        <f t="array" ref="C2160">NPV(B2160,FCFF!$C$9:$I$9)+FCFF!$B$9+FCFF!$I$9*(1+Inputs!$B$6)/(B2160-Inputs!$B$6)/(1+B2160)^7</f>
        <v>-1772.883837</v>
      </c>
    </row>
    <row r="2161" ht="14.25" customHeight="1">
      <c r="A2161" s="7">
        <v>2148.0</v>
      </c>
      <c r="B2161" s="14">
        <f t="shared" si="1"/>
        <v>0.1225595442</v>
      </c>
      <c r="C2161" s="39">
        <f t="array" ref="C2161">NPV(B2161,FCFF!$C$9:$I$9)+FCFF!$B$9+FCFF!$I$9*(1+Inputs!$B$6)/(B2161-Inputs!$B$6)/(1+B2161)^7</f>
        <v>-1863.627333</v>
      </c>
    </row>
    <row r="2162" ht="14.25" customHeight="1">
      <c r="A2162" s="7">
        <v>2149.0</v>
      </c>
      <c r="B2162" s="14">
        <f t="shared" si="1"/>
        <v>0.1257713897</v>
      </c>
      <c r="C2162" s="39">
        <f t="array" ref="C2162">NPV(B2162,FCFF!$C$9:$I$9)+FCFF!$B$9+FCFF!$I$9*(1+Inputs!$B$6)/(B2162-Inputs!$B$6)/(1+B2162)^7</f>
        <v>-1912.816465</v>
      </c>
    </row>
    <row r="2163" ht="14.25" customHeight="1">
      <c r="A2163" s="7">
        <v>2150.0</v>
      </c>
      <c r="B2163" s="14">
        <f t="shared" si="1"/>
        <v>0.1065606692</v>
      </c>
      <c r="C2163" s="39">
        <f t="array" ref="C2163">NPV(B2163,FCFF!$C$9:$I$9)+FCFF!$B$9+FCFF!$I$9*(1+Inputs!$B$6)/(B2163-Inputs!$B$6)/(1+B2163)^7</f>
        <v>-1553.348256</v>
      </c>
    </row>
    <row r="2164" ht="14.25" customHeight="1">
      <c r="A2164" s="7">
        <v>2151.0</v>
      </c>
      <c r="B2164" s="14">
        <f t="shared" si="1"/>
        <v>0.115842503</v>
      </c>
      <c r="C2164" s="39">
        <f t="array" ref="C2164">NPV(B2164,FCFF!$C$9:$I$9)+FCFF!$B$9+FCFF!$I$9*(1+Inputs!$B$6)/(B2164-Inputs!$B$6)/(1+B2164)^7</f>
        <v>-1748.068361</v>
      </c>
    </row>
    <row r="2165" ht="14.25" customHeight="1">
      <c r="A2165" s="7">
        <v>2152.0</v>
      </c>
      <c r="B2165" s="14">
        <f t="shared" si="1"/>
        <v>0.1083791814</v>
      </c>
      <c r="C2165" s="39">
        <f t="array" ref="C2165">NPV(B2165,FCFF!$C$9:$I$9)+FCFF!$B$9+FCFF!$I$9*(1+Inputs!$B$6)/(B2165-Inputs!$B$6)/(1+B2165)^7</f>
        <v>-1595.253859</v>
      </c>
    </row>
    <row r="2166" ht="14.25" customHeight="1">
      <c r="A2166" s="7">
        <v>2153.0</v>
      </c>
      <c r="B2166" s="14">
        <f t="shared" si="1"/>
        <v>0.1266778274</v>
      </c>
      <c r="C2166" s="39">
        <f t="array" ref="C2166">NPV(B2166,FCFF!$C$9:$I$9)+FCFF!$B$9+FCFF!$I$9*(1+Inputs!$B$6)/(B2166-Inputs!$B$6)/(1+B2166)^7</f>
        <v>-1926.065415</v>
      </c>
    </row>
    <row r="2167" ht="14.25" customHeight="1">
      <c r="A2167" s="7">
        <v>2154.0</v>
      </c>
      <c r="B2167" s="14">
        <f t="shared" si="1"/>
        <v>0.1315184657</v>
      </c>
      <c r="C2167" s="39">
        <f t="array" ref="C2167">NPV(B2167,FCFF!$C$9:$I$9)+FCFF!$B$9+FCFF!$I$9*(1+Inputs!$B$6)/(B2167-Inputs!$B$6)/(1+B2167)^7</f>
        <v>-1992.505854</v>
      </c>
    </row>
    <row r="2168" ht="14.25" customHeight="1">
      <c r="A2168" s="7">
        <v>2155.0</v>
      </c>
      <c r="B2168" s="14">
        <f t="shared" si="1"/>
        <v>0.1191935774</v>
      </c>
      <c r="C2168" s="39">
        <f t="array" ref="C2168">NPV(B2168,FCFF!$C$9:$I$9)+FCFF!$B$9+FCFF!$I$9*(1+Inputs!$B$6)/(B2168-Inputs!$B$6)/(1+B2168)^7</f>
        <v>-1808.018397</v>
      </c>
    </row>
    <row r="2169" ht="14.25" customHeight="1">
      <c r="A2169" s="7">
        <v>2156.0</v>
      </c>
      <c r="B2169" s="14">
        <f t="shared" si="1"/>
        <v>0.1083029039</v>
      </c>
      <c r="C2169" s="39">
        <f t="array" ref="C2169">NPV(B2169,FCFF!$C$9:$I$9)+FCFF!$B$9+FCFF!$I$9*(1+Inputs!$B$6)/(B2169-Inputs!$B$6)/(1+B2169)^7</f>
        <v>-1593.536281</v>
      </c>
    </row>
    <row r="2170" ht="14.25" customHeight="1">
      <c r="A2170" s="7">
        <v>2157.0</v>
      </c>
      <c r="B2170" s="14">
        <f t="shared" si="1"/>
        <v>0.1001458465</v>
      </c>
      <c r="C2170" s="39">
        <f t="array" ref="C2170">NPV(B2170,FCFF!$C$9:$I$9)+FCFF!$B$9+FCFF!$I$9*(1+Inputs!$B$6)/(B2170-Inputs!$B$6)/(1+B2170)^7</f>
        <v>-1387.813448</v>
      </c>
    </row>
    <row r="2171" ht="14.25" customHeight="1">
      <c r="A2171" s="7">
        <v>2158.0</v>
      </c>
      <c r="B2171" s="14">
        <f t="shared" si="1"/>
        <v>0.1198362077</v>
      </c>
      <c r="C2171" s="39">
        <f t="array" ref="C2171">NPV(B2171,FCFF!$C$9:$I$9)+FCFF!$B$9+FCFF!$I$9*(1+Inputs!$B$6)/(B2171-Inputs!$B$6)/(1+B2171)^7</f>
        <v>-1818.976612</v>
      </c>
    </row>
    <row r="2172" ht="14.25" customHeight="1">
      <c r="A2172" s="7">
        <v>2159.0</v>
      </c>
      <c r="B2172" s="14">
        <f t="shared" si="1"/>
        <v>0.09851459307</v>
      </c>
      <c r="C2172" s="39">
        <f t="array" ref="C2172">NPV(B2172,FCFF!$C$9:$I$9)+FCFF!$B$9+FCFF!$I$9*(1+Inputs!$B$6)/(B2172-Inputs!$B$6)/(1+B2172)^7</f>
        <v>-1340.719263</v>
      </c>
    </row>
    <row r="2173" ht="14.25" customHeight="1">
      <c r="A2173" s="7">
        <v>2160.0</v>
      </c>
      <c r="B2173" s="14">
        <f t="shared" si="1"/>
        <v>0.09862512486</v>
      </c>
      <c r="C2173" s="39">
        <f t="array" ref="C2173">NPV(B2173,FCFF!$C$9:$I$9)+FCFF!$B$9+FCFF!$I$9*(1+Inputs!$B$6)/(B2173-Inputs!$B$6)/(1+B2173)^7</f>
        <v>-1343.981313</v>
      </c>
    </row>
    <row r="2174" ht="14.25" customHeight="1">
      <c r="A2174" s="7">
        <v>2161.0</v>
      </c>
      <c r="B2174" s="14">
        <f t="shared" si="1"/>
        <v>0.1038489648</v>
      </c>
      <c r="C2174" s="39">
        <f t="array" ref="C2174">NPV(B2174,FCFF!$C$9:$I$9)+FCFF!$B$9+FCFF!$I$9*(1+Inputs!$B$6)/(B2174-Inputs!$B$6)/(1+B2174)^7</f>
        <v>-1486.936069</v>
      </c>
    </row>
    <row r="2175" ht="14.25" customHeight="1">
      <c r="A2175" s="7">
        <v>2162.0</v>
      </c>
      <c r="B2175" s="14">
        <f t="shared" si="1"/>
        <v>0.126909179</v>
      </c>
      <c r="C2175" s="39">
        <f t="array" ref="C2175">NPV(B2175,FCFF!$C$9:$I$9)+FCFF!$B$9+FCFF!$I$9*(1+Inputs!$B$6)/(B2175-Inputs!$B$6)/(1+B2175)^7</f>
        <v>-1929.404272</v>
      </c>
    </row>
    <row r="2176" ht="14.25" customHeight="1">
      <c r="A2176" s="7">
        <v>2163.0</v>
      </c>
      <c r="B2176" s="14">
        <f t="shared" si="1"/>
        <v>0.1199503899</v>
      </c>
      <c r="C2176" s="39">
        <f t="array" ref="C2176">NPV(B2176,FCFF!$C$9:$I$9)+FCFF!$B$9+FCFF!$I$9*(1+Inputs!$B$6)/(B2176-Inputs!$B$6)/(1+B2176)^7</f>
        <v>-1820.906334</v>
      </c>
    </row>
    <row r="2177" ht="14.25" customHeight="1">
      <c r="A2177" s="7">
        <v>2164.0</v>
      </c>
      <c r="B2177" s="14">
        <f t="shared" si="1"/>
        <v>0.09889901413</v>
      </c>
      <c r="C2177" s="39">
        <f t="array" ref="C2177">NPV(B2177,FCFF!$C$9:$I$9)+FCFF!$B$9+FCFF!$I$9*(1+Inputs!$B$6)/(B2177-Inputs!$B$6)/(1+B2177)^7</f>
        <v>-1352.019189</v>
      </c>
    </row>
    <row r="2178" ht="14.25" customHeight="1">
      <c r="A2178" s="7">
        <v>2165.0</v>
      </c>
      <c r="B2178" s="14">
        <f t="shared" si="1"/>
        <v>0.09372205492</v>
      </c>
      <c r="C2178" s="39">
        <f t="array" ref="C2178">NPV(B2178,FCFF!$C$9:$I$9)+FCFF!$B$9+FCFF!$I$9*(1+Inputs!$B$6)/(B2178-Inputs!$B$6)/(1+B2178)^7</f>
        <v>-1188.416774</v>
      </c>
    </row>
    <row r="2179" ht="14.25" customHeight="1">
      <c r="A2179" s="7">
        <v>2166.0</v>
      </c>
      <c r="B2179" s="14">
        <f t="shared" si="1"/>
        <v>0.1101828058</v>
      </c>
      <c r="C2179" s="39">
        <f t="array" ref="C2179">NPV(B2179,FCFF!$C$9:$I$9)+FCFF!$B$9+FCFF!$I$9*(1+Inputs!$B$6)/(B2179-Inputs!$B$6)/(1+B2179)^7</f>
        <v>-1634.886745</v>
      </c>
    </row>
    <row r="2180" ht="14.25" customHeight="1">
      <c r="A2180" s="7">
        <v>2167.0</v>
      </c>
      <c r="B2180" s="14">
        <f t="shared" si="1"/>
        <v>0.105692614</v>
      </c>
      <c r="C2180" s="39">
        <f t="array" ref="C2180">NPV(B2180,FCFF!$C$9:$I$9)+FCFF!$B$9+FCFF!$I$9*(1+Inputs!$B$6)/(B2180-Inputs!$B$6)/(1+B2180)^7</f>
        <v>-1532.617202</v>
      </c>
    </row>
    <row r="2181" ht="14.25" customHeight="1">
      <c r="A2181" s="7">
        <v>2168.0</v>
      </c>
      <c r="B2181" s="14">
        <f t="shared" si="1"/>
        <v>0.1177074856</v>
      </c>
      <c r="C2181" s="39">
        <f t="array" ref="C2181">NPV(B2181,FCFF!$C$9:$I$9)+FCFF!$B$9+FCFF!$I$9*(1+Inputs!$B$6)/(B2181-Inputs!$B$6)/(1+B2181)^7</f>
        <v>-1782.027425</v>
      </c>
    </row>
    <row r="2182" ht="14.25" customHeight="1">
      <c r="A2182" s="7">
        <v>2169.0</v>
      </c>
      <c r="B2182" s="14">
        <f t="shared" si="1"/>
        <v>0.1011360673</v>
      </c>
      <c r="C2182" s="39">
        <f t="array" ref="C2182">NPV(B2182,FCFF!$C$9:$I$9)+FCFF!$B$9+FCFF!$I$9*(1+Inputs!$B$6)/(B2182-Inputs!$B$6)/(1+B2182)^7</f>
        <v>-1415.341036</v>
      </c>
    </row>
    <row r="2183" ht="14.25" customHeight="1">
      <c r="A2183" s="7">
        <v>2170.0</v>
      </c>
      <c r="B2183" s="14">
        <f t="shared" si="1"/>
        <v>0.09729937396</v>
      </c>
      <c r="C2183" s="39">
        <f t="array" ref="C2183">NPV(B2183,FCFF!$C$9:$I$9)+FCFF!$B$9+FCFF!$I$9*(1+Inputs!$B$6)/(B2183-Inputs!$B$6)/(1+B2183)^7</f>
        <v>-1304.147688</v>
      </c>
    </row>
    <row r="2184" ht="14.25" customHeight="1">
      <c r="A2184" s="7">
        <v>2171.0</v>
      </c>
      <c r="B2184" s="14">
        <f t="shared" si="1"/>
        <v>0.1224915113</v>
      </c>
      <c r="C2184" s="39">
        <f t="array" ref="C2184">NPV(B2184,FCFF!$C$9:$I$9)+FCFF!$B$9+FCFF!$I$9*(1+Inputs!$B$6)/(B2184-Inputs!$B$6)/(1+B2184)^7</f>
        <v>-1862.545915</v>
      </c>
    </row>
    <row r="2185" ht="14.25" customHeight="1">
      <c r="A2185" s="7">
        <v>2172.0</v>
      </c>
      <c r="B2185" s="14">
        <f t="shared" si="1"/>
        <v>0.1141027049</v>
      </c>
      <c r="C2185" s="39">
        <f t="array" ref="C2185">NPV(B2185,FCFF!$C$9:$I$9)+FCFF!$B$9+FCFF!$I$9*(1+Inputs!$B$6)/(B2185-Inputs!$B$6)/(1+B2185)^7</f>
        <v>-1714.9643</v>
      </c>
    </row>
    <row r="2186" ht="14.25" customHeight="1">
      <c r="A2186" s="7">
        <v>2173.0</v>
      </c>
      <c r="B2186" s="14">
        <f t="shared" si="1"/>
        <v>0.1266937356</v>
      </c>
      <c r="C2186" s="39">
        <f t="array" ref="C2186">NPV(B2186,FCFF!$C$9:$I$9)+FCFF!$B$9+FCFF!$I$9*(1+Inputs!$B$6)/(B2186-Inputs!$B$6)/(1+B2186)^7</f>
        <v>-1926.295552</v>
      </c>
    </row>
    <row r="2187" ht="14.25" customHeight="1">
      <c r="A2187" s="7">
        <v>2174.0</v>
      </c>
      <c r="B2187" s="14">
        <f t="shared" si="1"/>
        <v>0.1091546111</v>
      </c>
      <c r="C2187" s="39">
        <f t="array" ref="C2187">NPV(B2187,FCFF!$C$9:$I$9)+FCFF!$B$9+FCFF!$I$9*(1+Inputs!$B$6)/(B2187-Inputs!$B$6)/(1+B2187)^7</f>
        <v>-1612.521311</v>
      </c>
    </row>
    <row r="2188" ht="14.25" customHeight="1">
      <c r="A2188" s="7">
        <v>2175.0</v>
      </c>
      <c r="B2188" s="14">
        <f t="shared" si="1"/>
        <v>0.1049411708</v>
      </c>
      <c r="C2188" s="39">
        <f t="array" ref="C2188">NPV(B2188,FCFF!$C$9:$I$9)+FCFF!$B$9+FCFF!$I$9*(1+Inputs!$B$6)/(B2188-Inputs!$B$6)/(1+B2188)^7</f>
        <v>-1514.274826</v>
      </c>
    </row>
    <row r="2189" ht="14.25" customHeight="1">
      <c r="A2189" s="7">
        <v>2176.0</v>
      </c>
      <c r="B2189" s="14">
        <f t="shared" si="1"/>
        <v>0.1102768717</v>
      </c>
      <c r="C2189" s="39">
        <f t="array" ref="C2189">NPV(B2189,FCFF!$C$9:$I$9)+FCFF!$B$9+FCFF!$I$9*(1+Inputs!$B$6)/(B2189-Inputs!$B$6)/(1+B2189)^7</f>
        <v>-1636.903354</v>
      </c>
    </row>
    <row r="2190" ht="14.25" customHeight="1">
      <c r="A2190" s="7">
        <v>2177.0</v>
      </c>
      <c r="B2190" s="14">
        <f t="shared" si="1"/>
        <v>0.1053594</v>
      </c>
      <c r="C2190" s="39">
        <f t="array" ref="C2190">NPV(B2190,FCFF!$C$9:$I$9)+FCFF!$B$9+FCFF!$I$9*(1+Inputs!$B$6)/(B2190-Inputs!$B$6)/(1+B2190)^7</f>
        <v>-1524.529669</v>
      </c>
    </row>
    <row r="2191" ht="14.25" customHeight="1">
      <c r="A2191" s="7">
        <v>2178.0</v>
      </c>
      <c r="B2191" s="14">
        <f t="shared" si="1"/>
        <v>0.1083682777</v>
      </c>
      <c r="C2191" s="39">
        <f t="array" ref="C2191">NPV(B2191,FCFF!$C$9:$I$9)+FCFF!$B$9+FCFF!$I$9*(1+Inputs!$B$6)/(B2191-Inputs!$B$6)/(1+B2191)^7</f>
        <v>-1595.008546</v>
      </c>
    </row>
    <row r="2192" ht="14.25" customHeight="1">
      <c r="A2192" s="7">
        <v>2179.0</v>
      </c>
      <c r="B2192" s="14">
        <f t="shared" si="1"/>
        <v>0.1070990049</v>
      </c>
      <c r="C2192" s="39">
        <f t="array" ref="C2192">NPV(B2192,FCFF!$C$9:$I$9)+FCFF!$B$9+FCFF!$I$9*(1+Inputs!$B$6)/(B2192-Inputs!$B$6)/(1+B2192)^7</f>
        <v>-1565.964915</v>
      </c>
    </row>
    <row r="2193" ht="14.25" customHeight="1">
      <c r="A2193" s="7">
        <v>2180.0</v>
      </c>
      <c r="B2193" s="14">
        <f t="shared" si="1"/>
        <v>0.1149723275</v>
      </c>
      <c r="C2193" s="39">
        <f t="array" ref="C2193">NPV(B2193,FCFF!$C$9:$I$9)+FCFF!$B$9+FCFF!$I$9*(1+Inputs!$B$6)/(B2193-Inputs!$B$6)/(1+B2193)^7</f>
        <v>-1731.688256</v>
      </c>
    </row>
    <row r="2194" ht="14.25" customHeight="1">
      <c r="A2194" s="7">
        <v>2181.0</v>
      </c>
      <c r="B2194" s="14">
        <f t="shared" si="1"/>
        <v>0.1318938876</v>
      </c>
      <c r="C2194" s="39">
        <f t="array" ref="C2194">NPV(B2194,FCFF!$C$9:$I$9)+FCFF!$B$9+FCFF!$I$9*(1+Inputs!$B$6)/(B2194-Inputs!$B$6)/(1+B2194)^7</f>
        <v>-1997.372927</v>
      </c>
    </row>
    <row r="2195" ht="14.25" customHeight="1">
      <c r="A2195" s="7">
        <v>2182.0</v>
      </c>
      <c r="B2195" s="14">
        <f t="shared" si="1"/>
        <v>0.1007432238</v>
      </c>
      <c r="C2195" s="39">
        <f t="array" ref="C2195">NPV(B2195,FCFF!$C$9:$I$9)+FCFF!$B$9+FCFF!$I$9*(1+Inputs!$B$6)/(B2195-Inputs!$B$6)/(1+B2195)^7</f>
        <v>-1404.513189</v>
      </c>
    </row>
    <row r="2196" ht="14.25" customHeight="1">
      <c r="A2196" s="7">
        <v>2183.0</v>
      </c>
      <c r="B2196" s="14">
        <f t="shared" si="1"/>
        <v>0.1083830662</v>
      </c>
      <c r="C2196" s="39">
        <f t="array" ref="C2196">NPV(B2196,FCFF!$C$9:$I$9)+FCFF!$B$9+FCFF!$I$9*(1+Inputs!$B$6)/(B2196-Inputs!$B$6)/(1+B2196)^7</f>
        <v>-1595.341243</v>
      </c>
    </row>
    <row r="2197" ht="14.25" customHeight="1">
      <c r="A2197" s="7">
        <v>2184.0</v>
      </c>
      <c r="B2197" s="14">
        <f t="shared" si="1"/>
        <v>0.1173343544</v>
      </c>
      <c r="C2197" s="39">
        <f t="array" ref="C2197">NPV(B2197,FCFF!$C$9:$I$9)+FCFF!$B$9+FCFF!$I$9*(1+Inputs!$B$6)/(B2197-Inputs!$B$6)/(1+B2197)^7</f>
        <v>-1775.355094</v>
      </c>
    </row>
    <row r="2198" ht="14.25" customHeight="1">
      <c r="A2198" s="7">
        <v>2185.0</v>
      </c>
      <c r="B2198" s="14">
        <f t="shared" si="1"/>
        <v>0.09607321332</v>
      </c>
      <c r="C2198" s="39">
        <f t="array" ref="C2198">NPV(B2198,FCFF!$C$9:$I$9)+FCFF!$B$9+FCFF!$I$9*(1+Inputs!$B$6)/(B2198-Inputs!$B$6)/(1+B2198)^7</f>
        <v>-1265.884329</v>
      </c>
    </row>
    <row r="2199" ht="14.25" customHeight="1">
      <c r="A2199" s="7">
        <v>2186.0</v>
      </c>
      <c r="B2199" s="14">
        <f t="shared" si="1"/>
        <v>0.1106076984</v>
      </c>
      <c r="C2199" s="39">
        <f t="array" ref="C2199">NPV(B2199,FCFF!$C$9:$I$9)+FCFF!$B$9+FCFF!$I$9*(1+Inputs!$B$6)/(B2199-Inputs!$B$6)/(1+B2199)^7</f>
        <v>-1643.957063</v>
      </c>
    </row>
    <row r="2200" ht="14.25" customHeight="1">
      <c r="A2200" s="7">
        <v>2187.0</v>
      </c>
      <c r="B2200" s="14">
        <f t="shared" si="1"/>
        <v>0.1183236201</v>
      </c>
      <c r="C2200" s="39">
        <f t="array" ref="C2200">NPV(B2200,FCFF!$C$9:$I$9)+FCFF!$B$9+FCFF!$I$9*(1+Inputs!$B$6)/(B2200-Inputs!$B$6)/(1+B2200)^7</f>
        <v>-1792.915238</v>
      </c>
    </row>
    <row r="2201" ht="14.25" customHeight="1">
      <c r="A2201" s="7">
        <v>2188.0</v>
      </c>
      <c r="B2201" s="14">
        <f t="shared" si="1"/>
        <v>0.1273553604</v>
      </c>
      <c r="C2201" s="39">
        <f t="array" ref="C2201">NPV(B2201,FCFF!$C$9:$I$9)+FCFF!$B$9+FCFF!$I$9*(1+Inputs!$B$6)/(B2201-Inputs!$B$6)/(1+B2201)^7</f>
        <v>-1935.795286</v>
      </c>
    </row>
    <row r="2202" ht="14.25" customHeight="1">
      <c r="A2202" s="7">
        <v>2189.0</v>
      </c>
      <c r="B2202" s="14">
        <f t="shared" si="1"/>
        <v>0.1239276783</v>
      </c>
      <c r="C2202" s="39">
        <f t="array" ref="C2202">NPV(B2202,FCFF!$C$9:$I$9)+FCFF!$B$9+FCFF!$I$9*(1+Inputs!$B$6)/(B2202-Inputs!$B$6)/(1+B2202)^7</f>
        <v>-1885.020103</v>
      </c>
    </row>
    <row r="2203" ht="14.25" customHeight="1">
      <c r="A2203" s="7">
        <v>2190.0</v>
      </c>
      <c r="B2203" s="14">
        <f t="shared" si="1"/>
        <v>0.120505995</v>
      </c>
      <c r="C2203" s="39">
        <f t="array" ref="C2203">NPV(B2203,FCFF!$C$9:$I$9)+FCFF!$B$9+FCFF!$I$9*(1+Inputs!$B$6)/(B2203-Inputs!$B$6)/(1+B2203)^7</f>
        <v>-1830.222698</v>
      </c>
    </row>
    <row r="2204" ht="14.25" customHeight="1">
      <c r="A2204" s="7">
        <v>2191.0</v>
      </c>
      <c r="B2204" s="14">
        <f t="shared" si="1"/>
        <v>0.1096282041</v>
      </c>
      <c r="C2204" s="39">
        <f t="array" ref="C2204">NPV(B2204,FCFF!$C$9:$I$9)+FCFF!$B$9+FCFF!$I$9*(1+Inputs!$B$6)/(B2204-Inputs!$B$6)/(1+B2204)^7</f>
        <v>-1622.897003</v>
      </c>
    </row>
    <row r="2205" ht="14.25" customHeight="1">
      <c r="A2205" s="7">
        <v>2192.0</v>
      </c>
      <c r="B2205" s="14">
        <f t="shared" si="1"/>
        <v>0.1117544258</v>
      </c>
      <c r="C2205" s="39">
        <f t="array" ref="C2205">NPV(B2205,FCFF!$C$9:$I$9)+FCFF!$B$9+FCFF!$I$9*(1+Inputs!$B$6)/(B2205-Inputs!$B$6)/(1+B2205)^7</f>
        <v>-1667.949796</v>
      </c>
    </row>
    <row r="2206" ht="14.25" customHeight="1">
      <c r="A2206" s="7">
        <v>2193.0</v>
      </c>
      <c r="B2206" s="14">
        <f t="shared" si="1"/>
        <v>0.1142457392</v>
      </c>
      <c r="C2206" s="39">
        <f t="array" ref="C2206">NPV(B2206,FCFF!$C$9:$I$9)+FCFF!$B$9+FCFF!$I$9*(1+Inputs!$B$6)/(B2206-Inputs!$B$6)/(1+B2206)^7</f>
        <v>-1717.73981</v>
      </c>
    </row>
    <row r="2207" ht="14.25" customHeight="1">
      <c r="A2207" s="7">
        <v>2194.0</v>
      </c>
      <c r="B2207" s="14">
        <f t="shared" si="1"/>
        <v>0.1315228311</v>
      </c>
      <c r="C2207" s="39">
        <f t="array" ref="C2207">NPV(B2207,FCFF!$C$9:$I$9)+FCFF!$B$9+FCFF!$I$9*(1+Inputs!$B$6)/(B2207-Inputs!$B$6)/(1+B2207)^7</f>
        <v>-1992.562674</v>
      </c>
    </row>
    <row r="2208" ht="14.25" customHeight="1">
      <c r="A2208" s="7">
        <v>2195.0</v>
      </c>
      <c r="B2208" s="14">
        <f t="shared" si="1"/>
        <v>0.1201522124</v>
      </c>
      <c r="C2208" s="39">
        <f t="array" ref="C2208">NPV(B2208,FCFF!$C$9:$I$9)+FCFF!$B$9+FCFF!$I$9*(1+Inputs!$B$6)/(B2208-Inputs!$B$6)/(1+B2208)^7</f>
        <v>-1824.304553</v>
      </c>
    </row>
    <row r="2209" ht="14.25" customHeight="1">
      <c r="A2209" s="7">
        <v>2196.0</v>
      </c>
      <c r="B2209" s="14">
        <f t="shared" si="1"/>
        <v>0.1030815334</v>
      </c>
      <c r="C2209" s="39">
        <f t="array" ref="C2209">NPV(B2209,FCFF!$C$9:$I$9)+FCFF!$B$9+FCFF!$I$9*(1+Inputs!$B$6)/(B2209-Inputs!$B$6)/(1+B2209)^7</f>
        <v>-1467.229502</v>
      </c>
    </row>
    <row r="2210" ht="14.25" customHeight="1">
      <c r="A2210" s="7">
        <v>2197.0</v>
      </c>
      <c r="B2210" s="14">
        <f t="shared" si="1"/>
        <v>0.1188448656</v>
      </c>
      <c r="C2210" s="39">
        <f t="array" ref="C2210">NPV(B2210,FCFF!$C$9:$I$9)+FCFF!$B$9+FCFF!$I$9*(1+Inputs!$B$6)/(B2210-Inputs!$B$6)/(1+B2210)^7</f>
        <v>-1802.001971</v>
      </c>
    </row>
    <row r="2211" ht="14.25" customHeight="1">
      <c r="A2211" s="7">
        <v>2198.0</v>
      </c>
      <c r="B2211" s="14">
        <f t="shared" si="1"/>
        <v>0.102597172</v>
      </c>
      <c r="C2211" s="39">
        <f t="array" ref="C2211">NPV(B2211,FCFF!$C$9:$I$9)+FCFF!$B$9+FCFF!$I$9*(1+Inputs!$B$6)/(B2211-Inputs!$B$6)/(1+B2211)^7</f>
        <v>-1454.5741</v>
      </c>
    </row>
    <row r="2212" ht="14.25" customHeight="1">
      <c r="A2212" s="7">
        <v>2199.0</v>
      </c>
      <c r="B2212" s="14">
        <f t="shared" si="1"/>
        <v>0.1017498547</v>
      </c>
      <c r="C2212" s="39">
        <f t="array" ref="C2212">NPV(B2212,FCFF!$C$9:$I$9)+FCFF!$B$9+FCFF!$I$9*(1+Inputs!$B$6)/(B2212-Inputs!$B$6)/(1+B2212)^7</f>
        <v>-1432.019075</v>
      </c>
    </row>
    <row r="2213" ht="14.25" customHeight="1">
      <c r="A2213" s="7">
        <v>2200.0</v>
      </c>
      <c r="B2213" s="14">
        <f t="shared" si="1"/>
        <v>0.1050310969</v>
      </c>
      <c r="C2213" s="39">
        <f t="array" ref="C2213">NPV(B2213,FCFF!$C$9:$I$9)+FCFF!$B$9+FCFF!$I$9*(1+Inputs!$B$6)/(B2213-Inputs!$B$6)/(1+B2213)^7</f>
        <v>-1516.489625</v>
      </c>
    </row>
    <row r="2214" ht="14.25" customHeight="1">
      <c r="A2214" s="7">
        <v>2201.0</v>
      </c>
      <c r="B2214" s="14">
        <f t="shared" si="1"/>
        <v>0.1006193671</v>
      </c>
      <c r="C2214" s="39">
        <f t="array" ref="C2214">NPV(B2214,FCFF!$C$9:$I$9)+FCFF!$B$9+FCFF!$I$9*(1+Inputs!$B$6)/(B2214-Inputs!$B$6)/(1+B2214)^7</f>
        <v>-1401.074161</v>
      </c>
    </row>
    <row r="2215" ht="14.25" customHeight="1">
      <c r="A2215" s="7">
        <v>2202.0</v>
      </c>
      <c r="B2215" s="14">
        <f t="shared" si="1"/>
        <v>0.1055015351</v>
      </c>
      <c r="C2215" s="39">
        <f t="array" ref="C2215">NPV(B2215,FCFF!$C$9:$I$9)+FCFF!$B$9+FCFF!$I$9*(1+Inputs!$B$6)/(B2215-Inputs!$B$6)/(1+B2215)^7</f>
        <v>-1527.988386</v>
      </c>
    </row>
    <row r="2216" ht="14.25" customHeight="1">
      <c r="A2216" s="7">
        <v>2203.0</v>
      </c>
      <c r="B2216" s="14">
        <f t="shared" si="1"/>
        <v>0.1176131653</v>
      </c>
      <c r="C2216" s="39">
        <f t="array" ref="C2216">NPV(B2216,FCFF!$C$9:$I$9)+FCFF!$B$9+FCFF!$I$9*(1+Inputs!$B$6)/(B2216-Inputs!$B$6)/(1+B2216)^7</f>
        <v>-1780.346437</v>
      </c>
    </row>
    <row r="2217" ht="14.25" customHeight="1">
      <c r="A2217" s="7">
        <v>2204.0</v>
      </c>
      <c r="B2217" s="14">
        <f t="shared" si="1"/>
        <v>0.1183947151</v>
      </c>
      <c r="C2217" s="39">
        <f t="array" ref="C2217">NPV(B2217,FCFF!$C$9:$I$9)+FCFF!$B$9+FCFF!$I$9*(1+Inputs!$B$6)/(B2217-Inputs!$B$6)/(1+B2217)^7</f>
        <v>-1794.161277</v>
      </c>
    </row>
    <row r="2218" ht="14.25" customHeight="1">
      <c r="A2218" s="7">
        <v>2205.0</v>
      </c>
      <c r="B2218" s="14">
        <f t="shared" si="1"/>
        <v>0.1151330395</v>
      </c>
      <c r="C2218" s="39">
        <f t="array" ref="C2218">NPV(B2218,FCFF!$C$9:$I$9)+FCFF!$B$9+FCFF!$I$9*(1+Inputs!$B$6)/(B2218-Inputs!$B$6)/(1+B2218)^7</f>
        <v>-1734.739871</v>
      </c>
    </row>
    <row r="2219" ht="14.25" customHeight="1">
      <c r="A2219" s="7">
        <v>2206.0</v>
      </c>
      <c r="B2219" s="14">
        <f t="shared" si="1"/>
        <v>0.1067331055</v>
      </c>
      <c r="C2219" s="39">
        <f t="array" ref="C2219">NPV(B2219,FCFF!$C$9:$I$9)+FCFF!$B$9+FCFF!$I$9*(1+Inputs!$B$6)/(B2219-Inputs!$B$6)/(1+B2219)^7</f>
        <v>-1557.409286</v>
      </c>
    </row>
    <row r="2220" ht="14.25" customHeight="1">
      <c r="A2220" s="7">
        <v>2207.0</v>
      </c>
      <c r="B2220" s="14">
        <f t="shared" si="1"/>
        <v>0.09958953104</v>
      </c>
      <c r="C2220" s="39">
        <f t="array" ref="C2220">NPV(B2220,FCFF!$C$9:$I$9)+FCFF!$B$9+FCFF!$I$9*(1+Inputs!$B$6)/(B2220-Inputs!$B$6)/(1+B2220)^7</f>
        <v>-1372.001969</v>
      </c>
    </row>
    <row r="2221" ht="14.25" customHeight="1">
      <c r="A2221" s="7">
        <v>2208.0</v>
      </c>
      <c r="B2221" s="14">
        <f t="shared" si="1"/>
        <v>0.1097783985</v>
      </c>
      <c r="C2221" s="39">
        <f t="array" ref="C2221">NPV(B2221,FCFF!$C$9:$I$9)+FCFF!$B$9+FCFF!$I$9*(1+Inputs!$B$6)/(B2221-Inputs!$B$6)/(1+B2221)^7</f>
        <v>-1626.160995</v>
      </c>
    </row>
    <row r="2222" ht="14.25" customHeight="1">
      <c r="A2222" s="7">
        <v>2209.0</v>
      </c>
      <c r="B2222" s="14">
        <f t="shared" si="1"/>
        <v>0.1195322482</v>
      </c>
      <c r="C2222" s="39">
        <f t="array" ref="C2222">NPV(B2222,FCFF!$C$9:$I$9)+FCFF!$B$9+FCFF!$I$9*(1+Inputs!$B$6)/(B2222-Inputs!$B$6)/(1+B2222)^7</f>
        <v>-1813.814188</v>
      </c>
    </row>
    <row r="2223" ht="14.25" customHeight="1">
      <c r="A2223" s="7">
        <v>2210.0</v>
      </c>
      <c r="B2223" s="14">
        <f t="shared" si="1"/>
        <v>0.1183833067</v>
      </c>
      <c r="C2223" s="39">
        <f t="array" ref="C2223">NPV(B2223,FCFF!$C$9:$I$9)+FCFF!$B$9+FCFF!$I$9*(1+Inputs!$B$6)/(B2223-Inputs!$B$6)/(1+B2223)^7</f>
        <v>-1793.961471</v>
      </c>
    </row>
    <row r="2224" ht="14.25" customHeight="1">
      <c r="A2224" s="7">
        <v>2211.0</v>
      </c>
      <c r="B2224" s="14">
        <f t="shared" si="1"/>
        <v>0.0931010378</v>
      </c>
      <c r="C2224" s="39">
        <f t="array" ref="C2224">NPV(B2224,FCFF!$C$9:$I$9)+FCFF!$B$9+FCFF!$I$9*(1+Inputs!$B$6)/(B2224-Inputs!$B$6)/(1+B2224)^7</f>
        <v>-1166.9999</v>
      </c>
    </row>
    <row r="2225" ht="14.25" customHeight="1">
      <c r="A2225" s="7">
        <v>2212.0</v>
      </c>
      <c r="B2225" s="14">
        <f t="shared" si="1"/>
        <v>0.1191548298</v>
      </c>
      <c r="C2225" s="39">
        <f t="array" ref="C2225">NPV(B2225,FCFF!$C$9:$I$9)+FCFF!$B$9+FCFF!$I$9*(1+Inputs!$B$6)/(B2225-Inputs!$B$6)/(1+B2225)^7</f>
        <v>-1807.352328</v>
      </c>
    </row>
    <row r="2226" ht="14.25" customHeight="1">
      <c r="A2226" s="7">
        <v>2213.0</v>
      </c>
      <c r="B2226" s="14">
        <f t="shared" si="1"/>
        <v>0.09681289983</v>
      </c>
      <c r="C2226" s="39">
        <f t="array" ref="C2226">NPV(B2226,FCFF!$C$9:$I$9)+FCFF!$B$9+FCFF!$I$9*(1+Inputs!$B$6)/(B2226-Inputs!$B$6)/(1+B2226)^7</f>
        <v>-1289.134558</v>
      </c>
    </row>
    <row r="2227" ht="14.25" customHeight="1">
      <c r="A2227" s="7">
        <v>2214.0</v>
      </c>
      <c r="B2227" s="14">
        <f t="shared" si="1"/>
        <v>0.1271228064</v>
      </c>
      <c r="C2227" s="39">
        <f t="array" ref="C2227">NPV(B2227,FCFF!$C$9:$I$9)+FCFF!$B$9+FCFF!$I$9*(1+Inputs!$B$6)/(B2227-Inputs!$B$6)/(1+B2227)^7</f>
        <v>-1932.472124</v>
      </c>
    </row>
    <row r="2228" ht="14.25" customHeight="1">
      <c r="A2228" s="7">
        <v>2215.0</v>
      </c>
      <c r="B2228" s="14">
        <f t="shared" si="1"/>
        <v>0.09967173151</v>
      </c>
      <c r="C2228" s="39">
        <f t="array" ref="C2228">NPV(B2228,FCFF!$C$9:$I$9)+FCFF!$B$9+FCFF!$I$9*(1+Inputs!$B$6)/(B2228-Inputs!$B$6)/(1+B2228)^7</f>
        <v>-1374.354247</v>
      </c>
    </row>
    <row r="2229" ht="14.25" customHeight="1">
      <c r="A2229" s="7">
        <v>2216.0</v>
      </c>
      <c r="B2229" s="14">
        <f t="shared" si="1"/>
        <v>0.1125165172</v>
      </c>
      <c r="C2229" s="39">
        <f t="array" ref="C2229">NPV(B2229,FCFF!$C$9:$I$9)+FCFF!$B$9+FCFF!$I$9*(1+Inputs!$B$6)/(B2229-Inputs!$B$6)/(1+B2229)^7</f>
        <v>-1683.512554</v>
      </c>
    </row>
    <row r="2230" ht="14.25" customHeight="1">
      <c r="A2230" s="7">
        <v>2217.0</v>
      </c>
      <c r="B2230" s="14">
        <f t="shared" si="1"/>
        <v>0.1139825706</v>
      </c>
      <c r="C2230" s="39">
        <f t="array" ref="C2230">NPV(B2230,FCFF!$C$9:$I$9)+FCFF!$B$9+FCFF!$I$9*(1+Inputs!$B$6)/(B2230-Inputs!$B$6)/(1+B2230)^7</f>
        <v>-1712.625531</v>
      </c>
    </row>
    <row r="2231" ht="14.25" customHeight="1">
      <c r="A2231" s="7">
        <v>2218.0</v>
      </c>
      <c r="B2231" s="14">
        <f t="shared" si="1"/>
        <v>0.09375921453</v>
      </c>
      <c r="C2231" s="39">
        <f t="array" ref="C2231">NPV(B2231,FCFF!$C$9:$I$9)+FCFF!$B$9+FCFF!$I$9*(1+Inputs!$B$6)/(B2231-Inputs!$B$6)/(1+B2231)^7</f>
        <v>-1189.685203</v>
      </c>
    </row>
    <row r="2232" ht="14.25" customHeight="1">
      <c r="A2232" s="7">
        <v>2219.0</v>
      </c>
      <c r="B2232" s="14">
        <f t="shared" si="1"/>
        <v>0.115701713</v>
      </c>
      <c r="C2232" s="39">
        <f t="array" ref="C2232">NPV(B2232,FCFF!$C$9:$I$9)+FCFF!$B$9+FCFF!$I$9*(1+Inputs!$B$6)/(B2232-Inputs!$B$6)/(1+B2232)^7</f>
        <v>-1745.441757</v>
      </c>
    </row>
    <row r="2233" ht="14.25" customHeight="1">
      <c r="A2233" s="7">
        <v>2220.0</v>
      </c>
      <c r="B2233" s="14">
        <f t="shared" si="1"/>
        <v>0.1123410349</v>
      </c>
      <c r="C2233" s="39">
        <f t="array" ref="C2233">NPV(B2233,FCFF!$C$9:$I$9)+FCFF!$B$9+FCFF!$I$9*(1+Inputs!$B$6)/(B2233-Inputs!$B$6)/(1+B2233)^7</f>
        <v>-1679.95552</v>
      </c>
    </row>
    <row r="2234" ht="14.25" customHeight="1">
      <c r="A2234" s="7">
        <v>2221.0</v>
      </c>
      <c r="B2234" s="14">
        <f t="shared" si="1"/>
        <v>0.1094168434</v>
      </c>
      <c r="C2234" s="39">
        <f t="array" ref="C2234">NPV(B2234,FCFF!$C$9:$I$9)+FCFF!$B$9+FCFF!$I$9*(1+Inputs!$B$6)/(B2234-Inputs!$B$6)/(1+B2234)^7</f>
        <v>-1618.282181</v>
      </c>
    </row>
    <row r="2235" ht="14.25" customHeight="1">
      <c r="A2235" s="7">
        <v>2222.0</v>
      </c>
      <c r="B2235" s="14">
        <f t="shared" si="1"/>
        <v>0.0953950752</v>
      </c>
      <c r="C2235" s="39">
        <f t="array" ref="C2235">NPV(B2235,FCFF!$C$9:$I$9)+FCFF!$B$9+FCFF!$I$9*(1+Inputs!$B$6)/(B2235-Inputs!$B$6)/(1+B2235)^7</f>
        <v>-1244.108402</v>
      </c>
    </row>
    <row r="2236" ht="14.25" customHeight="1">
      <c r="A2236" s="7">
        <v>2223.0</v>
      </c>
      <c r="B2236" s="14">
        <f t="shared" si="1"/>
        <v>0.1210097968</v>
      </c>
      <c r="C2236" s="39">
        <f t="array" ref="C2236">NPV(B2236,FCFF!$C$9:$I$9)+FCFF!$B$9+FCFF!$I$9*(1+Inputs!$B$6)/(B2236-Inputs!$B$6)/(1+B2236)^7</f>
        <v>-1838.566216</v>
      </c>
    </row>
    <row r="2237" ht="14.25" customHeight="1">
      <c r="A2237" s="7">
        <v>2224.0</v>
      </c>
      <c r="B2237" s="14">
        <f t="shared" si="1"/>
        <v>0.1012748324</v>
      </c>
      <c r="C2237" s="39">
        <f t="array" ref="C2237">NPV(B2237,FCFF!$C$9:$I$9)+FCFF!$B$9+FCFF!$I$9*(1+Inputs!$B$6)/(B2237-Inputs!$B$6)/(1+B2237)^7</f>
        <v>-1419.136996</v>
      </c>
    </row>
    <row r="2238" ht="14.25" customHeight="1">
      <c r="A2238" s="7">
        <v>2225.0</v>
      </c>
      <c r="B2238" s="14">
        <f t="shared" si="1"/>
        <v>0.1077167646</v>
      </c>
      <c r="C2238" s="39">
        <f t="array" ref="C2238">NPV(B2238,FCFF!$C$9:$I$9)+FCFF!$B$9+FCFF!$I$9*(1+Inputs!$B$6)/(B2238-Inputs!$B$6)/(1+B2238)^7</f>
        <v>-1580.222232</v>
      </c>
    </row>
    <row r="2239" ht="14.25" customHeight="1">
      <c r="A2239" s="7">
        <v>2226.0</v>
      </c>
      <c r="B2239" s="14">
        <f t="shared" si="1"/>
        <v>0.1180340423</v>
      </c>
      <c r="C2239" s="39">
        <f t="array" ref="C2239">NPV(B2239,FCFF!$C$9:$I$9)+FCFF!$B$9+FCFF!$I$9*(1+Inputs!$B$6)/(B2239-Inputs!$B$6)/(1+B2239)^7</f>
        <v>-1787.81806</v>
      </c>
    </row>
    <row r="2240" ht="14.25" customHeight="1">
      <c r="A2240" s="7">
        <v>2227.0</v>
      </c>
      <c r="B2240" s="14">
        <f t="shared" si="1"/>
        <v>0.1117992723</v>
      </c>
      <c r="C2240" s="39">
        <f t="array" ref="C2240">NPV(B2240,FCFF!$C$9:$I$9)+FCFF!$B$9+FCFF!$I$9*(1+Inputs!$B$6)/(B2240-Inputs!$B$6)/(1+B2240)^7</f>
        <v>-1668.873949</v>
      </c>
    </row>
    <row r="2241" ht="14.25" customHeight="1">
      <c r="A2241" s="7">
        <v>2228.0</v>
      </c>
      <c r="B2241" s="14">
        <f t="shared" si="1"/>
        <v>0.1133874272</v>
      </c>
      <c r="C2241" s="39">
        <f t="array" ref="C2241">NPV(B2241,FCFF!$C$9:$I$9)+FCFF!$B$9+FCFF!$I$9*(1+Inputs!$B$6)/(B2241-Inputs!$B$6)/(1+B2241)^7</f>
        <v>-1700.935661</v>
      </c>
    </row>
    <row r="2242" ht="14.25" customHeight="1">
      <c r="A2242" s="7">
        <v>2229.0</v>
      </c>
      <c r="B2242" s="14">
        <f t="shared" si="1"/>
        <v>0.1096320966</v>
      </c>
      <c r="C2242" s="39">
        <f t="array" ref="C2242">NPV(B2242,FCFF!$C$9:$I$9)+FCFF!$B$9+FCFF!$I$9*(1+Inputs!$B$6)/(B2242-Inputs!$B$6)/(1+B2242)^7</f>
        <v>-1622.981756</v>
      </c>
    </row>
    <row r="2243" ht="14.25" customHeight="1">
      <c r="A2243" s="7">
        <v>2230.0</v>
      </c>
      <c r="B2243" s="14">
        <f t="shared" si="1"/>
        <v>0.09955346429</v>
      </c>
      <c r="C2243" s="39">
        <f t="array" ref="C2243">NPV(B2243,FCFF!$C$9:$I$9)+FCFF!$B$9+FCFF!$I$9*(1+Inputs!$B$6)/(B2243-Inputs!$B$6)/(1+B2243)^7</f>
        <v>-1370.968106</v>
      </c>
    </row>
    <row r="2244" ht="14.25" customHeight="1">
      <c r="A2244" s="7">
        <v>2231.0</v>
      </c>
      <c r="B2244" s="14">
        <f t="shared" si="1"/>
        <v>0.1200841235</v>
      </c>
      <c r="C2244" s="39">
        <f t="array" ref="C2244">NPV(B2244,FCFF!$C$9:$I$9)+FCFF!$B$9+FCFF!$I$9*(1+Inputs!$B$6)/(B2244-Inputs!$B$6)/(1+B2244)^7</f>
        <v>-1823.159897</v>
      </c>
    </row>
    <row r="2245" ht="14.25" customHeight="1">
      <c r="A2245" s="7">
        <v>2232.0</v>
      </c>
      <c r="B2245" s="14">
        <f t="shared" si="1"/>
        <v>0.1225430978</v>
      </c>
      <c r="C2245" s="39">
        <f t="array" ref="C2245">NPV(B2245,FCFF!$C$9:$I$9)+FCFF!$B$9+FCFF!$I$9*(1+Inputs!$B$6)/(B2245-Inputs!$B$6)/(1+B2245)^7</f>
        <v>-1863.366064</v>
      </c>
    </row>
    <row r="2246" ht="14.25" customHeight="1">
      <c r="A2246" s="7">
        <v>2233.0</v>
      </c>
      <c r="B2246" s="14">
        <f t="shared" si="1"/>
        <v>0.1001228821</v>
      </c>
      <c r="C2246" s="39">
        <f t="array" ref="C2246">NPV(B2246,FCFF!$C$9:$I$9)+FCFF!$B$9+FCFF!$I$9*(1+Inputs!$B$6)/(B2246-Inputs!$B$6)/(1+B2246)^7</f>
        <v>-1387.165756</v>
      </c>
    </row>
    <row r="2247" ht="14.25" customHeight="1">
      <c r="A2247" s="7">
        <v>2234.0</v>
      </c>
      <c r="B2247" s="14">
        <f t="shared" si="1"/>
        <v>0.1312818858</v>
      </c>
      <c r="C2247" s="39">
        <f t="array" ref="C2247">NPV(B2247,FCFF!$C$9:$I$9)+FCFF!$B$9+FCFF!$I$9*(1+Inputs!$B$6)/(B2247-Inputs!$B$6)/(1+B2247)^7</f>
        <v>-1989.418572</v>
      </c>
    </row>
    <row r="2248" ht="14.25" customHeight="1">
      <c r="A2248" s="7">
        <v>2235.0</v>
      </c>
      <c r="B2248" s="14">
        <f t="shared" si="1"/>
        <v>0.1152458671</v>
      </c>
      <c r="C2248" s="39">
        <f t="array" ref="C2248">NPV(B2248,FCFF!$C$9:$I$9)+FCFF!$B$9+FCFF!$I$9*(1+Inputs!$B$6)/(B2248-Inputs!$B$6)/(1+B2248)^7</f>
        <v>-1736.875063</v>
      </c>
    </row>
    <row r="2249" ht="14.25" customHeight="1">
      <c r="A2249" s="7">
        <v>2236.0</v>
      </c>
      <c r="B2249" s="14">
        <f t="shared" si="1"/>
        <v>0.1288825078</v>
      </c>
      <c r="C2249" s="39">
        <f t="array" ref="C2249">NPV(B2249,FCFF!$C$9:$I$9)+FCFF!$B$9+FCFF!$I$9*(1+Inputs!$B$6)/(B2249-Inputs!$B$6)/(1+B2249)^7</f>
        <v>-1957.199216</v>
      </c>
    </row>
    <row r="2250" ht="14.25" customHeight="1">
      <c r="A2250" s="7">
        <v>2237.0</v>
      </c>
      <c r="B2250" s="14">
        <f t="shared" si="1"/>
        <v>0.09938965324</v>
      </c>
      <c r="C2250" s="39">
        <f t="array" ref="C2250">NPV(B2250,FCFF!$C$9:$I$9)+FCFF!$B$9+FCFF!$I$9*(1+Inputs!$B$6)/(B2250-Inputs!$B$6)/(1+B2250)^7</f>
        <v>-1366.258819</v>
      </c>
    </row>
    <row r="2251" ht="14.25" customHeight="1">
      <c r="A2251" s="7">
        <v>2238.0</v>
      </c>
      <c r="B2251" s="14">
        <f t="shared" si="1"/>
        <v>0.1309903252</v>
      </c>
      <c r="C2251" s="39">
        <f t="array" ref="C2251">NPV(B2251,FCFF!$C$9:$I$9)+FCFF!$B$9+FCFF!$I$9*(1+Inputs!$B$6)/(B2251-Inputs!$B$6)/(1+B2251)^7</f>
        <v>-1985.592147</v>
      </c>
    </row>
    <row r="2252" ht="14.25" customHeight="1">
      <c r="A2252" s="7">
        <v>2239.0</v>
      </c>
      <c r="B2252" s="14">
        <f t="shared" si="1"/>
        <v>0.1032739981</v>
      </c>
      <c r="C2252" s="39">
        <f t="array" ref="C2252">NPV(B2252,FCFF!$C$9:$I$9)+FCFF!$B$9+FCFF!$I$9*(1+Inputs!$B$6)/(B2252-Inputs!$B$6)/(1+B2252)^7</f>
        <v>-1472.21111</v>
      </c>
    </row>
    <row r="2253" ht="14.25" customHeight="1">
      <c r="A2253" s="7">
        <v>2240.0</v>
      </c>
      <c r="B2253" s="14">
        <f t="shared" si="1"/>
        <v>0.1121020095</v>
      </c>
      <c r="C2253" s="39">
        <f t="array" ref="C2253">NPV(B2253,FCFF!$C$9:$I$9)+FCFF!$B$9+FCFF!$I$9*(1+Inputs!$B$6)/(B2253-Inputs!$B$6)/(1+B2253)^7</f>
        <v>-1675.08505</v>
      </c>
    </row>
    <row r="2254" ht="14.25" customHeight="1">
      <c r="A2254" s="7">
        <v>2241.0</v>
      </c>
      <c r="B2254" s="14">
        <f t="shared" si="1"/>
        <v>0.1097103998</v>
      </c>
      <c r="C2254" s="39">
        <f t="array" ref="C2254">NPV(B2254,FCFF!$C$9:$I$9)+FCFF!$B$9+FCFF!$I$9*(1+Inputs!$B$6)/(B2254-Inputs!$B$6)/(1+B2254)^7</f>
        <v>-1624.684836</v>
      </c>
    </row>
    <row r="2255" ht="14.25" customHeight="1">
      <c r="A2255" s="7">
        <v>2242.0</v>
      </c>
      <c r="B2255" s="14">
        <f t="shared" si="1"/>
        <v>0.120926459</v>
      </c>
      <c r="C2255" s="39">
        <f t="array" ref="C2255">NPV(B2255,FCFF!$C$9:$I$9)+FCFF!$B$9+FCFF!$I$9*(1+Inputs!$B$6)/(B2255-Inputs!$B$6)/(1+B2255)^7</f>
        <v>-1837.19282</v>
      </c>
    </row>
    <row r="2256" ht="14.25" customHeight="1">
      <c r="A2256" s="7">
        <v>2243.0</v>
      </c>
      <c r="B2256" s="14">
        <f t="shared" si="1"/>
        <v>0.1053758233</v>
      </c>
      <c r="C2256" s="39">
        <f t="array" ref="C2256">NPV(B2256,FCFF!$C$9:$I$9)+FCFF!$B$9+FCFF!$I$9*(1+Inputs!$B$6)/(B2256-Inputs!$B$6)/(1+B2256)^7</f>
        <v>-1524.929994</v>
      </c>
    </row>
    <row r="2257" ht="14.25" customHeight="1">
      <c r="A2257" s="7">
        <v>2244.0</v>
      </c>
      <c r="B2257" s="14">
        <f t="shared" si="1"/>
        <v>0.1041636743</v>
      </c>
      <c r="C2257" s="39">
        <f t="array" ref="C2257">NPV(B2257,FCFF!$C$9:$I$9)+FCFF!$B$9+FCFF!$I$9*(1+Inputs!$B$6)/(B2257-Inputs!$B$6)/(1+B2257)^7</f>
        <v>-1494.897552</v>
      </c>
    </row>
    <row r="2258" ht="14.25" customHeight="1">
      <c r="A2258" s="7">
        <v>2245.0</v>
      </c>
      <c r="B2258" s="14">
        <f t="shared" si="1"/>
        <v>0.1051802618</v>
      </c>
      <c r="C2258" s="39">
        <f t="array" ref="C2258">NPV(B2258,FCFF!$C$9:$I$9)+FCFF!$B$9+FCFF!$I$9*(1+Inputs!$B$6)/(B2258-Inputs!$B$6)/(1+B2258)^7</f>
        <v>-1520.151509</v>
      </c>
    </row>
    <row r="2259" ht="14.25" customHeight="1">
      <c r="A2259" s="7">
        <v>2246.0</v>
      </c>
      <c r="B2259" s="14">
        <f t="shared" si="1"/>
        <v>0.1215911872</v>
      </c>
      <c r="C2259" s="39">
        <f t="array" ref="C2259">NPV(B2259,FCFF!$C$9:$I$9)+FCFF!$B$9+FCFF!$I$9*(1+Inputs!$B$6)/(B2259-Inputs!$B$6)/(1+B2259)^7</f>
        <v>-1848.073639</v>
      </c>
    </row>
    <row r="2260" ht="14.25" customHeight="1">
      <c r="A2260" s="7">
        <v>2247.0</v>
      </c>
      <c r="B2260" s="14">
        <f t="shared" si="1"/>
        <v>0.1300242931</v>
      </c>
      <c r="C2260" s="39">
        <f t="array" ref="C2260">NPV(B2260,FCFF!$C$9:$I$9)+FCFF!$B$9+FCFF!$I$9*(1+Inputs!$B$6)/(B2260-Inputs!$B$6)/(1+B2260)^7</f>
        <v>-1972.740579</v>
      </c>
    </row>
    <row r="2261" ht="14.25" customHeight="1">
      <c r="A2261" s="7">
        <v>2248.0</v>
      </c>
      <c r="B2261" s="14">
        <f t="shared" si="1"/>
        <v>0.09426443064</v>
      </c>
      <c r="C2261" s="39">
        <f t="array" ref="C2261">NPV(B2261,FCFF!$C$9:$I$9)+FCFF!$B$9+FCFF!$I$9*(1+Inputs!$B$6)/(B2261-Inputs!$B$6)/(1+B2261)^7</f>
        <v>-1206.786422</v>
      </c>
    </row>
    <row r="2262" ht="14.25" customHeight="1">
      <c r="A2262" s="7">
        <v>2249.0</v>
      </c>
      <c r="B2262" s="14">
        <f t="shared" si="1"/>
        <v>0.1119577001</v>
      </c>
      <c r="C2262" s="39">
        <f t="array" ref="C2262">NPV(B2262,FCFF!$C$9:$I$9)+FCFF!$B$9+FCFF!$I$9*(1+Inputs!$B$6)/(B2262-Inputs!$B$6)/(1+B2262)^7</f>
        <v>-1672.130269</v>
      </c>
    </row>
    <row r="2263" ht="14.25" customHeight="1">
      <c r="A2263" s="7">
        <v>2250.0</v>
      </c>
      <c r="B2263" s="14">
        <f t="shared" si="1"/>
        <v>0.1252773563</v>
      </c>
      <c r="C2263" s="39">
        <f t="array" ref="C2263">NPV(B2263,FCFF!$C$9:$I$9)+FCFF!$B$9+FCFF!$I$9*(1+Inputs!$B$6)/(B2263-Inputs!$B$6)/(1+B2263)^7</f>
        <v>-1905.481337</v>
      </c>
    </row>
    <row r="2264" ht="14.25" customHeight="1">
      <c r="A2264" s="7">
        <v>2251.0</v>
      </c>
      <c r="B2264" s="14">
        <f t="shared" si="1"/>
        <v>0.1111452409</v>
      </c>
      <c r="C2264" s="39">
        <f t="array" ref="C2264">NPV(B2264,FCFF!$C$9:$I$9)+FCFF!$B$9+FCFF!$I$9*(1+Inputs!$B$6)/(B2264-Inputs!$B$6)/(1+B2264)^7</f>
        <v>-1655.291404</v>
      </c>
    </row>
    <row r="2265" ht="14.25" customHeight="1">
      <c r="A2265" s="7">
        <v>2252.0</v>
      </c>
      <c r="B2265" s="14">
        <f t="shared" si="1"/>
        <v>0.0953379818</v>
      </c>
      <c r="C2265" s="39">
        <f t="array" ref="C2265">NPV(B2265,FCFF!$C$9:$I$9)+FCFF!$B$9+FCFF!$I$9*(1+Inputs!$B$6)/(B2265-Inputs!$B$6)/(1+B2265)^7</f>
        <v>-1242.254534</v>
      </c>
    </row>
    <row r="2266" ht="14.25" customHeight="1">
      <c r="A2266" s="7">
        <v>2253.0</v>
      </c>
      <c r="B2266" s="14">
        <f t="shared" si="1"/>
        <v>0.09337871079</v>
      </c>
      <c r="C2266" s="39">
        <f t="array" ref="C2266">NPV(B2266,FCFF!$C$9:$I$9)+FCFF!$B$9+FCFF!$I$9*(1+Inputs!$B$6)/(B2266-Inputs!$B$6)/(1+B2266)^7</f>
        <v>-1176.627242</v>
      </c>
    </row>
    <row r="2267" ht="14.25" customHeight="1">
      <c r="A2267" s="7">
        <v>2254.0</v>
      </c>
      <c r="B2267" s="14">
        <f t="shared" si="1"/>
        <v>0.1229607148</v>
      </c>
      <c r="C2267" s="39">
        <f t="array" ref="C2267">NPV(B2267,FCFF!$C$9:$I$9)+FCFF!$B$9+FCFF!$I$9*(1+Inputs!$B$6)/(B2267-Inputs!$B$6)/(1+B2267)^7</f>
        <v>-1869.969855</v>
      </c>
    </row>
    <row r="2268" ht="14.25" customHeight="1">
      <c r="A2268" s="7">
        <v>2255.0</v>
      </c>
      <c r="B2268" s="14">
        <f t="shared" si="1"/>
        <v>0.1100282719</v>
      </c>
      <c r="C2268" s="39">
        <f t="array" ref="C2268">NPV(B2268,FCFF!$C$9:$I$9)+FCFF!$B$9+FCFF!$I$9*(1+Inputs!$B$6)/(B2268-Inputs!$B$6)/(1+B2268)^7</f>
        <v>-1631.563174</v>
      </c>
    </row>
    <row r="2269" ht="14.25" customHeight="1">
      <c r="A2269" s="7">
        <v>2256.0</v>
      </c>
      <c r="B2269" s="14">
        <f t="shared" si="1"/>
        <v>0.1140585027</v>
      </c>
      <c r="C2269" s="39">
        <f t="array" ref="C2269">NPV(B2269,FCFF!$C$9:$I$9)+FCFF!$B$9+FCFF!$I$9*(1+Inputs!$B$6)/(B2269-Inputs!$B$6)/(1+B2269)^7</f>
        <v>-1714.104585</v>
      </c>
    </row>
    <row r="2270" ht="14.25" customHeight="1">
      <c r="A2270" s="7">
        <v>2257.0</v>
      </c>
      <c r="B2270" s="14">
        <f t="shared" si="1"/>
        <v>0.1073084805</v>
      </c>
      <c r="C2270" s="39">
        <f t="array" ref="C2270">NPV(B2270,FCFF!$C$9:$I$9)+FCFF!$B$9+FCFF!$I$9*(1+Inputs!$B$6)/(B2270-Inputs!$B$6)/(1+B2270)^7</f>
        <v>-1570.82561</v>
      </c>
    </row>
    <row r="2271" ht="14.25" customHeight="1">
      <c r="A2271" s="7">
        <v>2258.0</v>
      </c>
      <c r="B2271" s="14">
        <f t="shared" si="1"/>
        <v>0.1239535215</v>
      </c>
      <c r="C2271" s="39">
        <f t="array" ref="C2271">NPV(B2271,FCFF!$C$9:$I$9)+FCFF!$B$9+FCFF!$I$9*(1+Inputs!$B$6)/(B2271-Inputs!$B$6)/(1+B2271)^7</f>
        <v>-1885.417799</v>
      </c>
    </row>
    <row r="2272" ht="14.25" customHeight="1">
      <c r="A2272" s="7">
        <v>2259.0</v>
      </c>
      <c r="B2272" s="14">
        <f t="shared" si="1"/>
        <v>0.1096783215</v>
      </c>
      <c r="C2272" s="39">
        <f t="array" ref="C2272">NPV(B2272,FCFF!$C$9:$I$9)+FCFF!$B$9+FCFF!$I$9*(1+Inputs!$B$6)/(B2272-Inputs!$B$6)/(1+B2272)^7</f>
        <v>-1623.987556</v>
      </c>
    </row>
    <row r="2273" ht="14.25" customHeight="1">
      <c r="A2273" s="7">
        <v>2260.0</v>
      </c>
      <c r="B2273" s="14">
        <f t="shared" si="1"/>
        <v>0.09526042049</v>
      </c>
      <c r="C2273" s="39">
        <f t="array" ref="C2273">NPV(B2273,FCFF!$C$9:$I$9)+FCFF!$B$9+FCFF!$I$9*(1+Inputs!$B$6)/(B2273-Inputs!$B$6)/(1+B2273)^7</f>
        <v>-1239.730892</v>
      </c>
    </row>
    <row r="2274" ht="14.25" customHeight="1">
      <c r="A2274" s="7">
        <v>2261.0</v>
      </c>
      <c r="B2274" s="14">
        <f t="shared" si="1"/>
        <v>0.1223576676</v>
      </c>
      <c r="C2274" s="39">
        <f t="array" ref="C2274">NPV(B2274,FCFF!$C$9:$I$9)+FCFF!$B$9+FCFF!$I$9*(1+Inputs!$B$6)/(B2274-Inputs!$B$6)/(1+B2274)^7</f>
        <v>-1860.413445</v>
      </c>
    </row>
    <row r="2275" ht="14.25" customHeight="1">
      <c r="A2275" s="7">
        <v>2262.0</v>
      </c>
      <c r="B2275" s="14">
        <f t="shared" si="1"/>
        <v>0.1298015007</v>
      </c>
      <c r="C2275" s="39">
        <f t="array" ref="C2275">NPV(B2275,FCFF!$C$9:$I$9)+FCFF!$B$9+FCFF!$I$9*(1+Inputs!$B$6)/(B2275-Inputs!$B$6)/(1+B2275)^7</f>
        <v>-1969.738313</v>
      </c>
    </row>
    <row r="2276" ht="14.25" customHeight="1">
      <c r="A2276" s="7">
        <v>2263.0</v>
      </c>
      <c r="B2276" s="14">
        <f t="shared" si="1"/>
        <v>0.1077077609</v>
      </c>
      <c r="C2276" s="39">
        <f t="array" ref="C2276">NPV(B2276,FCFF!$C$9:$I$9)+FCFF!$B$9+FCFF!$I$9*(1+Inputs!$B$6)/(B2276-Inputs!$B$6)/(1+B2276)^7</f>
        <v>-1580.016104</v>
      </c>
    </row>
    <row r="2277" ht="14.25" customHeight="1">
      <c r="A2277" s="7">
        <v>2264.0</v>
      </c>
      <c r="B2277" s="14">
        <f t="shared" si="1"/>
        <v>0.1168839004</v>
      </c>
      <c r="C2277" s="39">
        <f t="array" ref="C2277">NPV(B2277,FCFF!$C$9:$I$9)+FCFF!$B$9+FCFF!$I$9*(1+Inputs!$B$6)/(B2277-Inputs!$B$6)/(1+B2277)^7</f>
        <v>-1767.219748</v>
      </c>
    </row>
    <row r="2278" ht="14.25" customHeight="1">
      <c r="A2278" s="7">
        <v>2265.0</v>
      </c>
      <c r="B2278" s="14">
        <f t="shared" si="1"/>
        <v>0.1250983321</v>
      </c>
      <c r="C2278" s="39">
        <f t="array" ref="C2278">NPV(B2278,FCFF!$C$9:$I$9)+FCFF!$B$9+FCFF!$I$9*(1+Inputs!$B$6)/(B2278-Inputs!$B$6)/(1+B2278)^7</f>
        <v>-1902.803097</v>
      </c>
    </row>
    <row r="2279" ht="14.25" customHeight="1">
      <c r="A2279" s="7">
        <v>2266.0</v>
      </c>
      <c r="B2279" s="14">
        <f t="shared" si="1"/>
        <v>0.1022251777</v>
      </c>
      <c r="C2279" s="39">
        <f t="array" ref="C2279">NPV(B2279,FCFF!$C$9:$I$9)+FCFF!$B$9+FCFF!$I$9*(1+Inputs!$B$6)/(B2279-Inputs!$B$6)/(1+B2279)^7</f>
        <v>-1444.737826</v>
      </c>
    </row>
    <row r="2280" ht="14.25" customHeight="1">
      <c r="A2280" s="7">
        <v>2267.0</v>
      </c>
      <c r="B2280" s="14">
        <f t="shared" si="1"/>
        <v>0.09750169341</v>
      </c>
      <c r="C2280" s="39">
        <f t="array" ref="C2280">NPV(B2280,FCFF!$C$9:$I$9)+FCFF!$B$9+FCFF!$I$9*(1+Inputs!$B$6)/(B2280-Inputs!$B$6)/(1+B2280)^7</f>
        <v>-1310.327836</v>
      </c>
    </row>
    <row r="2281" ht="14.25" customHeight="1">
      <c r="A2281" s="7">
        <v>2268.0</v>
      </c>
      <c r="B2281" s="14">
        <f t="shared" si="1"/>
        <v>0.1130009644</v>
      </c>
      <c r="C2281" s="39">
        <f t="array" ref="C2281">NPV(B2281,FCFF!$C$9:$I$9)+FCFF!$B$9+FCFF!$I$9*(1+Inputs!$B$6)/(B2281-Inputs!$B$6)/(1+B2281)^7</f>
        <v>-1693.251176</v>
      </c>
    </row>
    <row r="2282" ht="14.25" customHeight="1">
      <c r="A2282" s="7">
        <v>2269.0</v>
      </c>
      <c r="B2282" s="14">
        <f t="shared" si="1"/>
        <v>0.122172319</v>
      </c>
      <c r="C2282" s="39">
        <f t="array" ref="C2282">NPV(B2282,FCFF!$C$9:$I$9)+FCFF!$B$9+FCFF!$I$9*(1+Inputs!$B$6)/(B2282-Inputs!$B$6)/(1+B2282)^7</f>
        <v>-1857.449479</v>
      </c>
    </row>
    <row r="2283" ht="14.25" customHeight="1">
      <c r="A2283" s="7">
        <v>2270.0</v>
      </c>
      <c r="B2283" s="14">
        <f t="shared" si="1"/>
        <v>0.09947693901</v>
      </c>
      <c r="C2283" s="39">
        <f t="array" ref="C2283">NPV(B2283,FCFF!$C$9:$I$9)+FCFF!$B$9+FCFF!$I$9*(1+Inputs!$B$6)/(B2283-Inputs!$B$6)/(1+B2283)^7</f>
        <v>-1368.770913</v>
      </c>
    </row>
    <row r="2284" ht="14.25" customHeight="1">
      <c r="A2284" s="7">
        <v>2271.0</v>
      </c>
      <c r="B2284" s="14">
        <f t="shared" si="1"/>
        <v>0.1172719359</v>
      </c>
      <c r="C2284" s="39">
        <f t="array" ref="C2284">NPV(B2284,FCFF!$C$9:$I$9)+FCFF!$B$9+FCFF!$I$9*(1+Inputs!$B$6)/(B2284-Inputs!$B$6)/(1+B2284)^7</f>
        <v>-1774.233065</v>
      </c>
    </row>
    <row r="2285" ht="14.25" customHeight="1">
      <c r="A2285" s="7">
        <v>2272.0</v>
      </c>
      <c r="B2285" s="14">
        <f t="shared" si="1"/>
        <v>0.1201724884</v>
      </c>
      <c r="C2285" s="39">
        <f t="array" ref="C2285">NPV(B2285,FCFF!$C$9:$I$9)+FCFF!$B$9+FCFF!$I$9*(1+Inputs!$B$6)/(B2285-Inputs!$B$6)/(1+B2285)^7</f>
        <v>-1824.645063</v>
      </c>
    </row>
    <row r="2286" ht="14.25" customHeight="1">
      <c r="A2286" s="7">
        <v>2273.0</v>
      </c>
      <c r="B2286" s="14">
        <f t="shared" si="1"/>
        <v>0.09919275081</v>
      </c>
      <c r="C2286" s="39">
        <f t="array" ref="C2286">NPV(B2286,FCFF!$C$9:$I$9)+FCFF!$B$9+FCFF!$I$9*(1+Inputs!$B$6)/(B2286-Inputs!$B$6)/(1+B2286)^7</f>
        <v>-1360.56856</v>
      </c>
    </row>
    <row r="2287" ht="14.25" customHeight="1">
      <c r="A2287" s="7">
        <v>2274.0</v>
      </c>
      <c r="B2287" s="14">
        <f t="shared" si="1"/>
        <v>0.1063054553</v>
      </c>
      <c r="C2287" s="39">
        <f t="array" ref="C2287">NPV(B2287,FCFF!$C$9:$I$9)+FCFF!$B$9+FCFF!$I$9*(1+Inputs!$B$6)/(B2287-Inputs!$B$6)/(1+B2287)^7</f>
        <v>-1547.303253</v>
      </c>
    </row>
    <row r="2288" ht="14.25" customHeight="1">
      <c r="A2288" s="7">
        <v>2275.0</v>
      </c>
      <c r="B2288" s="14">
        <f t="shared" si="1"/>
        <v>0.1227479709</v>
      </c>
      <c r="C2288" s="39">
        <f t="array" ref="C2288">NPV(B2288,FCFF!$C$9:$I$9)+FCFF!$B$9+FCFF!$I$9*(1+Inputs!$B$6)/(B2288-Inputs!$B$6)/(1+B2288)^7</f>
        <v>-1866.613651</v>
      </c>
    </row>
    <row r="2289" ht="14.25" customHeight="1">
      <c r="A2289" s="7">
        <v>2276.0</v>
      </c>
      <c r="B2289" s="14">
        <f t="shared" si="1"/>
        <v>0.1163316389</v>
      </c>
      <c r="C2289" s="39">
        <f t="array" ref="C2289">NPV(B2289,FCFF!$C$9:$I$9)+FCFF!$B$9+FCFF!$I$9*(1+Inputs!$B$6)/(B2289-Inputs!$B$6)/(1+B2289)^7</f>
        <v>-1757.123991</v>
      </c>
    </row>
    <row r="2290" ht="14.25" customHeight="1">
      <c r="A2290" s="7">
        <v>2277.0</v>
      </c>
      <c r="B2290" s="14">
        <f t="shared" si="1"/>
        <v>0.1025970577</v>
      </c>
      <c r="C2290" s="39">
        <f t="array" ref="C2290">NPV(B2290,FCFF!$C$9:$I$9)+FCFF!$B$9+FCFF!$I$9*(1+Inputs!$B$6)/(B2290-Inputs!$B$6)/(1+B2290)^7</f>
        <v>-1454.571094</v>
      </c>
    </row>
    <row r="2291" ht="14.25" customHeight="1">
      <c r="A2291" s="7">
        <v>2278.0</v>
      </c>
      <c r="B2291" s="14">
        <f t="shared" si="1"/>
        <v>0.129789434</v>
      </c>
      <c r="C2291" s="39">
        <f t="array" ref="C2291">NPV(B2291,FCFF!$C$9:$I$9)+FCFF!$B$9+FCFF!$I$9*(1+Inputs!$B$6)/(B2291-Inputs!$B$6)/(1+B2291)^7</f>
        <v>-1969.575293</v>
      </c>
    </row>
    <row r="2292" ht="14.25" customHeight="1">
      <c r="A2292" s="7">
        <v>2279.0</v>
      </c>
      <c r="B2292" s="14">
        <f t="shared" si="1"/>
        <v>0.1216359675</v>
      </c>
      <c r="C2292" s="39">
        <f t="array" ref="C2292">NPV(B2292,FCFF!$C$9:$I$9)+FCFF!$B$9+FCFF!$I$9*(1+Inputs!$B$6)/(B2292-Inputs!$B$6)/(1+B2292)^7</f>
        <v>-1848.800613</v>
      </c>
    </row>
    <row r="2293" ht="14.25" customHeight="1">
      <c r="A2293" s="7">
        <v>2280.0</v>
      </c>
      <c r="B2293" s="14">
        <f t="shared" si="1"/>
        <v>0.1115846132</v>
      </c>
      <c r="C2293" s="39">
        <f t="array" ref="C2293">NPV(B2293,FCFF!$C$9:$I$9)+FCFF!$B$9+FCFF!$I$9*(1+Inputs!$B$6)/(B2293-Inputs!$B$6)/(1+B2293)^7</f>
        <v>-1664.440919</v>
      </c>
    </row>
    <row r="2294" ht="14.25" customHeight="1">
      <c r="A2294" s="7">
        <v>2281.0</v>
      </c>
      <c r="B2294" s="14">
        <f t="shared" si="1"/>
        <v>0.1211178189</v>
      </c>
      <c r="C2294" s="39">
        <f t="array" ref="C2294">NPV(B2294,FCFF!$C$9:$I$9)+FCFF!$B$9+FCFF!$I$9*(1+Inputs!$B$6)/(B2294-Inputs!$B$6)/(1+B2294)^7</f>
        <v>-1840.34244</v>
      </c>
    </row>
    <row r="2295" ht="14.25" customHeight="1">
      <c r="A2295" s="7">
        <v>2282.0</v>
      </c>
      <c r="B2295" s="14">
        <f t="shared" si="1"/>
        <v>0.1166229872</v>
      </c>
      <c r="C2295" s="39">
        <f t="array" ref="C2295">NPV(B2295,FCFF!$C$9:$I$9)+FCFF!$B$9+FCFF!$I$9*(1+Inputs!$B$6)/(B2295-Inputs!$B$6)/(1+B2295)^7</f>
        <v>-1762.466901</v>
      </c>
    </row>
    <row r="2296" ht="14.25" customHeight="1">
      <c r="A2296" s="7">
        <v>2283.0</v>
      </c>
      <c r="B2296" s="14">
        <f t="shared" si="1"/>
        <v>0.1166098017</v>
      </c>
      <c r="C2296" s="39">
        <f t="array" ref="C2296">NPV(B2296,FCFF!$C$9:$I$9)+FCFF!$B$9+FCFF!$I$9*(1+Inputs!$B$6)/(B2296-Inputs!$B$6)/(1+B2296)^7</f>
        <v>-1762.225913</v>
      </c>
    </row>
    <row r="2297" ht="14.25" customHeight="1">
      <c r="A2297" s="7">
        <v>2284.0</v>
      </c>
      <c r="B2297" s="14">
        <f t="shared" si="1"/>
        <v>0.09676486221</v>
      </c>
      <c r="C2297" s="39">
        <f t="array" ref="C2297">NPV(B2297,FCFF!$C$9:$I$9)+FCFF!$B$9+FCFF!$I$9*(1+Inputs!$B$6)/(B2297-Inputs!$B$6)/(1+B2297)^7</f>
        <v>-1287.640214</v>
      </c>
    </row>
    <row r="2298" ht="14.25" customHeight="1">
      <c r="A2298" s="7">
        <v>2285.0</v>
      </c>
      <c r="B2298" s="14">
        <f t="shared" si="1"/>
        <v>0.1202954773</v>
      </c>
      <c r="C2298" s="39">
        <f t="array" ref="C2298">NPV(B2298,FCFF!$C$9:$I$9)+FCFF!$B$9+FCFF!$I$9*(1+Inputs!$B$6)/(B2298-Inputs!$B$6)/(1+B2298)^7</f>
        <v>-1826.707037</v>
      </c>
    </row>
    <row r="2299" ht="14.25" customHeight="1">
      <c r="A2299" s="7">
        <v>2286.0</v>
      </c>
      <c r="B2299" s="14">
        <f t="shared" si="1"/>
        <v>0.1270051832</v>
      </c>
      <c r="C2299" s="39">
        <f t="array" ref="C2299">NPV(B2299,FCFF!$C$9:$I$9)+FCFF!$B$9+FCFF!$I$9*(1+Inputs!$B$6)/(B2299-Inputs!$B$6)/(1+B2299)^7</f>
        <v>-1930.784766</v>
      </c>
    </row>
    <row r="2300" ht="14.25" customHeight="1">
      <c r="A2300" s="7">
        <v>2287.0</v>
      </c>
      <c r="B2300" s="14">
        <f t="shared" si="1"/>
        <v>0.09848078309</v>
      </c>
      <c r="C2300" s="39">
        <f t="array" ref="C2300">NPV(B2300,FCFF!$C$9:$I$9)+FCFF!$B$9+FCFF!$I$9*(1+Inputs!$B$6)/(B2300-Inputs!$B$6)/(1+B2300)^7</f>
        <v>-1339.719343</v>
      </c>
    </row>
    <row r="2301" ht="14.25" customHeight="1">
      <c r="A2301" s="7">
        <v>2288.0</v>
      </c>
      <c r="B2301" s="14">
        <f t="shared" si="1"/>
        <v>0.1182722996</v>
      </c>
      <c r="C2301" s="39">
        <f t="array" ref="C2301">NPV(B2301,FCFF!$C$9:$I$9)+FCFF!$B$9+FCFF!$I$9*(1+Inputs!$B$6)/(B2301-Inputs!$B$6)/(1+B2301)^7</f>
        <v>-1792.01446</v>
      </c>
    </row>
    <row r="2302" ht="14.25" customHeight="1">
      <c r="A2302" s="7">
        <v>2289.0</v>
      </c>
      <c r="B2302" s="14">
        <f t="shared" si="1"/>
        <v>0.1064648174</v>
      </c>
      <c r="C2302" s="39">
        <f t="array" ref="C2302">NPV(B2302,FCFF!$C$9:$I$9)+FCFF!$B$9+FCFF!$I$9*(1+Inputs!$B$6)/(B2302-Inputs!$B$6)/(1+B2302)^7</f>
        <v>-1551.08275</v>
      </c>
    </row>
    <row r="2303" ht="14.25" customHeight="1">
      <c r="A2303" s="7">
        <v>2290.0</v>
      </c>
      <c r="B2303" s="14">
        <f t="shared" si="1"/>
        <v>0.09610670452</v>
      </c>
      <c r="C2303" s="39">
        <f t="array" ref="C2303">NPV(B2303,FCFF!$C$9:$I$9)+FCFF!$B$9+FCFF!$I$9*(1+Inputs!$B$6)/(B2303-Inputs!$B$6)/(1+B2303)^7</f>
        <v>-1266.948252</v>
      </c>
    </row>
    <row r="2304" ht="14.25" customHeight="1">
      <c r="A2304" s="7">
        <v>2291.0</v>
      </c>
      <c r="B2304" s="14">
        <f t="shared" si="1"/>
        <v>0.1323256542</v>
      </c>
      <c r="C2304" s="39">
        <f t="array" ref="C2304">NPV(B2304,FCFF!$C$9:$I$9)+FCFF!$B$9+FCFF!$I$9*(1+Inputs!$B$6)/(B2304-Inputs!$B$6)/(1+B2304)^7</f>
        <v>-2002.922344</v>
      </c>
    </row>
    <row r="2305" ht="14.25" customHeight="1">
      <c r="A2305" s="7">
        <v>2292.0</v>
      </c>
      <c r="B2305" s="14">
        <f t="shared" si="1"/>
        <v>0.126674296</v>
      </c>
      <c r="C2305" s="39">
        <f t="array" ref="C2305">NPV(B2305,FCFF!$C$9:$I$9)+FCFF!$B$9+FCFF!$I$9*(1+Inputs!$B$6)/(B2305-Inputs!$B$6)/(1+B2305)^7</f>
        <v>-1926.014318</v>
      </c>
    </row>
    <row r="2306" ht="14.25" customHeight="1">
      <c r="A2306" s="7">
        <v>2293.0</v>
      </c>
      <c r="B2306" s="14">
        <f t="shared" si="1"/>
        <v>0.1059049075</v>
      </c>
      <c r="C2306" s="39">
        <f t="array" ref="C2306">NPV(B2306,FCFF!$C$9:$I$9)+FCFF!$B$9+FCFF!$I$9*(1+Inputs!$B$6)/(B2306-Inputs!$B$6)/(1+B2306)^7</f>
        <v>-1537.732018</v>
      </c>
    </row>
    <row r="2307" ht="14.25" customHeight="1">
      <c r="A2307" s="7">
        <v>2294.0</v>
      </c>
      <c r="B2307" s="14">
        <f t="shared" si="1"/>
        <v>0.1061568017</v>
      </c>
      <c r="C2307" s="39">
        <f t="array" ref="C2307">NPV(B2307,FCFF!$C$9:$I$9)+FCFF!$B$9+FCFF!$I$9*(1+Inputs!$B$6)/(B2307-Inputs!$B$6)/(1+B2307)^7</f>
        <v>-1543.763135</v>
      </c>
    </row>
    <row r="2308" ht="14.25" customHeight="1">
      <c r="A2308" s="7">
        <v>2295.0</v>
      </c>
      <c r="B2308" s="14">
        <f t="shared" si="1"/>
        <v>0.1267351916</v>
      </c>
      <c r="C2308" s="39">
        <f t="array" ref="C2308">NPV(B2308,FCFF!$C$9:$I$9)+FCFF!$B$9+FCFF!$I$9*(1+Inputs!$B$6)/(B2308-Inputs!$B$6)/(1+B2308)^7</f>
        <v>-1926.894896</v>
      </c>
    </row>
    <row r="2309" ht="14.25" customHeight="1">
      <c r="A2309" s="7">
        <v>2296.0</v>
      </c>
      <c r="B2309" s="14">
        <f t="shared" si="1"/>
        <v>0.1017405804</v>
      </c>
      <c r="C2309" s="39">
        <f t="array" ref="C2309">NPV(B2309,FCFF!$C$9:$I$9)+FCFF!$B$9+FCFF!$I$9*(1+Inputs!$B$6)/(B2309-Inputs!$B$6)/(1+B2309)^7</f>
        <v>-1431.769216</v>
      </c>
    </row>
    <row r="2310" ht="14.25" customHeight="1">
      <c r="A2310" s="7">
        <v>2297.0</v>
      </c>
      <c r="B2310" s="14">
        <f t="shared" si="1"/>
        <v>0.120350007</v>
      </c>
      <c r="C2310" s="39">
        <f t="array" ref="C2310">NPV(B2310,FCFF!$C$9:$I$9)+FCFF!$B$9+FCFF!$I$9*(1+Inputs!$B$6)/(B2310-Inputs!$B$6)/(1+B2310)^7</f>
        <v>-1827.619353</v>
      </c>
    </row>
    <row r="2311" ht="14.25" customHeight="1">
      <c r="A2311" s="7">
        <v>2298.0</v>
      </c>
      <c r="B2311" s="14">
        <f t="shared" si="1"/>
        <v>0.1005140922</v>
      </c>
      <c r="C2311" s="39">
        <f t="array" ref="C2311">NPV(B2311,FCFF!$C$9:$I$9)+FCFF!$B$9+FCFF!$I$9*(1+Inputs!$B$6)/(B2311-Inputs!$B$6)/(1+B2311)^7</f>
        <v>-1398.141503</v>
      </c>
    </row>
    <row r="2312" ht="14.25" customHeight="1">
      <c r="A2312" s="7">
        <v>2299.0</v>
      </c>
      <c r="B2312" s="14">
        <f t="shared" si="1"/>
        <v>0.1299785921</v>
      </c>
      <c r="C2312" s="39">
        <f t="array" ref="C2312">NPV(B2312,FCFF!$C$9:$I$9)+FCFF!$B$9+FCFF!$I$9*(1+Inputs!$B$6)/(B2312-Inputs!$B$6)/(1+B2312)^7</f>
        <v>-1972.125913</v>
      </c>
    </row>
    <row r="2313" ht="14.25" customHeight="1">
      <c r="A2313" s="7">
        <v>2300.0</v>
      </c>
      <c r="B2313" s="14">
        <f t="shared" si="1"/>
        <v>0.1280294783</v>
      </c>
      <c r="C2313" s="39">
        <f t="array" ref="C2313">NPV(B2313,FCFF!$C$9:$I$9)+FCFF!$B$9+FCFF!$I$9*(1+Inputs!$B$6)/(B2313-Inputs!$B$6)/(1+B2313)^7</f>
        <v>-1945.332278</v>
      </c>
    </row>
    <row r="2314" ht="14.25" customHeight="1">
      <c r="A2314" s="7">
        <v>2301.0</v>
      </c>
      <c r="B2314" s="14">
        <f t="shared" si="1"/>
        <v>0.1018167639</v>
      </c>
      <c r="C2314" s="39">
        <f t="array" ref="C2314">NPV(B2314,FCFF!$C$9:$I$9)+FCFF!$B$9+FCFF!$I$9*(1+Inputs!$B$6)/(B2314-Inputs!$B$6)/(1+B2314)^7</f>
        <v>-1433.81974</v>
      </c>
    </row>
    <row r="2315" ht="14.25" customHeight="1">
      <c r="A2315" s="7">
        <v>2302.0</v>
      </c>
      <c r="B2315" s="14">
        <f t="shared" si="1"/>
        <v>0.1156550212</v>
      </c>
      <c r="C2315" s="39">
        <f t="array" ref="C2315">NPV(B2315,FCFF!$C$9:$I$9)+FCFF!$B$9+FCFF!$I$9*(1+Inputs!$B$6)/(B2315-Inputs!$B$6)/(1+B2315)^7</f>
        <v>-1744.568669</v>
      </c>
    </row>
    <row r="2316" ht="14.25" customHeight="1">
      <c r="A2316" s="7">
        <v>2303.0</v>
      </c>
      <c r="B2316" s="14">
        <f t="shared" si="1"/>
        <v>0.1167616183</v>
      </c>
      <c r="C2316" s="39">
        <f t="array" ref="C2316">NPV(B2316,FCFF!$C$9:$I$9)+FCFF!$B$9+FCFF!$I$9*(1+Inputs!$B$6)/(B2316-Inputs!$B$6)/(1+B2316)^7</f>
        <v>-1764.995971</v>
      </c>
    </row>
    <row r="2317" ht="14.25" customHeight="1">
      <c r="A2317" s="7">
        <v>2304.0</v>
      </c>
      <c r="B2317" s="14">
        <f t="shared" si="1"/>
        <v>0.1028382326</v>
      </c>
      <c r="C2317" s="39">
        <f t="array" ref="C2317">NPV(B2317,FCFF!$C$9:$I$9)+FCFF!$B$9+FCFF!$I$9*(1+Inputs!$B$6)/(B2317-Inputs!$B$6)/(1+B2317)^7</f>
        <v>-1460.893868</v>
      </c>
    </row>
    <row r="2318" ht="14.25" customHeight="1">
      <c r="A2318" s="7">
        <v>2305.0</v>
      </c>
      <c r="B2318" s="14">
        <f t="shared" si="1"/>
        <v>0.09771084536</v>
      </c>
      <c r="C2318" s="39">
        <f t="array" ref="C2318">NPV(B2318,FCFF!$C$9:$I$9)+FCFF!$B$9+FCFF!$I$9*(1+Inputs!$B$6)/(B2318-Inputs!$B$6)/(1+B2318)^7</f>
        <v>-1316.677874</v>
      </c>
    </row>
    <row r="2319" ht="14.25" customHeight="1">
      <c r="A2319" s="7">
        <v>2306.0</v>
      </c>
      <c r="B2319" s="14">
        <f t="shared" si="1"/>
        <v>0.1078341501</v>
      </c>
      <c r="C2319" s="39">
        <f t="array" ref="C2319">NPV(B2319,FCFF!$C$9:$I$9)+FCFF!$B$9+FCFF!$I$9*(1+Inputs!$B$6)/(B2319-Inputs!$B$6)/(1+B2319)^7</f>
        <v>-1582.905119</v>
      </c>
    </row>
    <row r="2320" ht="14.25" customHeight="1">
      <c r="A2320" s="7">
        <v>2307.0</v>
      </c>
      <c r="B2320" s="14">
        <f t="shared" si="1"/>
        <v>0.09538928689</v>
      </c>
      <c r="C2320" s="39">
        <f t="array" ref="C2320">NPV(B2320,FCFF!$C$9:$I$9)+FCFF!$B$9+FCFF!$I$9*(1+Inputs!$B$6)/(B2320-Inputs!$B$6)/(1+B2320)^7</f>
        <v>-1243.920598</v>
      </c>
    </row>
    <row r="2321" ht="14.25" customHeight="1">
      <c r="A2321" s="7">
        <v>2308.0</v>
      </c>
      <c r="B2321" s="14">
        <f t="shared" si="1"/>
        <v>0.1222754671</v>
      </c>
      <c r="C2321" s="39">
        <f t="array" ref="C2321">NPV(B2321,FCFF!$C$9:$I$9)+FCFF!$B$9+FCFF!$I$9*(1+Inputs!$B$6)/(B2321-Inputs!$B$6)/(1+B2321)^7</f>
        <v>-1859.100516</v>
      </c>
    </row>
    <row r="2322" ht="14.25" customHeight="1">
      <c r="A2322" s="7">
        <v>2309.0</v>
      </c>
      <c r="B2322" s="14">
        <f t="shared" si="1"/>
        <v>0.1114339354</v>
      </c>
      <c r="C2322" s="39">
        <f t="array" ref="C2322">NPV(B2322,FCFF!$C$9:$I$9)+FCFF!$B$9+FCFF!$I$9*(1+Inputs!$B$6)/(B2322-Inputs!$B$6)/(1+B2322)^7</f>
        <v>-1661.314723</v>
      </c>
    </row>
    <row r="2323" ht="14.25" customHeight="1">
      <c r="A2323" s="7">
        <v>2310.0</v>
      </c>
      <c r="B2323" s="14">
        <f t="shared" si="1"/>
        <v>0.1082407251</v>
      </c>
      <c r="C2323" s="39">
        <f t="array" ref="C2323">NPV(B2323,FCFF!$C$9:$I$9)+FCFF!$B$9+FCFF!$I$9*(1+Inputs!$B$6)/(B2323-Inputs!$B$6)/(1+B2323)^7</f>
        <v>-1592.133619</v>
      </c>
    </row>
    <row r="2324" ht="14.25" customHeight="1">
      <c r="A2324" s="7">
        <v>2311.0</v>
      </c>
      <c r="B2324" s="14">
        <f t="shared" si="1"/>
        <v>0.09752671226</v>
      </c>
      <c r="C2324" s="39">
        <f t="array" ref="C2324">NPV(B2324,FCFF!$C$9:$I$9)+FCFF!$B$9+FCFF!$I$9*(1+Inputs!$B$6)/(B2324-Inputs!$B$6)/(1+B2324)^7</f>
        <v>-1311.089502</v>
      </c>
    </row>
    <row r="2325" ht="14.25" customHeight="1">
      <c r="A2325" s="7">
        <v>2312.0</v>
      </c>
      <c r="B2325" s="14">
        <f t="shared" si="1"/>
        <v>0.1114091491</v>
      </c>
      <c r="C2325" s="39">
        <f t="array" ref="C2325">NPV(B2325,FCFF!$C$9:$I$9)+FCFF!$B$9+FCFF!$I$9*(1+Inputs!$B$6)/(B2325-Inputs!$B$6)/(1+B2325)^7</f>
        <v>-1660.799319</v>
      </c>
    </row>
    <row r="2326" ht="14.25" customHeight="1">
      <c r="A2326" s="7">
        <v>2313.0</v>
      </c>
      <c r="B2326" s="14">
        <f t="shared" si="1"/>
        <v>0.1042198695</v>
      </c>
      <c r="C2326" s="39">
        <f t="array" ref="C2326">NPV(B2326,FCFF!$C$9:$I$9)+FCFF!$B$9+FCFF!$I$9*(1+Inputs!$B$6)/(B2326-Inputs!$B$6)/(1+B2326)^7</f>
        <v>-1496.311946</v>
      </c>
    </row>
    <row r="2327" ht="14.25" customHeight="1">
      <c r="A2327" s="7">
        <v>2314.0</v>
      </c>
      <c r="B2327" s="14">
        <f t="shared" si="1"/>
        <v>0.11379631</v>
      </c>
      <c r="C2327" s="39">
        <f t="array" ref="C2327">NPV(B2327,FCFF!$C$9:$I$9)+FCFF!$B$9+FCFF!$I$9*(1+Inputs!$B$6)/(B2327-Inputs!$B$6)/(1+B2327)^7</f>
        <v>-1708.985589</v>
      </c>
    </row>
    <row r="2328" ht="14.25" customHeight="1">
      <c r="A2328" s="7">
        <v>2315.0</v>
      </c>
      <c r="B2328" s="14">
        <f t="shared" si="1"/>
        <v>0.1313845198</v>
      </c>
      <c r="C2328" s="39">
        <f t="array" ref="C2328">NPV(B2328,FCFF!$C$9:$I$9)+FCFF!$B$9+FCFF!$I$9*(1+Inputs!$B$6)/(B2328-Inputs!$B$6)/(1+B2328)^7</f>
        <v>-1990.759835</v>
      </c>
    </row>
    <row r="2329" ht="14.25" customHeight="1">
      <c r="A2329" s="7">
        <v>2316.0</v>
      </c>
      <c r="B2329" s="14">
        <f t="shared" si="1"/>
        <v>0.1008887556</v>
      </c>
      <c r="C2329" s="39">
        <f t="array" ref="C2329">NPV(B2329,FCFF!$C$9:$I$9)+FCFF!$B$9+FCFF!$I$9*(1+Inputs!$B$6)/(B2329-Inputs!$B$6)/(1+B2329)^7</f>
        <v>-1408.538564</v>
      </c>
    </row>
    <row r="2330" ht="14.25" customHeight="1">
      <c r="A2330" s="7">
        <v>2317.0</v>
      </c>
      <c r="B2330" s="14">
        <f t="shared" si="1"/>
        <v>0.1306864772</v>
      </c>
      <c r="C2330" s="39">
        <f t="array" ref="C2330">NPV(B2330,FCFF!$C$9:$I$9)+FCFF!$B$9+FCFF!$I$9*(1+Inputs!$B$6)/(B2330-Inputs!$B$6)/(1+B2330)^7</f>
        <v>-1981.578805</v>
      </c>
    </row>
    <row r="2331" ht="14.25" customHeight="1">
      <c r="A2331" s="7">
        <v>2318.0</v>
      </c>
      <c r="B2331" s="14">
        <f t="shared" si="1"/>
        <v>0.1303085645</v>
      </c>
      <c r="C2331" s="39">
        <f t="array" ref="C2331">NPV(B2331,FCFF!$C$9:$I$9)+FCFF!$B$9+FCFF!$I$9*(1+Inputs!$B$6)/(B2331-Inputs!$B$6)/(1+B2331)^7</f>
        <v>-1976.550299</v>
      </c>
    </row>
    <row r="2332" ht="14.25" customHeight="1">
      <c r="A2332" s="7">
        <v>2319.0</v>
      </c>
      <c r="B2332" s="14">
        <f t="shared" si="1"/>
        <v>0.1240380521</v>
      </c>
      <c r="C2332" s="39">
        <f t="array" ref="C2332">NPV(B2332,FCFF!$C$9:$I$9)+FCFF!$B$9+FCFF!$I$9*(1+Inputs!$B$6)/(B2332-Inputs!$B$6)/(1+B2332)^7</f>
        <v>-1886.716989</v>
      </c>
    </row>
    <row r="2333" ht="14.25" customHeight="1">
      <c r="A2333" s="7">
        <v>2320.0</v>
      </c>
      <c r="B2333" s="14">
        <f t="shared" si="1"/>
        <v>0.105135608</v>
      </c>
      <c r="C2333" s="39">
        <f t="array" ref="C2333">NPV(B2333,FCFF!$C$9:$I$9)+FCFF!$B$9+FCFF!$I$9*(1+Inputs!$B$6)/(B2333-Inputs!$B$6)/(1+B2333)^7</f>
        <v>-1519.056847</v>
      </c>
    </row>
    <row r="2334" ht="14.25" customHeight="1">
      <c r="A2334" s="7">
        <v>2321.0</v>
      </c>
      <c r="B2334" s="14">
        <f t="shared" si="1"/>
        <v>0.09359750964</v>
      </c>
      <c r="C2334" s="39">
        <f t="array" ref="C2334">NPV(B2334,FCFF!$C$9:$I$9)+FCFF!$B$9+FCFF!$I$9*(1+Inputs!$B$6)/(B2334-Inputs!$B$6)/(1+B2334)^7</f>
        <v>-1184.154773</v>
      </c>
    </row>
    <row r="2335" ht="14.25" customHeight="1">
      <c r="A2335" s="7">
        <v>2322.0</v>
      </c>
      <c r="B2335" s="14">
        <f t="shared" si="1"/>
        <v>0.130516567</v>
      </c>
      <c r="C2335" s="39">
        <f t="array" ref="C2335">NPV(B2335,FCFF!$C$9:$I$9)+FCFF!$B$9+FCFF!$I$9*(1+Inputs!$B$6)/(B2335-Inputs!$B$6)/(1+B2335)^7</f>
        <v>-1979.323063</v>
      </c>
    </row>
    <row r="2336" ht="14.25" customHeight="1">
      <c r="A2336" s="7">
        <v>2323.0</v>
      </c>
      <c r="B2336" s="14">
        <f t="shared" si="1"/>
        <v>0.1297224196</v>
      </c>
      <c r="C2336" s="39">
        <f t="array" ref="C2336">NPV(B2336,FCFF!$C$9:$I$9)+FCFF!$B$9+FCFF!$I$9*(1+Inputs!$B$6)/(B2336-Inputs!$B$6)/(1+B2336)^7</f>
        <v>-1968.669148</v>
      </c>
    </row>
    <row r="2337" ht="14.25" customHeight="1">
      <c r="A2337" s="7">
        <v>2324.0</v>
      </c>
      <c r="B2337" s="14">
        <f t="shared" si="1"/>
        <v>0.1061407088</v>
      </c>
      <c r="C2337" s="39">
        <f t="array" ref="C2337">NPV(B2337,FCFF!$C$9:$I$9)+FCFF!$B$9+FCFF!$I$9*(1+Inputs!$B$6)/(B2337-Inputs!$B$6)/(1+B2337)^7</f>
        <v>-1543.379044</v>
      </c>
    </row>
    <row r="2338" ht="14.25" customHeight="1">
      <c r="A2338" s="7">
        <v>2325.0</v>
      </c>
      <c r="B2338" s="14">
        <f t="shared" si="1"/>
        <v>0.1025868603</v>
      </c>
      <c r="C2338" s="39">
        <f t="array" ref="C2338">NPV(B2338,FCFF!$C$9:$I$9)+FCFF!$B$9+FCFF!$I$9*(1+Inputs!$B$6)/(B2338-Inputs!$B$6)/(1+B2338)^7</f>
        <v>-1454.302814</v>
      </c>
    </row>
    <row r="2339" ht="14.25" customHeight="1">
      <c r="A2339" s="7">
        <v>2326.0</v>
      </c>
      <c r="B2339" s="14">
        <f t="shared" si="1"/>
        <v>0.1316334068</v>
      </c>
      <c r="C2339" s="39">
        <f t="array" ref="C2339">NPV(B2339,FCFF!$C$9:$I$9)+FCFF!$B$9+FCFF!$I$9*(1+Inputs!$B$6)/(B2339-Inputs!$B$6)/(1+B2339)^7</f>
        <v>-1994.000144</v>
      </c>
    </row>
    <row r="2340" ht="14.25" customHeight="1">
      <c r="A2340" s="7">
        <v>2327.0</v>
      </c>
      <c r="B2340" s="14">
        <f t="shared" si="1"/>
        <v>0.1183282307</v>
      </c>
      <c r="C2340" s="39">
        <f t="array" ref="C2340">NPV(B2340,FCFF!$C$9:$I$9)+FCFF!$B$9+FCFF!$I$9*(1+Inputs!$B$6)/(B2340-Inputs!$B$6)/(1+B2340)^7</f>
        <v>-1792.996109</v>
      </c>
    </row>
    <row r="2341" ht="14.25" customHeight="1">
      <c r="A2341" s="7">
        <v>2328.0</v>
      </c>
      <c r="B2341" s="14">
        <f t="shared" si="1"/>
        <v>0.1121046861</v>
      </c>
      <c r="C2341" s="39">
        <f t="array" ref="C2341">NPV(B2341,FCFF!$C$9:$I$9)+FCFF!$B$9+FCFF!$I$9*(1+Inputs!$B$6)/(B2341-Inputs!$B$6)/(1+B2341)^7</f>
        <v>-1675.139754</v>
      </c>
    </row>
    <row r="2342" ht="14.25" customHeight="1">
      <c r="A2342" s="7">
        <v>2329.0</v>
      </c>
      <c r="B2342" s="14">
        <f t="shared" si="1"/>
        <v>0.1271050788</v>
      </c>
      <c r="C2342" s="39">
        <f t="array" ref="C2342">NPV(B2342,FCFF!$C$9:$I$9)+FCFF!$B$9+FCFF!$I$9*(1+Inputs!$B$6)/(B2342-Inputs!$B$6)/(1+B2342)^7</f>
        <v>-1932.218095</v>
      </c>
    </row>
    <row r="2343" ht="14.25" customHeight="1">
      <c r="A2343" s="7">
        <v>2330.0</v>
      </c>
      <c r="B2343" s="14">
        <f t="shared" si="1"/>
        <v>0.09531205557</v>
      </c>
      <c r="C2343" s="39">
        <f t="array" ref="C2343">NPV(B2343,FCFF!$C$9:$I$9)+FCFF!$B$9+FCFF!$I$9*(1+Inputs!$B$6)/(B2343-Inputs!$B$6)/(1+B2343)^7</f>
        <v>-1241.411625</v>
      </c>
    </row>
    <row r="2344" ht="14.25" customHeight="1">
      <c r="A2344" s="7">
        <v>2331.0</v>
      </c>
      <c r="B2344" s="14">
        <f t="shared" si="1"/>
        <v>0.1219556932</v>
      </c>
      <c r="C2344" s="39">
        <f t="array" ref="C2344">NPV(B2344,FCFF!$C$9:$I$9)+FCFF!$B$9+FCFF!$I$9*(1+Inputs!$B$6)/(B2344-Inputs!$B$6)/(1+B2344)^7</f>
        <v>-1853.969228</v>
      </c>
    </row>
    <row r="2345" ht="14.25" customHeight="1">
      <c r="A2345" s="7">
        <v>2332.0</v>
      </c>
      <c r="B2345" s="14">
        <f t="shared" si="1"/>
        <v>0.1215997698</v>
      </c>
      <c r="C2345" s="39">
        <f t="array" ref="C2345">NPV(B2345,FCFF!$C$9:$I$9)+FCFF!$B$9+FCFF!$I$9*(1+Inputs!$B$6)/(B2345-Inputs!$B$6)/(1+B2345)^7</f>
        <v>-1848.21303</v>
      </c>
    </row>
    <row r="2346" ht="14.25" customHeight="1">
      <c r="A2346" s="7">
        <v>2333.0</v>
      </c>
      <c r="B2346" s="14">
        <f t="shared" si="1"/>
        <v>0.1056060119</v>
      </c>
      <c r="C2346" s="39">
        <f t="array" ref="C2346">NPV(B2346,FCFF!$C$9:$I$9)+FCFF!$B$9+FCFF!$I$9*(1+Inputs!$B$6)/(B2346-Inputs!$B$6)/(1+B2346)^7</f>
        <v>-1530.522257</v>
      </c>
    </row>
    <row r="2347" ht="14.25" customHeight="1">
      <c r="A2347" s="7">
        <v>2334.0</v>
      </c>
      <c r="B2347" s="14">
        <f t="shared" si="1"/>
        <v>0.1075308653</v>
      </c>
      <c r="C2347" s="39">
        <f t="array" ref="C2347">NPV(B2347,FCFF!$C$9:$I$9)+FCFF!$B$9+FCFF!$I$9*(1+Inputs!$B$6)/(B2347-Inputs!$B$6)/(1+B2347)^7</f>
        <v>-1575.95637</v>
      </c>
    </row>
    <row r="2348" ht="14.25" customHeight="1">
      <c r="A2348" s="7">
        <v>2335.0</v>
      </c>
      <c r="B2348" s="14">
        <f t="shared" si="1"/>
        <v>0.1272675408</v>
      </c>
      <c r="C2348" s="39">
        <f t="array" ref="C2348">NPV(B2348,FCFF!$C$9:$I$9)+FCFF!$B$9+FCFF!$I$9*(1+Inputs!$B$6)/(B2348-Inputs!$B$6)/(1+B2348)^7</f>
        <v>-1934.54237</v>
      </c>
    </row>
    <row r="2349" ht="14.25" customHeight="1">
      <c r="A2349" s="7">
        <v>2336.0</v>
      </c>
      <c r="B2349" s="14">
        <f t="shared" si="1"/>
        <v>0.1216290698</v>
      </c>
      <c r="C2349" s="39">
        <f t="array" ref="C2349">NPV(B2349,FCFF!$C$9:$I$9)+FCFF!$B$9+FCFF!$I$9*(1+Inputs!$B$6)/(B2349-Inputs!$B$6)/(1+B2349)^7</f>
        <v>-1848.688683</v>
      </c>
    </row>
    <row r="2350" ht="14.25" customHeight="1">
      <c r="A2350" s="7">
        <v>2337.0</v>
      </c>
      <c r="B2350" s="14">
        <f t="shared" si="1"/>
        <v>0.1109991875</v>
      </c>
      <c r="C2350" s="39">
        <f t="array" ref="C2350">NPV(B2350,FCFF!$C$9:$I$9)+FCFF!$B$9+FCFF!$I$9*(1+Inputs!$B$6)/(B2350-Inputs!$B$6)/(1+B2350)^7</f>
        <v>-1652.227205</v>
      </c>
    </row>
    <row r="2351" ht="14.25" customHeight="1">
      <c r="A2351" s="7">
        <v>2338.0</v>
      </c>
      <c r="B2351" s="14">
        <f t="shared" si="1"/>
        <v>0.1067153434</v>
      </c>
      <c r="C2351" s="39">
        <f t="array" ref="C2351">NPV(B2351,FCFF!$C$9:$I$9)+FCFF!$B$9+FCFF!$I$9*(1+Inputs!$B$6)/(B2351-Inputs!$B$6)/(1+B2351)^7</f>
        <v>-1556.991836</v>
      </c>
    </row>
    <row r="2352" ht="14.25" customHeight="1">
      <c r="A2352" s="7">
        <v>2339.0</v>
      </c>
      <c r="B2352" s="14">
        <f t="shared" si="1"/>
        <v>0.09751409067</v>
      </c>
      <c r="C2352" s="39">
        <f t="array" ref="C2352">NPV(B2352,FCFF!$C$9:$I$9)+FCFF!$B$9+FCFF!$I$9*(1+Inputs!$B$6)/(B2352-Inputs!$B$6)/(1+B2352)^7</f>
        <v>-1310.705325</v>
      </c>
    </row>
    <row r="2353" ht="14.25" customHeight="1">
      <c r="A2353" s="7">
        <v>2340.0</v>
      </c>
      <c r="B2353" s="14">
        <f t="shared" si="1"/>
        <v>0.1019036793</v>
      </c>
      <c r="C2353" s="39">
        <f t="array" ref="C2353">NPV(B2353,FCFF!$C$9:$I$9)+FCFF!$B$9+FCFF!$I$9*(1+Inputs!$B$6)/(B2353-Inputs!$B$6)/(1+B2353)^7</f>
        <v>-1436.153751</v>
      </c>
    </row>
    <row r="2354" ht="14.25" customHeight="1">
      <c r="A2354" s="7">
        <v>2341.0</v>
      </c>
      <c r="B2354" s="14">
        <f t="shared" si="1"/>
        <v>0.09665141424</v>
      </c>
      <c r="C2354" s="39">
        <f t="array" ref="C2354">NPV(B2354,FCFF!$C$9:$I$9)+FCFF!$B$9+FCFF!$I$9*(1+Inputs!$B$6)/(B2354-Inputs!$B$6)/(1+B2354)^7</f>
        <v>-1284.102566</v>
      </c>
    </row>
    <row r="2355" ht="14.25" customHeight="1">
      <c r="A2355" s="7">
        <v>2342.0</v>
      </c>
      <c r="B2355" s="14">
        <f t="shared" si="1"/>
        <v>0.09548316064</v>
      </c>
      <c r="C2355" s="39">
        <f t="array" ref="C2355">NPV(B2355,FCFF!$C$9:$I$9)+FCFF!$B$9+FCFF!$I$9*(1+Inputs!$B$6)/(B2355-Inputs!$B$6)/(1+B2355)^7</f>
        <v>-1246.962302</v>
      </c>
    </row>
    <row r="2356" ht="14.25" customHeight="1">
      <c r="A2356" s="7">
        <v>2343.0</v>
      </c>
      <c r="B2356" s="14">
        <f t="shared" si="1"/>
        <v>0.1304865319</v>
      </c>
      <c r="C2356" s="39">
        <f t="array" ref="C2356">NPV(B2356,FCFF!$C$9:$I$9)+FCFF!$B$9+FCFF!$I$9*(1+Inputs!$B$6)/(B2356-Inputs!$B$6)/(1+B2356)^7</f>
        <v>-1978.923452</v>
      </c>
    </row>
    <row r="2357" ht="14.25" customHeight="1">
      <c r="A2357" s="7">
        <v>2344.0</v>
      </c>
      <c r="B2357" s="14">
        <f t="shared" si="1"/>
        <v>0.1178535048</v>
      </c>
      <c r="C2357" s="39">
        <f t="array" ref="C2357">NPV(B2357,FCFF!$C$9:$I$9)+FCFF!$B$9+FCFF!$I$9*(1+Inputs!$B$6)/(B2357-Inputs!$B$6)/(1+B2357)^7</f>
        <v>-1784.6223</v>
      </c>
    </row>
    <row r="2358" ht="14.25" customHeight="1">
      <c r="A2358" s="7">
        <v>2345.0</v>
      </c>
      <c r="B2358" s="14">
        <f t="shared" si="1"/>
        <v>0.1177288314</v>
      </c>
      <c r="C2358" s="39">
        <f t="array" ref="C2358">NPV(B2358,FCFF!$C$9:$I$9)+FCFF!$B$9+FCFF!$I$9*(1+Inputs!$B$6)/(B2358-Inputs!$B$6)/(1+B2358)^7</f>
        <v>-1782.407323</v>
      </c>
    </row>
    <row r="2359" ht="14.25" customHeight="1">
      <c r="A2359" s="7">
        <v>2346.0</v>
      </c>
      <c r="B2359" s="14">
        <f t="shared" si="1"/>
        <v>0.09471967703</v>
      </c>
      <c r="C2359" s="39">
        <f t="array" ref="C2359">NPV(B2359,FCFF!$C$9:$I$9)+FCFF!$B$9+FCFF!$I$9*(1+Inputs!$B$6)/(B2359-Inputs!$B$6)/(1+B2359)^7</f>
        <v>-1221.969527</v>
      </c>
    </row>
    <row r="2360" ht="14.25" customHeight="1">
      <c r="A2360" s="7">
        <v>2347.0</v>
      </c>
      <c r="B2360" s="14">
        <f t="shared" si="1"/>
        <v>0.1272873581</v>
      </c>
      <c r="C2360" s="39">
        <f t="array" ref="C2360">NPV(B2360,FCFF!$C$9:$I$9)+FCFF!$B$9+FCFF!$I$9*(1+Inputs!$B$6)/(B2360-Inputs!$B$6)/(1+B2360)^7</f>
        <v>-1934.825315</v>
      </c>
    </row>
    <row r="2361" ht="14.25" customHeight="1">
      <c r="A2361" s="7">
        <v>2348.0</v>
      </c>
      <c r="B2361" s="14">
        <f t="shared" si="1"/>
        <v>0.121332975</v>
      </c>
      <c r="C2361" s="39">
        <f t="array" ref="C2361">NPV(B2361,FCFF!$C$9:$I$9)+FCFF!$B$9+FCFF!$I$9*(1+Inputs!$B$6)/(B2361-Inputs!$B$6)/(1+B2361)^7</f>
        <v>-1843.866991</v>
      </c>
    </row>
    <row r="2362" ht="14.25" customHeight="1">
      <c r="A2362" s="7">
        <v>2349.0</v>
      </c>
      <c r="B2362" s="14">
        <f t="shared" si="1"/>
        <v>0.09942849964</v>
      </c>
      <c r="C2362" s="39">
        <f t="array" ref="C2362">NPV(B2362,FCFF!$C$9:$I$9)+FCFF!$B$9+FCFF!$I$9*(1+Inputs!$B$6)/(B2362-Inputs!$B$6)/(1+B2362)^7</f>
        <v>-1367.377607</v>
      </c>
    </row>
    <row r="2363" ht="14.25" customHeight="1">
      <c r="A2363" s="7">
        <v>2350.0</v>
      </c>
      <c r="B2363" s="14">
        <f t="shared" si="1"/>
        <v>0.1182615663</v>
      </c>
      <c r="C2363" s="39">
        <f t="array" ref="C2363">NPV(B2363,FCFF!$C$9:$I$9)+FCFF!$B$9+FCFF!$I$9*(1+Inputs!$B$6)/(B2363-Inputs!$B$6)/(1+B2363)^7</f>
        <v>-1791.825929</v>
      </c>
    </row>
    <row r="2364" ht="14.25" customHeight="1">
      <c r="A2364" s="7">
        <v>2351.0</v>
      </c>
      <c r="B2364" s="14">
        <f t="shared" si="1"/>
        <v>0.101689677</v>
      </c>
      <c r="C2364" s="39">
        <f t="array" ref="C2364">NPV(B2364,FCFF!$C$9:$I$9)+FCFF!$B$9+FCFF!$I$9*(1+Inputs!$B$6)/(B2364-Inputs!$B$6)/(1+B2364)^7</f>
        <v>-1430.396666</v>
      </c>
    </row>
    <row r="2365" ht="14.25" customHeight="1">
      <c r="A2365" s="7">
        <v>2352.0</v>
      </c>
      <c r="B2365" s="14">
        <f t="shared" si="1"/>
        <v>0.1206781475</v>
      </c>
      <c r="C2365" s="39">
        <f t="array" ref="C2365">NPV(B2365,FCFF!$C$9:$I$9)+FCFF!$B$9+FCFF!$I$9*(1+Inputs!$B$6)/(B2365-Inputs!$B$6)/(1+B2365)^7</f>
        <v>-1833.084795</v>
      </c>
    </row>
    <row r="2366" ht="14.25" customHeight="1">
      <c r="A2366" s="7">
        <v>2353.0</v>
      </c>
      <c r="B2366" s="14">
        <f t="shared" si="1"/>
        <v>0.1266564091</v>
      </c>
      <c r="C2366" s="39">
        <f t="array" ref="C2366">NPV(B2366,FCFF!$C$9:$I$9)+FCFF!$B$9+FCFF!$I$9*(1+Inputs!$B$6)/(B2366-Inputs!$B$6)/(1+B2366)^7</f>
        <v>-1925.755437</v>
      </c>
    </row>
    <row r="2367" ht="14.25" customHeight="1">
      <c r="A2367" s="7">
        <v>2354.0</v>
      </c>
      <c r="B2367" s="14">
        <f t="shared" si="1"/>
        <v>0.1222864379</v>
      </c>
      <c r="C2367" s="39">
        <f t="array" ref="C2367">NPV(B2367,FCFF!$C$9:$I$9)+FCFF!$B$9+FCFF!$I$9*(1+Inputs!$B$6)/(B2367-Inputs!$B$6)/(1+B2367)^7</f>
        <v>-1859.275889</v>
      </c>
    </row>
    <row r="2368" ht="14.25" customHeight="1">
      <c r="A2368" s="7">
        <v>2355.0</v>
      </c>
      <c r="B2368" s="14">
        <f t="shared" si="1"/>
        <v>0.1209899327</v>
      </c>
      <c r="C2368" s="39">
        <f t="array" ref="C2368">NPV(B2368,FCFF!$C$9:$I$9)+FCFF!$B$9+FCFF!$I$9*(1+Inputs!$B$6)/(B2368-Inputs!$B$6)/(1+B2368)^7</f>
        <v>-1838.239101</v>
      </c>
    </row>
    <row r="2369" ht="14.25" customHeight="1">
      <c r="A2369" s="7">
        <v>2356.0</v>
      </c>
      <c r="B2369" s="14">
        <f t="shared" si="1"/>
        <v>0.1107170015</v>
      </c>
      <c r="C2369" s="39">
        <f t="array" ref="C2369">NPV(B2369,FCFF!$C$9:$I$9)+FCFF!$B$9+FCFF!$I$9*(1+Inputs!$B$6)/(B2369-Inputs!$B$6)/(1+B2369)^7</f>
        <v>-1646.274426</v>
      </c>
    </row>
    <row r="2370" ht="14.25" customHeight="1">
      <c r="A2370" s="7">
        <v>2357.0</v>
      </c>
      <c r="B2370" s="14">
        <f t="shared" si="1"/>
        <v>0.09896659965</v>
      </c>
      <c r="C2370" s="39">
        <f t="array" ref="C2370">NPV(B2370,FCFF!$C$9:$I$9)+FCFF!$B$9+FCFF!$I$9*(1+Inputs!$B$6)/(B2370-Inputs!$B$6)/(1+B2370)^7</f>
        <v>-1353.992779</v>
      </c>
    </row>
    <row r="2371" ht="14.25" customHeight="1">
      <c r="A2371" s="7">
        <v>2358.0</v>
      </c>
      <c r="B2371" s="14">
        <f t="shared" si="1"/>
        <v>0.09557668277</v>
      </c>
      <c r="C2371" s="39">
        <f t="array" ref="C2371">NPV(B2371,FCFF!$C$9:$I$9)+FCFF!$B$9+FCFF!$I$9*(1+Inputs!$B$6)/(B2371-Inputs!$B$6)/(1+B2371)^7</f>
        <v>-1249.984</v>
      </c>
    </row>
    <row r="2372" ht="14.25" customHeight="1">
      <c r="A2372" s="7">
        <v>2359.0</v>
      </c>
      <c r="B2372" s="14">
        <f t="shared" si="1"/>
        <v>0.1166414017</v>
      </c>
      <c r="C2372" s="39">
        <f t="array" ref="C2372">NPV(B2372,FCFF!$C$9:$I$9)+FCFF!$B$9+FCFF!$I$9*(1+Inputs!$B$6)/(B2372-Inputs!$B$6)/(1+B2372)^7</f>
        <v>-1762.803328</v>
      </c>
    </row>
    <row r="2373" ht="14.25" customHeight="1">
      <c r="A2373" s="7">
        <v>2360.0</v>
      </c>
      <c r="B2373" s="14">
        <f t="shared" si="1"/>
        <v>0.1285300527</v>
      </c>
      <c r="C2373" s="39">
        <f t="array" ref="C2373">NPV(B2373,FCFF!$C$9:$I$9)+FCFF!$B$9+FCFF!$I$9*(1+Inputs!$B$6)/(B2373-Inputs!$B$6)/(1+B2373)^7</f>
        <v>-1952.322959</v>
      </c>
    </row>
    <row r="2374" ht="14.25" customHeight="1">
      <c r="A2374" s="7">
        <v>2361.0</v>
      </c>
      <c r="B2374" s="14">
        <f t="shared" si="1"/>
        <v>0.1100839145</v>
      </c>
      <c r="C2374" s="39">
        <f t="array" ref="C2374">NPV(B2374,FCFF!$C$9:$I$9)+FCFF!$B$9+FCFF!$I$9*(1+Inputs!$B$6)/(B2374-Inputs!$B$6)/(1+B2374)^7</f>
        <v>-1632.761408</v>
      </c>
    </row>
    <row r="2375" ht="14.25" customHeight="1">
      <c r="A2375" s="7">
        <v>2362.0</v>
      </c>
      <c r="B2375" s="14">
        <f t="shared" si="1"/>
        <v>0.1251460488</v>
      </c>
      <c r="C2375" s="39">
        <f t="array" ref="C2375">NPV(B2375,FCFF!$C$9:$I$9)+FCFF!$B$9+FCFF!$I$9*(1+Inputs!$B$6)/(B2375-Inputs!$B$6)/(1+B2375)^7</f>
        <v>-1903.518006</v>
      </c>
    </row>
    <row r="2376" ht="14.25" customHeight="1">
      <c r="A2376" s="7">
        <v>2363.0</v>
      </c>
      <c r="B2376" s="14">
        <f t="shared" si="1"/>
        <v>0.1165886222</v>
      </c>
      <c r="C2376" s="39">
        <f t="array" ref="C2376">NPV(B2376,FCFF!$C$9:$I$9)+FCFF!$B$9+FCFF!$I$9*(1+Inputs!$B$6)/(B2376-Inputs!$B$6)/(1+B2376)^7</f>
        <v>-1761.838658</v>
      </c>
    </row>
    <row r="2377" ht="14.25" customHeight="1">
      <c r="A2377" s="7">
        <v>2364.0</v>
      </c>
      <c r="B2377" s="14">
        <f t="shared" si="1"/>
        <v>0.1022036963</v>
      </c>
      <c r="C2377" s="39">
        <f t="array" ref="C2377">NPV(B2377,FCFF!$C$9:$I$9)+FCFF!$B$9+FCFF!$I$9*(1+Inputs!$B$6)/(B2377-Inputs!$B$6)/(1+B2377)^7</f>
        <v>-1444.166681</v>
      </c>
    </row>
    <row r="2378" ht="14.25" customHeight="1">
      <c r="A2378" s="7">
        <v>2365.0</v>
      </c>
      <c r="B2378" s="14">
        <f t="shared" si="1"/>
        <v>0.113090693</v>
      </c>
      <c r="C2378" s="39">
        <f t="array" ref="C2378">NPV(B2378,FCFF!$C$9:$I$9)+FCFF!$B$9+FCFF!$I$9*(1+Inputs!$B$6)/(B2378-Inputs!$B$6)/(1+B2378)^7</f>
        <v>-1695.041986</v>
      </c>
    </row>
    <row r="2379" ht="14.25" customHeight="1">
      <c r="A2379" s="7">
        <v>2366.0</v>
      </c>
      <c r="B2379" s="14">
        <f t="shared" si="1"/>
        <v>0.1162877991</v>
      </c>
      <c r="C2379" s="39">
        <f t="array" ref="C2379">NPV(B2379,FCFF!$C$9:$I$9)+FCFF!$B$9+FCFF!$I$9*(1+Inputs!$B$6)/(B2379-Inputs!$B$6)/(1+B2379)^7</f>
        <v>-1756.316753</v>
      </c>
    </row>
    <row r="2380" ht="14.25" customHeight="1">
      <c r="A2380" s="7">
        <v>2367.0</v>
      </c>
      <c r="B2380" s="14">
        <f t="shared" si="1"/>
        <v>0.1111057317</v>
      </c>
      <c r="C2380" s="39">
        <f t="array" ref="C2380">NPV(B2380,FCFF!$C$9:$I$9)+FCFF!$B$9+FCFF!$I$9*(1+Inputs!$B$6)/(B2380-Inputs!$B$6)/(1+B2380)^7</f>
        <v>-1654.463629</v>
      </c>
    </row>
    <row r="2381" ht="14.25" customHeight="1">
      <c r="A2381" s="7">
        <v>2368.0</v>
      </c>
      <c r="B2381" s="14">
        <f t="shared" si="1"/>
        <v>0.1075140624</v>
      </c>
      <c r="C2381" s="39">
        <f t="array" ref="C2381">NPV(B2381,FCFF!$C$9:$I$9)+FCFF!$B$9+FCFF!$I$9*(1+Inputs!$B$6)/(B2381-Inputs!$B$6)/(1+B2381)^7</f>
        <v>-1575.569755</v>
      </c>
    </row>
    <row r="2382" ht="14.25" customHeight="1">
      <c r="A2382" s="7">
        <v>2369.0</v>
      </c>
      <c r="B2382" s="14">
        <f t="shared" si="1"/>
        <v>0.1203655531</v>
      </c>
      <c r="C2382" s="39">
        <f t="array" ref="C2382">NPV(B2382,FCFF!$C$9:$I$9)+FCFF!$B$9+FCFF!$I$9*(1+Inputs!$B$6)/(B2382-Inputs!$B$6)/(1+B2382)^7</f>
        <v>-1827.879235</v>
      </c>
    </row>
    <row r="2383" ht="14.25" customHeight="1">
      <c r="A2383" s="7">
        <v>2370.0</v>
      </c>
      <c r="B2383" s="14">
        <f t="shared" si="1"/>
        <v>0.1069235957</v>
      </c>
      <c r="C2383" s="39">
        <f t="array" ref="C2383">NPV(B2383,FCFF!$C$9:$I$9)+FCFF!$B$9+FCFF!$I$9*(1+Inputs!$B$6)/(B2383-Inputs!$B$6)/(1+B2383)^7</f>
        <v>-1561.873823</v>
      </c>
    </row>
    <row r="2384" ht="14.25" customHeight="1">
      <c r="A2384" s="7">
        <v>2371.0</v>
      </c>
      <c r="B2384" s="14">
        <f t="shared" si="1"/>
        <v>0.130074523</v>
      </c>
      <c r="C2384" s="39">
        <f t="array" ref="C2384">NPV(B2384,FCFF!$C$9:$I$9)+FCFF!$B$9+FCFF!$I$9*(1+Inputs!$B$6)/(B2384-Inputs!$B$6)/(1+B2384)^7</f>
        <v>-1973.415453</v>
      </c>
    </row>
    <row r="2385" ht="14.25" customHeight="1">
      <c r="A2385" s="7">
        <v>2372.0</v>
      </c>
      <c r="B2385" s="14">
        <f t="shared" si="1"/>
        <v>0.1114243894</v>
      </c>
      <c r="C2385" s="39">
        <f t="array" ref="C2385">NPV(B2385,FCFF!$C$9:$I$9)+FCFF!$B$9+FCFF!$I$9*(1+Inputs!$B$6)/(B2385-Inputs!$B$6)/(1+B2385)^7</f>
        <v>-1661.116262</v>
      </c>
    </row>
    <row r="2386" ht="14.25" customHeight="1">
      <c r="A2386" s="7">
        <v>2373.0</v>
      </c>
      <c r="B2386" s="14">
        <f t="shared" si="1"/>
        <v>0.1216202025</v>
      </c>
      <c r="C2386" s="39">
        <f t="array" ref="C2386">NPV(B2386,FCFF!$C$9:$I$9)+FCFF!$B$9+FCFF!$I$9*(1+Inputs!$B$6)/(B2386-Inputs!$B$6)/(1+B2386)^7</f>
        <v>-1848.544765</v>
      </c>
    </row>
    <row r="2387" ht="14.25" customHeight="1">
      <c r="A2387" s="7">
        <v>2374.0</v>
      </c>
      <c r="B2387" s="14">
        <f t="shared" si="1"/>
        <v>0.1132025788</v>
      </c>
      <c r="C2387" s="39">
        <f t="array" ref="C2387">NPV(B2387,FCFF!$C$9:$I$9)+FCFF!$B$9+FCFF!$I$9*(1+Inputs!$B$6)/(B2387-Inputs!$B$6)/(1+B2387)^7</f>
        <v>-1697.269379</v>
      </c>
    </row>
    <row r="2388" ht="14.25" customHeight="1">
      <c r="A2388" s="7">
        <v>2375.0</v>
      </c>
      <c r="B2388" s="14">
        <f t="shared" si="1"/>
        <v>0.1020207948</v>
      </c>
      <c r="C2388" s="39">
        <f t="array" ref="C2388">NPV(B2388,FCFF!$C$9:$I$9)+FCFF!$B$9+FCFF!$I$9*(1+Inputs!$B$6)/(B2388-Inputs!$B$6)/(1+B2388)^7</f>
        <v>-1439.28974</v>
      </c>
    </row>
    <row r="2389" ht="14.25" customHeight="1">
      <c r="A2389" s="7">
        <v>2376.0</v>
      </c>
      <c r="B2389" s="14">
        <f t="shared" si="1"/>
        <v>0.1014743372</v>
      </c>
      <c r="C2389" s="39">
        <f t="array" ref="C2389">NPV(B2389,FCFF!$C$9:$I$9)+FCFF!$B$9+FCFF!$I$9*(1+Inputs!$B$6)/(B2389-Inputs!$B$6)/(1+B2389)^7</f>
        <v>-1424.568419</v>
      </c>
    </row>
    <row r="2390" ht="14.25" customHeight="1">
      <c r="A2390" s="7">
        <v>2377.0</v>
      </c>
      <c r="B2390" s="14">
        <f t="shared" si="1"/>
        <v>0.1238880358</v>
      </c>
      <c r="C2390" s="39">
        <f t="array" ref="C2390">NPV(B2390,FCFF!$C$9:$I$9)+FCFF!$B$9+FCFF!$I$9*(1+Inputs!$B$6)/(B2390-Inputs!$B$6)/(1+B2390)^7</f>
        <v>-1884.409599</v>
      </c>
    </row>
    <row r="2391" ht="14.25" customHeight="1">
      <c r="A2391" s="7">
        <v>2378.0</v>
      </c>
      <c r="B2391" s="14">
        <f t="shared" si="1"/>
        <v>0.0966204025</v>
      </c>
      <c r="C2391" s="39">
        <f t="array" ref="C2391">NPV(B2391,FCFF!$C$9:$I$9)+FCFF!$B$9+FCFF!$I$9*(1+Inputs!$B$6)/(B2391-Inputs!$B$6)/(1+B2391)^7</f>
        <v>-1283.133435</v>
      </c>
    </row>
    <row r="2392" ht="14.25" customHeight="1">
      <c r="A2392" s="7">
        <v>2379.0</v>
      </c>
      <c r="B2392" s="14">
        <f t="shared" si="1"/>
        <v>0.1238604331</v>
      </c>
      <c r="C2392" s="39">
        <f t="array" ref="C2392">NPV(B2392,FCFF!$C$9:$I$9)+FCFF!$B$9+FCFF!$I$9*(1+Inputs!$B$6)/(B2392-Inputs!$B$6)/(1+B2392)^7</f>
        <v>-1883.984185</v>
      </c>
    </row>
    <row r="2393" ht="14.25" customHeight="1">
      <c r="A2393" s="7">
        <v>2380.0</v>
      </c>
      <c r="B2393" s="14">
        <f t="shared" si="1"/>
        <v>0.1165848771</v>
      </c>
      <c r="C2393" s="39">
        <f t="array" ref="C2393">NPV(B2393,FCFF!$C$9:$I$9)+FCFF!$B$9+FCFF!$I$9*(1+Inputs!$B$6)/(B2393-Inputs!$B$6)/(1+B2393)^7</f>
        <v>-1761.770161</v>
      </c>
    </row>
    <row r="2394" ht="14.25" customHeight="1">
      <c r="A2394" s="7">
        <v>2381.0</v>
      </c>
      <c r="B2394" s="14">
        <f t="shared" si="1"/>
        <v>0.1040760976</v>
      </c>
      <c r="C2394" s="39">
        <f t="array" ref="C2394">NPV(B2394,FCFF!$C$9:$I$9)+FCFF!$B$9+FCFF!$I$9*(1+Inputs!$B$6)/(B2394-Inputs!$B$6)/(1+B2394)^7</f>
        <v>-1492.688957</v>
      </c>
    </row>
    <row r="2395" ht="14.25" customHeight="1">
      <c r="A2395" s="7">
        <v>2382.0</v>
      </c>
      <c r="B2395" s="14">
        <f t="shared" si="1"/>
        <v>0.1124983365</v>
      </c>
      <c r="C2395" s="39">
        <f t="array" ref="C2395">NPV(B2395,FCFF!$C$9:$I$9)+FCFF!$B$9+FCFF!$I$9*(1+Inputs!$B$6)/(B2395-Inputs!$B$6)/(1+B2395)^7</f>
        <v>-1683.14476</v>
      </c>
    </row>
    <row r="2396" ht="14.25" customHeight="1">
      <c r="A2396" s="7">
        <v>2383.0</v>
      </c>
      <c r="B2396" s="14">
        <f t="shared" si="1"/>
        <v>0.09518944565</v>
      </c>
      <c r="C2396" s="39">
        <f t="array" ref="C2396">NPV(B2396,FCFF!$C$9:$I$9)+FCFF!$B$9+FCFF!$I$9*(1+Inputs!$B$6)/(B2396-Inputs!$B$6)/(1+B2396)^7</f>
        <v>-1237.416325</v>
      </c>
    </row>
    <row r="2397" ht="14.25" customHeight="1">
      <c r="A2397" s="7">
        <v>2384.0</v>
      </c>
      <c r="B2397" s="14">
        <f t="shared" si="1"/>
        <v>0.1074977816</v>
      </c>
      <c r="C2397" s="39">
        <f t="array" ref="C2397">NPV(B2397,FCFF!$C$9:$I$9)+FCFF!$B$9+FCFF!$I$9*(1+Inputs!$B$6)/(B2397-Inputs!$B$6)/(1+B2397)^7</f>
        <v>-1575.19499</v>
      </c>
    </row>
    <row r="2398" ht="14.25" customHeight="1">
      <c r="A2398" s="7">
        <v>2385.0</v>
      </c>
      <c r="B2398" s="14">
        <f t="shared" si="1"/>
        <v>0.09769979564</v>
      </c>
      <c r="C2398" s="39">
        <f t="array" ref="C2398">NPV(B2398,FCFF!$C$9:$I$9)+FCFF!$B$9+FCFF!$I$9*(1+Inputs!$B$6)/(B2398-Inputs!$B$6)/(1+B2398)^7</f>
        <v>-1316.343376</v>
      </c>
    </row>
    <row r="2399" ht="14.25" customHeight="1">
      <c r="A2399" s="7">
        <v>2386.0</v>
      </c>
      <c r="B2399" s="14">
        <f t="shared" si="1"/>
        <v>0.1054828117</v>
      </c>
      <c r="C2399" s="39">
        <f t="array" ref="C2399">NPV(B2399,FCFF!$C$9:$I$9)+FCFF!$B$9+FCFF!$I$9*(1+Inputs!$B$6)/(B2399-Inputs!$B$6)/(1+B2399)^7</f>
        <v>-1527.53353</v>
      </c>
    </row>
    <row r="2400" ht="14.25" customHeight="1">
      <c r="A2400" s="7">
        <v>2387.0</v>
      </c>
      <c r="B2400" s="14">
        <f t="shared" si="1"/>
        <v>0.1020849902</v>
      </c>
      <c r="C2400" s="39">
        <f t="array" ref="C2400">NPV(B2400,FCFF!$C$9:$I$9)+FCFF!$B$9+FCFF!$I$9*(1+Inputs!$B$6)/(B2400-Inputs!$B$6)/(1+B2400)^7</f>
        <v>-1441.004319</v>
      </c>
    </row>
    <row r="2401" ht="14.25" customHeight="1">
      <c r="A2401" s="7">
        <v>2388.0</v>
      </c>
      <c r="B2401" s="14">
        <f t="shared" si="1"/>
        <v>0.1240140118</v>
      </c>
      <c r="C2401" s="39">
        <f t="array" ref="C2401">NPV(B2401,FCFF!$C$9:$I$9)+FCFF!$B$9+FCFF!$I$9*(1+Inputs!$B$6)/(B2401-Inputs!$B$6)/(1+B2401)^7</f>
        <v>-1886.347757</v>
      </c>
    </row>
    <row r="2402" ht="14.25" customHeight="1">
      <c r="A2402" s="7">
        <v>2389.0</v>
      </c>
      <c r="B2402" s="14">
        <f t="shared" si="1"/>
        <v>0.1266775463</v>
      </c>
      <c r="C2402" s="39">
        <f t="array" ref="C2402">NPV(B2402,FCFF!$C$9:$I$9)+FCFF!$B$9+FCFF!$I$9*(1+Inputs!$B$6)/(B2402-Inputs!$B$6)/(1+B2402)^7</f>
        <v>-1926.061348</v>
      </c>
    </row>
    <row r="2403" ht="14.25" customHeight="1">
      <c r="A2403" s="7">
        <v>2390.0</v>
      </c>
      <c r="B2403" s="14">
        <f t="shared" si="1"/>
        <v>0.1197961391</v>
      </c>
      <c r="C2403" s="39">
        <f t="array" ref="C2403">NPV(B2403,FCFF!$C$9:$I$9)+FCFF!$B$9+FCFF!$I$9*(1+Inputs!$B$6)/(B2403-Inputs!$B$6)/(1+B2403)^7</f>
        <v>-1818.298206</v>
      </c>
    </row>
    <row r="2404" ht="14.25" customHeight="1">
      <c r="A2404" s="7">
        <v>2391.0</v>
      </c>
      <c r="B2404" s="14">
        <f t="shared" si="1"/>
        <v>0.1127672477</v>
      </c>
      <c r="C2404" s="39">
        <f t="array" ref="C2404">NPV(B2404,FCFF!$C$9:$I$9)+FCFF!$B$9+FCFF!$I$9*(1+Inputs!$B$6)/(B2404-Inputs!$B$6)/(1+B2404)^7</f>
        <v>-1688.567677</v>
      </c>
    </row>
    <row r="2405" ht="14.25" customHeight="1">
      <c r="A2405" s="7">
        <v>2392.0</v>
      </c>
      <c r="B2405" s="14">
        <f t="shared" si="1"/>
        <v>0.1313906137</v>
      </c>
      <c r="C2405" s="39">
        <f t="array" ref="C2405">NPV(B2405,FCFF!$C$9:$I$9)+FCFF!$B$9+FCFF!$I$9*(1+Inputs!$B$6)/(B2405-Inputs!$B$6)/(1+B2405)^7</f>
        <v>-1990.83938</v>
      </c>
    </row>
    <row r="2406" ht="14.25" customHeight="1">
      <c r="A2406" s="7">
        <v>2393.0</v>
      </c>
      <c r="B2406" s="14">
        <f t="shared" si="1"/>
        <v>0.1145703878</v>
      </c>
      <c r="C2406" s="39">
        <f t="array" ref="C2406">NPV(B2406,FCFF!$C$9:$I$9)+FCFF!$B$9+FCFF!$I$9*(1+Inputs!$B$6)/(B2406-Inputs!$B$6)/(1+B2406)^7</f>
        <v>-1724.003092</v>
      </c>
    </row>
    <row r="2407" ht="14.25" customHeight="1">
      <c r="A2407" s="7">
        <v>2394.0</v>
      </c>
      <c r="B2407" s="14">
        <f t="shared" si="1"/>
        <v>0.1302894219</v>
      </c>
      <c r="C2407" s="39">
        <f t="array" ref="C2407">NPV(B2407,FCFF!$C$9:$I$9)+FCFF!$B$9+FCFF!$I$9*(1+Inputs!$B$6)/(B2407-Inputs!$B$6)/(1+B2407)^7</f>
        <v>-1976.294491</v>
      </c>
    </row>
    <row r="2408" ht="14.25" customHeight="1">
      <c r="A2408" s="7">
        <v>2395.0</v>
      </c>
      <c r="B2408" s="14">
        <f t="shared" si="1"/>
        <v>0.1111048119</v>
      </c>
      <c r="C2408" s="39">
        <f t="array" ref="C2408">NPV(B2408,FCFF!$C$9:$I$9)+FCFF!$B$9+FCFF!$I$9*(1+Inputs!$B$6)/(B2408-Inputs!$B$6)/(1+B2408)^7</f>
        <v>-1654.444347</v>
      </c>
    </row>
    <row r="2409" ht="14.25" customHeight="1">
      <c r="A2409" s="7">
        <v>2396.0</v>
      </c>
      <c r="B2409" s="14">
        <f t="shared" si="1"/>
        <v>0.1197010667</v>
      </c>
      <c r="C2409" s="39">
        <f t="array" ref="C2409">NPV(B2409,FCFF!$C$9:$I$9)+FCFF!$B$9+FCFF!$I$9*(1+Inputs!$B$6)/(B2409-Inputs!$B$6)/(1+B2409)^7</f>
        <v>-1816.685957</v>
      </c>
    </row>
    <row r="2410" ht="14.25" customHeight="1">
      <c r="A2410" s="7">
        <v>2397.0</v>
      </c>
      <c r="B2410" s="14">
        <f t="shared" si="1"/>
        <v>0.1094093613</v>
      </c>
      <c r="C2410" s="39">
        <f t="array" ref="C2410">NPV(B2410,FCFF!$C$9:$I$9)+FCFF!$B$9+FCFF!$I$9*(1+Inputs!$B$6)/(B2410-Inputs!$B$6)/(1+B2410)^7</f>
        <v>-1618.118355</v>
      </c>
    </row>
    <row r="2411" ht="14.25" customHeight="1">
      <c r="A2411" s="7">
        <v>2398.0</v>
      </c>
      <c r="B2411" s="14">
        <f t="shared" si="1"/>
        <v>0.1149189931</v>
      </c>
      <c r="C2411" s="39">
        <f t="array" ref="C2411">NPV(B2411,FCFF!$C$9:$I$9)+FCFF!$B$9+FCFF!$I$9*(1+Inputs!$B$6)/(B2411-Inputs!$B$6)/(1+B2411)^7</f>
        <v>-1730.672867</v>
      </c>
    </row>
    <row r="2412" ht="14.25" customHeight="1">
      <c r="A2412" s="7">
        <v>2399.0</v>
      </c>
      <c r="B2412" s="14">
        <f t="shared" si="1"/>
        <v>0.1038290688</v>
      </c>
      <c r="C2412" s="39">
        <f t="array" ref="C2412">NPV(B2412,FCFF!$C$9:$I$9)+FCFF!$B$9+FCFF!$I$9*(1+Inputs!$B$6)/(B2412-Inputs!$B$6)/(1+B2412)^7</f>
        <v>-1486.430423</v>
      </c>
    </row>
    <row r="2413" ht="14.25" customHeight="1">
      <c r="A2413" s="7">
        <v>2400.0</v>
      </c>
      <c r="B2413" s="14">
        <f t="shared" si="1"/>
        <v>0.1276593283</v>
      </c>
      <c r="C2413" s="39">
        <f t="array" ref="C2413">NPV(B2413,FCFF!$C$9:$I$9)+FCFF!$B$9+FCFF!$I$9*(1+Inputs!$B$6)/(B2413-Inputs!$B$6)/(1+B2413)^7</f>
        <v>-1940.113218</v>
      </c>
    </row>
    <row r="2414" ht="14.25" customHeight="1">
      <c r="A2414" s="7">
        <v>2401.0</v>
      </c>
      <c r="B2414" s="14">
        <f t="shared" si="1"/>
        <v>0.112261305</v>
      </c>
      <c r="C2414" s="39">
        <f t="array" ref="C2414">NPV(B2414,FCFF!$C$9:$I$9)+FCFF!$B$9+FCFF!$I$9*(1+Inputs!$B$6)/(B2414-Inputs!$B$6)/(1+B2414)^7</f>
        <v>-1678.334181</v>
      </c>
    </row>
    <row r="2415" ht="14.25" customHeight="1">
      <c r="A2415" s="7">
        <v>2402.0</v>
      </c>
      <c r="B2415" s="14">
        <f t="shared" si="1"/>
        <v>0.1000880393</v>
      </c>
      <c r="C2415" s="39">
        <f t="array" ref="C2415">NPV(B2415,FCFF!$C$9:$I$9)+FCFF!$B$9+FCFF!$I$9*(1+Inputs!$B$6)/(B2415-Inputs!$B$6)/(1+B2415)^7</f>
        <v>-1386.182224</v>
      </c>
    </row>
    <row r="2416" ht="14.25" customHeight="1">
      <c r="A2416" s="7">
        <v>2403.0</v>
      </c>
      <c r="B2416" s="14">
        <f t="shared" si="1"/>
        <v>0.09345586388</v>
      </c>
      <c r="C2416" s="39">
        <f t="array" ref="C2416">NPV(B2416,FCFF!$C$9:$I$9)+FCFF!$B$9+FCFF!$I$9*(1+Inputs!$B$6)/(B2416-Inputs!$B$6)/(1+B2416)^7</f>
        <v>-1179.287468</v>
      </c>
    </row>
    <row r="2417" ht="14.25" customHeight="1">
      <c r="A2417" s="7">
        <v>2404.0</v>
      </c>
      <c r="B2417" s="14">
        <f t="shared" si="1"/>
        <v>0.1163531139</v>
      </c>
      <c r="C2417" s="39">
        <f t="array" ref="C2417">NPV(B2417,FCFF!$C$9:$I$9)+FCFF!$B$9+FCFF!$I$9*(1+Inputs!$B$6)/(B2417-Inputs!$B$6)/(1+B2417)^7</f>
        <v>-1757.519102</v>
      </c>
    </row>
    <row r="2418" ht="14.25" customHeight="1">
      <c r="A2418" s="7">
        <v>2405.0</v>
      </c>
      <c r="B2418" s="14">
        <f t="shared" si="1"/>
        <v>0.113941507</v>
      </c>
      <c r="C2418" s="39">
        <f t="array" ref="C2418">NPV(B2418,FCFF!$C$9:$I$9)+FCFF!$B$9+FCFF!$I$9*(1+Inputs!$B$6)/(B2418-Inputs!$B$6)/(1+B2418)^7</f>
        <v>-1711.824505</v>
      </c>
    </row>
    <row r="2419" ht="14.25" customHeight="1">
      <c r="A2419" s="7">
        <v>2406.0</v>
      </c>
      <c r="B2419" s="14">
        <f t="shared" si="1"/>
        <v>0.1173653643</v>
      </c>
      <c r="C2419" s="39">
        <f t="array" ref="C2419">NPV(B2419,FCFF!$C$9:$I$9)+FCFF!$B$9+FCFF!$I$9*(1+Inputs!$B$6)/(B2419-Inputs!$B$6)/(1+B2419)^7</f>
        <v>-1775.911897</v>
      </c>
    </row>
    <row r="2420" ht="14.25" customHeight="1">
      <c r="A2420" s="7">
        <v>2407.0</v>
      </c>
      <c r="B2420" s="14">
        <f t="shared" si="1"/>
        <v>0.1112955452</v>
      </c>
      <c r="C2420" s="39">
        <f t="array" ref="C2420">NPV(B2420,FCFF!$C$9:$I$9)+FCFF!$B$9+FCFF!$I$9*(1+Inputs!$B$6)/(B2420-Inputs!$B$6)/(1+B2420)^7</f>
        <v>-1658.432883</v>
      </c>
    </row>
    <row r="2421" ht="14.25" customHeight="1">
      <c r="A2421" s="7">
        <v>2408.0</v>
      </c>
      <c r="B2421" s="14">
        <f t="shared" si="1"/>
        <v>0.09852730952</v>
      </c>
      <c r="C2421" s="39">
        <f t="array" ref="C2421">NPV(B2421,FCFF!$C$9:$I$9)+FCFF!$B$9+FCFF!$I$9*(1+Inputs!$B$6)/(B2421-Inputs!$B$6)/(1+B2421)^7</f>
        <v>-1341.095092</v>
      </c>
    </row>
    <row r="2422" ht="14.25" customHeight="1">
      <c r="A2422" s="7">
        <v>2409.0</v>
      </c>
      <c r="B2422" s="14">
        <f t="shared" si="1"/>
        <v>0.1327894768</v>
      </c>
      <c r="C2422" s="39">
        <f t="array" ref="C2422">NPV(B2422,FCFF!$C$9:$I$9)+FCFF!$B$9+FCFF!$I$9*(1+Inputs!$B$6)/(B2422-Inputs!$B$6)/(1+B2422)^7</f>
        <v>-2008.827102</v>
      </c>
    </row>
    <row r="2423" ht="14.25" customHeight="1">
      <c r="A2423" s="7">
        <v>2410.0</v>
      </c>
      <c r="B2423" s="14">
        <f t="shared" si="1"/>
        <v>0.1134135749</v>
      </c>
      <c r="C2423" s="39">
        <f t="array" ref="C2423">NPV(B2423,FCFF!$C$9:$I$9)+FCFF!$B$9+FCFF!$I$9*(1+Inputs!$B$6)/(B2423-Inputs!$B$6)/(1+B2423)^7</f>
        <v>-1701.452908</v>
      </c>
    </row>
    <row r="2424" ht="14.25" customHeight="1">
      <c r="A2424" s="7">
        <v>2411.0</v>
      </c>
      <c r="B2424" s="14">
        <f t="shared" si="1"/>
        <v>0.1135653242</v>
      </c>
      <c r="C2424" s="39">
        <f t="array" ref="C2424">NPV(B2424,FCFF!$C$9:$I$9)+FCFF!$B$9+FCFF!$I$9*(1+Inputs!$B$6)/(B2424-Inputs!$B$6)/(1+B2424)^7</f>
        <v>-1704.448117</v>
      </c>
    </row>
    <row r="2425" ht="14.25" customHeight="1">
      <c r="A2425" s="7">
        <v>2412.0</v>
      </c>
      <c r="B2425" s="14">
        <f t="shared" si="1"/>
        <v>0.1155036738</v>
      </c>
      <c r="C2425" s="39">
        <f t="array" ref="C2425">NPV(B2425,FCFF!$C$9:$I$9)+FCFF!$B$9+FCFF!$I$9*(1+Inputs!$B$6)/(B2425-Inputs!$B$6)/(1+B2425)^7</f>
        <v>-1741.731762</v>
      </c>
    </row>
    <row r="2426" ht="14.25" customHeight="1">
      <c r="A2426" s="7">
        <v>2413.0</v>
      </c>
      <c r="B2426" s="14">
        <f t="shared" si="1"/>
        <v>0.1231819023</v>
      </c>
      <c r="C2426" s="39">
        <f t="array" ref="C2426">NPV(B2426,FCFF!$C$9:$I$9)+FCFF!$B$9+FCFF!$I$9*(1+Inputs!$B$6)/(B2426-Inputs!$B$6)/(1+B2426)^7</f>
        <v>-1873.441934</v>
      </c>
    </row>
    <row r="2427" ht="14.25" customHeight="1">
      <c r="A2427" s="7">
        <v>2414.0</v>
      </c>
      <c r="B2427" s="14">
        <f t="shared" si="1"/>
        <v>0.0945292746</v>
      </c>
      <c r="C2427" s="39">
        <f t="array" ref="C2427">NPV(B2427,FCFF!$C$9:$I$9)+FCFF!$B$9+FCFF!$I$9*(1+Inputs!$B$6)/(B2427-Inputs!$B$6)/(1+B2427)^7</f>
        <v>-1215.645189</v>
      </c>
    </row>
    <row r="2428" ht="14.25" customHeight="1">
      <c r="A2428" s="7">
        <v>2415.0</v>
      </c>
      <c r="B2428" s="14">
        <f t="shared" si="1"/>
        <v>0.1185006519</v>
      </c>
      <c r="C2428" s="39">
        <f t="array" ref="C2428">NPV(B2428,FCFF!$C$9:$I$9)+FCFF!$B$9+FCFF!$I$9*(1+Inputs!$B$6)/(B2428-Inputs!$B$6)/(1+B2428)^7</f>
        <v>-1796.01405</v>
      </c>
    </row>
    <row r="2429" ht="14.25" customHeight="1">
      <c r="A2429" s="7">
        <v>2416.0</v>
      </c>
      <c r="B2429" s="14">
        <f t="shared" si="1"/>
        <v>0.1165183337</v>
      </c>
      <c r="C2429" s="39">
        <f t="array" ref="C2429">NPV(B2429,FCFF!$C$9:$I$9)+FCFF!$B$9+FCFF!$I$9*(1+Inputs!$B$6)/(B2429-Inputs!$B$6)/(1+B2429)^7</f>
        <v>-1760.552052</v>
      </c>
    </row>
    <row r="2430" ht="14.25" customHeight="1">
      <c r="A2430" s="7">
        <v>2417.0</v>
      </c>
      <c r="B2430" s="14">
        <f t="shared" si="1"/>
        <v>0.1074646905</v>
      </c>
      <c r="C2430" s="39">
        <f t="array" ref="C2430">NPV(B2430,FCFF!$C$9:$I$9)+FCFF!$B$9+FCFF!$I$9*(1+Inputs!$B$6)/(B2430-Inputs!$B$6)/(1+B2430)^7</f>
        <v>-1574.432775</v>
      </c>
    </row>
    <row r="2431" ht="14.25" customHeight="1">
      <c r="A2431" s="7">
        <v>2418.0</v>
      </c>
      <c r="B2431" s="14">
        <f t="shared" si="1"/>
        <v>0.1230181595</v>
      </c>
      <c r="C2431" s="39">
        <f t="array" ref="C2431">NPV(B2431,FCFF!$C$9:$I$9)+FCFF!$B$9+FCFF!$I$9*(1+Inputs!$B$6)/(B2431-Inputs!$B$6)/(1+B2431)^7</f>
        <v>-1870.873284</v>
      </c>
    </row>
    <row r="2432" ht="14.25" customHeight="1">
      <c r="A2432" s="7">
        <v>2419.0</v>
      </c>
      <c r="B2432" s="14">
        <f t="shared" si="1"/>
        <v>0.1234951803</v>
      </c>
      <c r="C2432" s="39">
        <f t="array" ref="C2432">NPV(B2432,FCFF!$C$9:$I$9)+FCFF!$B$9+FCFF!$I$9*(1+Inputs!$B$6)/(B2432-Inputs!$B$6)/(1+B2432)^7</f>
        <v>-1878.329604</v>
      </c>
    </row>
    <row r="2433" ht="14.25" customHeight="1">
      <c r="A2433" s="7">
        <v>2420.0</v>
      </c>
      <c r="B2433" s="14">
        <f t="shared" si="1"/>
        <v>0.09420388678</v>
      </c>
      <c r="C2433" s="39">
        <f t="array" ref="C2433">NPV(B2433,FCFF!$C$9:$I$9)+FCFF!$B$9+FCFF!$I$9*(1+Inputs!$B$6)/(B2433-Inputs!$B$6)/(1+B2433)^7</f>
        <v>-1204.751115</v>
      </c>
    </row>
    <row r="2434" ht="14.25" customHeight="1">
      <c r="A2434" s="7">
        <v>2421.0</v>
      </c>
      <c r="B2434" s="14">
        <f t="shared" si="1"/>
        <v>0.09324377182</v>
      </c>
      <c r="C2434" s="39">
        <f t="array" ref="C2434">NPV(B2434,FCFF!$C$9:$I$9)+FCFF!$B$9+FCFF!$I$9*(1+Inputs!$B$6)/(B2434-Inputs!$B$6)/(1+B2434)^7</f>
        <v>-1171.95914</v>
      </c>
    </row>
    <row r="2435" ht="14.25" customHeight="1">
      <c r="A2435" s="7">
        <v>2422.0</v>
      </c>
      <c r="B2435" s="14">
        <f t="shared" si="1"/>
        <v>0.09469823928</v>
      </c>
      <c r="C2435" s="39">
        <f t="array" ref="C2435">NPV(B2435,FCFF!$C$9:$I$9)+FCFF!$B$9+FCFF!$I$9*(1+Inputs!$B$6)/(B2435-Inputs!$B$6)/(1+B2435)^7</f>
        <v>-1221.259303</v>
      </c>
    </row>
    <row r="2436" ht="14.25" customHeight="1">
      <c r="A2436" s="7">
        <v>2423.0</v>
      </c>
      <c r="B2436" s="14">
        <f t="shared" si="1"/>
        <v>0.12868164</v>
      </c>
      <c r="C2436" s="39">
        <f t="array" ref="C2436">NPV(B2436,FCFF!$C$9:$I$9)+FCFF!$B$9+FCFF!$I$9*(1+Inputs!$B$6)/(B2436-Inputs!$B$6)/(1+B2436)^7</f>
        <v>-1954.424805</v>
      </c>
    </row>
    <row r="2437" ht="14.25" customHeight="1">
      <c r="A2437" s="7">
        <v>2424.0</v>
      </c>
      <c r="B2437" s="14">
        <f t="shared" si="1"/>
        <v>0.1251382144</v>
      </c>
      <c r="C2437" s="39">
        <f t="array" ref="C2437">NPV(B2437,FCFF!$C$9:$I$9)+FCFF!$B$9+FCFF!$I$9*(1+Inputs!$B$6)/(B2437-Inputs!$B$6)/(1+B2437)^7</f>
        <v>-1903.400681</v>
      </c>
    </row>
    <row r="2438" ht="14.25" customHeight="1">
      <c r="A2438" s="7">
        <v>2425.0</v>
      </c>
      <c r="B2438" s="14">
        <f t="shared" si="1"/>
        <v>0.1134821914</v>
      </c>
      <c r="C2438" s="39">
        <f t="array" ref="C2438">NPV(B2438,FCFF!$C$9:$I$9)+FCFF!$B$9+FCFF!$I$9*(1+Inputs!$B$6)/(B2438-Inputs!$B$6)/(1+B2438)^7</f>
        <v>-1702.808657</v>
      </c>
    </row>
    <row r="2439" ht="14.25" customHeight="1">
      <c r="A2439" s="7">
        <v>2426.0</v>
      </c>
      <c r="B2439" s="14">
        <f t="shared" si="1"/>
        <v>0.1151447058</v>
      </c>
      <c r="C2439" s="39">
        <f t="array" ref="C2439">NPV(B2439,FCFF!$C$9:$I$9)+FCFF!$B$9+FCFF!$I$9*(1+Inputs!$B$6)/(B2439-Inputs!$B$6)/(1+B2439)^7</f>
        <v>-1734.960924</v>
      </c>
    </row>
    <row r="2440" ht="14.25" customHeight="1">
      <c r="A2440" s="7">
        <v>2427.0</v>
      </c>
      <c r="B2440" s="14">
        <f t="shared" si="1"/>
        <v>0.126998816</v>
      </c>
      <c r="C2440" s="39">
        <f t="array" ref="C2440">NPV(B2440,FCFF!$C$9:$I$9)+FCFF!$B$9+FCFF!$I$9*(1+Inputs!$B$6)/(B2440-Inputs!$B$6)/(1+B2440)^7</f>
        <v>-1930.6933</v>
      </c>
    </row>
    <row r="2441" ht="14.25" customHeight="1">
      <c r="A2441" s="7">
        <v>2428.0</v>
      </c>
      <c r="B2441" s="14">
        <f t="shared" si="1"/>
        <v>0.09582745178</v>
      </c>
      <c r="C2441" s="39">
        <f t="array" ref="C2441">NPV(B2441,FCFF!$C$9:$I$9)+FCFF!$B$9+FCFF!$I$9*(1+Inputs!$B$6)/(B2441-Inputs!$B$6)/(1+B2441)^7</f>
        <v>-1258.044184</v>
      </c>
    </row>
    <row r="2442" ht="14.25" customHeight="1">
      <c r="A2442" s="7">
        <v>2429.0</v>
      </c>
      <c r="B2442" s="14">
        <f t="shared" si="1"/>
        <v>0.1086088019</v>
      </c>
      <c r="C2442" s="39">
        <f t="array" ref="C2442">NPV(B2442,FCFF!$C$9:$I$9)+FCFF!$B$9+FCFF!$I$9*(1+Inputs!$B$6)/(B2442-Inputs!$B$6)/(1+B2442)^7</f>
        <v>-1600.403651</v>
      </c>
    </row>
    <row r="2443" ht="14.25" customHeight="1">
      <c r="A2443" s="7">
        <v>2430.0</v>
      </c>
      <c r="B2443" s="14">
        <f t="shared" si="1"/>
        <v>0.1168602781</v>
      </c>
      <c r="C2443" s="39">
        <f t="array" ref="C2443">NPV(B2443,FCFF!$C$9:$I$9)+FCFF!$B$9+FCFF!$I$9*(1+Inputs!$B$6)/(B2443-Inputs!$B$6)/(1+B2443)^7</f>
        <v>-1766.790675</v>
      </c>
    </row>
    <row r="2444" ht="14.25" customHeight="1">
      <c r="A2444" s="7">
        <v>2431.0</v>
      </c>
      <c r="B2444" s="14">
        <f t="shared" si="1"/>
        <v>0.1206725876</v>
      </c>
      <c r="C2444" s="39">
        <f t="array" ref="C2444">NPV(B2444,FCFF!$C$9:$I$9)+FCFF!$B$9+FCFF!$I$9*(1+Inputs!$B$6)/(B2444-Inputs!$B$6)/(1+B2444)^7</f>
        <v>-1832.992541</v>
      </c>
    </row>
    <row r="2445" ht="14.25" customHeight="1">
      <c r="A2445" s="7">
        <v>2432.0</v>
      </c>
      <c r="B2445" s="14">
        <f t="shared" si="1"/>
        <v>0.1021858488</v>
      </c>
      <c r="C2445" s="39">
        <f t="array" ref="C2445">NPV(B2445,FCFF!$C$9:$I$9)+FCFF!$B$9+FCFF!$I$9*(1+Inputs!$B$6)/(B2445-Inputs!$B$6)/(1+B2445)^7</f>
        <v>-1443.691889</v>
      </c>
    </row>
    <row r="2446" ht="14.25" customHeight="1">
      <c r="A2446" s="7">
        <v>2433.0</v>
      </c>
      <c r="B2446" s="14">
        <f t="shared" si="1"/>
        <v>0.1178517008</v>
      </c>
      <c r="C2446" s="39">
        <f t="array" ref="C2446">NPV(B2446,FCFF!$C$9:$I$9)+FCFF!$B$9+FCFF!$I$9*(1+Inputs!$B$6)/(B2446-Inputs!$B$6)/(1+B2446)^7</f>
        <v>-1784.590297</v>
      </c>
    </row>
    <row r="2447" ht="14.25" customHeight="1">
      <c r="A2447" s="7">
        <v>2434.0</v>
      </c>
      <c r="B2447" s="14">
        <f t="shared" si="1"/>
        <v>0.1203751883</v>
      </c>
      <c r="C2447" s="39">
        <f t="array" ref="C2447">NPV(B2447,FCFF!$C$9:$I$9)+FCFF!$B$9+FCFF!$I$9*(1+Inputs!$B$6)/(B2447-Inputs!$B$6)/(1+B2447)^7</f>
        <v>-1828.040258</v>
      </c>
    </row>
    <row r="2448" ht="14.25" customHeight="1">
      <c r="A2448" s="7">
        <v>2435.0</v>
      </c>
      <c r="B2448" s="14">
        <f t="shared" si="1"/>
        <v>0.130171837</v>
      </c>
      <c r="C2448" s="39">
        <f t="array" ref="C2448">NPV(B2448,FCFF!$C$9:$I$9)+FCFF!$B$9+FCFF!$I$9*(1+Inputs!$B$6)/(B2448-Inputs!$B$6)/(1+B2448)^7</f>
        <v>-1974.720848</v>
      </c>
    </row>
    <row r="2449" ht="14.25" customHeight="1">
      <c r="A2449" s="7">
        <v>2436.0</v>
      </c>
      <c r="B2449" s="14">
        <f t="shared" si="1"/>
        <v>0.1145205843</v>
      </c>
      <c r="C2449" s="39">
        <f t="array" ref="C2449">NPV(B2449,FCFF!$C$9:$I$9)+FCFF!$B$9+FCFF!$I$9*(1+Inputs!$B$6)/(B2449-Inputs!$B$6)/(1+B2449)^7</f>
        <v>-1723.04552</v>
      </c>
    </row>
    <row r="2450" ht="14.25" customHeight="1">
      <c r="A2450" s="7">
        <v>2437.0</v>
      </c>
      <c r="B2450" s="14">
        <f t="shared" si="1"/>
        <v>0.1212673471</v>
      </c>
      <c r="C2450" s="39">
        <f t="array" ref="C2450">NPV(B2450,FCFF!$C$9:$I$9)+FCFF!$B$9+FCFF!$I$9*(1+Inputs!$B$6)/(B2450-Inputs!$B$6)/(1+B2450)^7</f>
        <v>-1842.793786</v>
      </c>
    </row>
    <row r="2451" ht="14.25" customHeight="1">
      <c r="A2451" s="7">
        <v>2438.0</v>
      </c>
      <c r="B2451" s="14">
        <f t="shared" si="1"/>
        <v>0.1193512618</v>
      </c>
      <c r="C2451" s="39">
        <f t="array" ref="C2451">NPV(B2451,FCFF!$C$9:$I$9)+FCFF!$B$9+FCFF!$I$9*(1+Inputs!$B$6)/(B2451-Inputs!$B$6)/(1+B2451)^7</f>
        <v>-1810.722684</v>
      </c>
    </row>
    <row r="2452" ht="14.25" customHeight="1">
      <c r="A2452" s="7">
        <v>2439.0</v>
      </c>
      <c r="B2452" s="14">
        <f t="shared" si="1"/>
        <v>0.09408281363</v>
      </c>
      <c r="C2452" s="39">
        <f t="array" ref="C2452">NPV(B2452,FCFF!$C$9:$I$9)+FCFF!$B$9+FCFF!$I$9*(1+Inputs!$B$6)/(B2452-Inputs!$B$6)/(1+B2452)^7</f>
        <v>-1200.669561</v>
      </c>
    </row>
    <row r="2453" ht="14.25" customHeight="1">
      <c r="A2453" s="7">
        <v>2440.0</v>
      </c>
      <c r="B2453" s="14">
        <f t="shared" si="1"/>
        <v>0.100224903</v>
      </c>
      <c r="C2453" s="39">
        <f t="array" ref="C2453">NPV(B2453,FCFF!$C$9:$I$9)+FCFF!$B$9+FCFF!$I$9*(1+Inputs!$B$6)/(B2453-Inputs!$B$6)/(1+B2453)^7</f>
        <v>-1390.039916</v>
      </c>
    </row>
    <row r="2454" ht="14.25" customHeight="1">
      <c r="A2454" s="7">
        <v>2441.0</v>
      </c>
      <c r="B2454" s="14">
        <f t="shared" si="1"/>
        <v>0.114444125</v>
      </c>
      <c r="C2454" s="39">
        <f t="array" ref="C2454">NPV(B2454,FCFF!$C$9:$I$9)+FCFF!$B$9+FCFF!$I$9*(1+Inputs!$B$6)/(B2454-Inputs!$B$6)/(1+B2454)^7</f>
        <v>-1721.573143</v>
      </c>
    </row>
    <row r="2455" ht="14.25" customHeight="1">
      <c r="A2455" s="7">
        <v>2442.0</v>
      </c>
      <c r="B2455" s="14">
        <f t="shared" si="1"/>
        <v>0.1230848703</v>
      </c>
      <c r="C2455" s="39">
        <f t="array" ref="C2455">NPV(B2455,FCFF!$C$9:$I$9)+FCFF!$B$9+FCFF!$I$9*(1+Inputs!$B$6)/(B2455-Inputs!$B$6)/(1+B2455)^7</f>
        <v>-1871.920946</v>
      </c>
    </row>
    <row r="2456" ht="14.25" customHeight="1">
      <c r="A2456" s="7">
        <v>2443.0</v>
      </c>
      <c r="B2456" s="14">
        <f t="shared" si="1"/>
        <v>0.1169783869</v>
      </c>
      <c r="C2456" s="39">
        <f t="array" ref="C2456">NPV(B2456,FCFF!$C$9:$I$9)+FCFF!$B$9+FCFF!$I$9*(1+Inputs!$B$6)/(B2456-Inputs!$B$6)/(1+B2456)^7</f>
        <v>-1768.933546</v>
      </c>
    </row>
    <row r="2457" ht="14.25" customHeight="1">
      <c r="A2457" s="7">
        <v>2444.0</v>
      </c>
      <c r="B2457" s="14">
        <f t="shared" si="1"/>
        <v>0.1128282475</v>
      </c>
      <c r="C2457" s="39">
        <f t="array" ref="C2457">NPV(B2457,FCFF!$C$9:$I$9)+FCFF!$B$9+FCFF!$I$9*(1+Inputs!$B$6)/(B2457-Inputs!$B$6)/(1+B2457)^7</f>
        <v>-1689.792717</v>
      </c>
    </row>
    <row r="2458" ht="14.25" customHeight="1">
      <c r="A2458" s="7">
        <v>2445.0</v>
      </c>
      <c r="B2458" s="14">
        <f t="shared" si="1"/>
        <v>0.1246169335</v>
      </c>
      <c r="C2458" s="39">
        <f t="array" ref="C2458">NPV(B2458,FCFF!$C$9:$I$9)+FCFF!$B$9+FCFF!$I$9*(1+Inputs!$B$6)/(B2458-Inputs!$B$6)/(1+B2458)^7</f>
        <v>-1895.547375</v>
      </c>
    </row>
    <row r="2459" ht="14.25" customHeight="1">
      <c r="A2459" s="7">
        <v>2446.0</v>
      </c>
      <c r="B2459" s="14">
        <f t="shared" si="1"/>
        <v>0.09937384343</v>
      </c>
      <c r="C2459" s="39">
        <f t="array" ref="C2459">NPV(B2459,FCFF!$C$9:$I$9)+FCFF!$B$9+FCFF!$I$9*(1+Inputs!$B$6)/(B2459-Inputs!$B$6)/(1+B2459)^7</f>
        <v>-1365.803132</v>
      </c>
    </row>
    <row r="2460" ht="14.25" customHeight="1">
      <c r="A2460" s="7">
        <v>2447.0</v>
      </c>
      <c r="B2460" s="14">
        <f t="shared" si="1"/>
        <v>0.1072414024</v>
      </c>
      <c r="C2460" s="39">
        <f t="array" ref="C2460">NPV(B2460,FCFF!$C$9:$I$9)+FCFF!$B$9+FCFF!$I$9*(1+Inputs!$B$6)/(B2460-Inputs!$B$6)/(1+B2460)^7</f>
        <v>-1569.272064</v>
      </c>
    </row>
    <row r="2461" ht="14.25" customHeight="1">
      <c r="A2461" s="7">
        <v>2448.0</v>
      </c>
      <c r="B2461" s="14">
        <f t="shared" si="1"/>
        <v>0.1287473961</v>
      </c>
      <c r="C2461" s="39">
        <f t="array" ref="C2461">NPV(B2461,FCFF!$C$9:$I$9)+FCFF!$B$9+FCFF!$I$9*(1+Inputs!$B$6)/(B2461-Inputs!$B$6)/(1+B2461)^7</f>
        <v>-1955.334381</v>
      </c>
    </row>
    <row r="2462" ht="14.25" customHeight="1">
      <c r="A2462" s="7">
        <v>2449.0</v>
      </c>
      <c r="B2462" s="14">
        <f t="shared" si="1"/>
        <v>0.1299371697</v>
      </c>
      <c r="C2462" s="39">
        <f t="array" ref="C2462">NPV(B2462,FCFF!$C$9:$I$9)+FCFF!$B$9+FCFF!$I$9*(1+Inputs!$B$6)/(B2462-Inputs!$B$6)/(1+B2462)^7</f>
        <v>-1971.568266</v>
      </c>
    </row>
    <row r="2463" ht="14.25" customHeight="1">
      <c r="A2463" s="7">
        <v>2450.0</v>
      </c>
      <c r="B2463" s="14">
        <f t="shared" si="1"/>
        <v>0.106533744</v>
      </c>
      <c r="C2463" s="39">
        <f t="array" ref="C2463">NPV(B2463,FCFF!$C$9:$I$9)+FCFF!$B$9+FCFF!$I$9*(1+Inputs!$B$6)/(B2463-Inputs!$B$6)/(1+B2463)^7</f>
        <v>-1552.712451</v>
      </c>
    </row>
    <row r="2464" ht="14.25" customHeight="1">
      <c r="A2464" s="7">
        <v>2451.0</v>
      </c>
      <c r="B2464" s="14">
        <f t="shared" si="1"/>
        <v>0.09793419504</v>
      </c>
      <c r="C2464" s="39">
        <f t="array" ref="C2464">NPV(B2464,FCFF!$C$9:$I$9)+FCFF!$B$9+FCFF!$I$9*(1+Inputs!$B$6)/(B2464-Inputs!$B$6)/(1+B2464)^7</f>
        <v>-1323.415776</v>
      </c>
    </row>
    <row r="2465" ht="14.25" customHeight="1">
      <c r="A2465" s="7">
        <v>2452.0</v>
      </c>
      <c r="B2465" s="14">
        <f t="shared" si="1"/>
        <v>0.1220278965</v>
      </c>
      <c r="C2465" s="39">
        <f t="array" ref="C2465">NPV(B2465,FCFF!$C$9:$I$9)+FCFF!$B$9+FCFF!$I$9*(1+Inputs!$B$6)/(B2465-Inputs!$B$6)/(1+B2465)^7</f>
        <v>-1855.131163</v>
      </c>
    </row>
    <row r="2466" ht="14.25" customHeight="1">
      <c r="A2466" s="7">
        <v>2453.0</v>
      </c>
      <c r="B2466" s="14">
        <f t="shared" si="1"/>
        <v>0.1029003185</v>
      </c>
      <c r="C2466" s="39">
        <f t="array" ref="C2466">NPV(B2466,FCFF!$C$9:$I$9)+FCFF!$B$9+FCFF!$I$9*(1+Inputs!$B$6)/(B2466-Inputs!$B$6)/(1+B2466)^7</f>
        <v>-1462.514681</v>
      </c>
    </row>
    <row r="2467" ht="14.25" customHeight="1">
      <c r="A2467" s="7">
        <v>2454.0</v>
      </c>
      <c r="B2467" s="14">
        <f t="shared" si="1"/>
        <v>0.1054192146</v>
      </c>
      <c r="C2467" s="39">
        <f t="array" ref="C2467">NPV(B2467,FCFF!$C$9:$I$9)+FCFF!$B$9+FCFF!$I$9*(1+Inputs!$B$6)/(B2467-Inputs!$B$6)/(1+B2467)^7</f>
        <v>-1525.986819</v>
      </c>
    </row>
    <row r="2468" ht="14.25" customHeight="1">
      <c r="A2468" s="7">
        <v>2455.0</v>
      </c>
      <c r="B2468" s="14">
        <f t="shared" si="1"/>
        <v>0.1011890963</v>
      </c>
      <c r="C2468" s="39">
        <f t="array" ref="C2468">NPV(B2468,FCFF!$C$9:$I$9)+FCFF!$B$9+FCFF!$I$9*(1+Inputs!$B$6)/(B2468-Inputs!$B$6)/(1+B2468)^7</f>
        <v>-1416.793424</v>
      </c>
    </row>
    <row r="2469" ht="14.25" customHeight="1">
      <c r="A2469" s="7">
        <v>2456.0</v>
      </c>
      <c r="B2469" s="14">
        <f t="shared" si="1"/>
        <v>0.1325604247</v>
      </c>
      <c r="C2469" s="39">
        <f t="array" ref="C2469">NPV(B2469,FCFF!$C$9:$I$9)+FCFF!$B$9+FCFF!$I$9*(1+Inputs!$B$6)/(B2469-Inputs!$B$6)/(1+B2469)^7</f>
        <v>-2005.918411</v>
      </c>
    </row>
    <row r="2470" ht="14.25" customHeight="1">
      <c r="A2470" s="7">
        <v>2457.0</v>
      </c>
      <c r="B2470" s="14">
        <f t="shared" si="1"/>
        <v>0.1044411497</v>
      </c>
      <c r="C2470" s="39">
        <f t="array" ref="C2470">NPV(B2470,FCFF!$C$9:$I$9)+FCFF!$B$9+FCFF!$I$9*(1+Inputs!$B$6)/(B2470-Inputs!$B$6)/(1+B2470)^7</f>
        <v>-1501.860282</v>
      </c>
    </row>
    <row r="2471" ht="14.25" customHeight="1">
      <c r="A2471" s="7">
        <v>2458.0</v>
      </c>
      <c r="B2471" s="14">
        <f t="shared" si="1"/>
        <v>0.1206264249</v>
      </c>
      <c r="C2471" s="39">
        <f t="array" ref="C2471">NPV(B2471,FCFF!$C$9:$I$9)+FCFF!$B$9+FCFF!$I$9*(1+Inputs!$B$6)/(B2471-Inputs!$B$6)/(1+B2471)^7</f>
        <v>-1832.2261</v>
      </c>
    </row>
    <row r="2472" ht="14.25" customHeight="1">
      <c r="A2472" s="7">
        <v>2459.0</v>
      </c>
      <c r="B2472" s="14">
        <f t="shared" si="1"/>
        <v>0.1302276216</v>
      </c>
      <c r="C2472" s="39">
        <f t="array" ref="C2472">NPV(B2472,FCFF!$C$9:$I$9)+FCFF!$B$9+FCFF!$I$9*(1+Inputs!$B$6)/(B2472-Inputs!$B$6)/(1+B2472)^7</f>
        <v>-1975.467915</v>
      </c>
    </row>
    <row r="2473" ht="14.25" customHeight="1">
      <c r="A2473" s="7">
        <v>2460.0</v>
      </c>
      <c r="B2473" s="14">
        <f t="shared" si="1"/>
        <v>0.1047019964</v>
      </c>
      <c r="C2473" s="39">
        <f t="array" ref="C2473">NPV(B2473,FCFF!$C$9:$I$9)+FCFF!$B$9+FCFF!$I$9*(1+Inputs!$B$6)/(B2473-Inputs!$B$6)/(1+B2473)^7</f>
        <v>-1508.357719</v>
      </c>
    </row>
    <row r="2474" ht="14.25" customHeight="1">
      <c r="A2474" s="7">
        <v>2461.0</v>
      </c>
      <c r="B2474" s="14">
        <f t="shared" si="1"/>
        <v>0.1069643486</v>
      </c>
      <c r="C2474" s="39">
        <f t="array" ref="C2474">NPV(B2474,FCFF!$C$9:$I$9)+FCFF!$B$9+FCFF!$I$9*(1+Inputs!$B$6)/(B2474-Inputs!$B$6)/(1+B2474)^7</f>
        <v>-1562.826012</v>
      </c>
    </row>
    <row r="2475" ht="14.25" customHeight="1">
      <c r="A2475" s="7">
        <v>2462.0</v>
      </c>
      <c r="B2475" s="14">
        <f t="shared" si="1"/>
        <v>0.09462295238</v>
      </c>
      <c r="C2475" s="39">
        <f t="array" ref="C2475">NPV(B2475,FCFF!$C$9:$I$9)+FCFF!$B$9+FCFF!$I$9*(1+Inputs!$B$6)/(B2475-Inputs!$B$6)/(1+B2475)^7</f>
        <v>-1218.761377</v>
      </c>
    </row>
    <row r="2476" ht="14.25" customHeight="1">
      <c r="A2476" s="7">
        <v>2463.0</v>
      </c>
      <c r="B2476" s="14">
        <f t="shared" si="1"/>
        <v>0.1129987964</v>
      </c>
      <c r="C2476" s="39">
        <f t="array" ref="C2476">NPV(B2476,FCFF!$C$9:$I$9)+FCFF!$B$9+FCFF!$I$9*(1+Inputs!$B$6)/(B2476-Inputs!$B$6)/(1+B2476)^7</f>
        <v>-1693.207859</v>
      </c>
    </row>
    <row r="2477" ht="14.25" customHeight="1">
      <c r="A2477" s="7">
        <v>2464.0</v>
      </c>
      <c r="B2477" s="14">
        <f t="shared" si="1"/>
        <v>0.1309272813</v>
      </c>
      <c r="C2477" s="39">
        <f t="array" ref="C2477">NPV(B2477,FCFF!$C$9:$I$9)+FCFF!$B$9+FCFF!$I$9*(1+Inputs!$B$6)/(B2477-Inputs!$B$6)/(1+B2477)^7</f>
        <v>-1984.7616</v>
      </c>
    </row>
    <row r="2478" ht="14.25" customHeight="1">
      <c r="A2478" s="7">
        <v>2465.0</v>
      </c>
      <c r="B2478" s="14">
        <f t="shared" si="1"/>
        <v>0.1025862125</v>
      </c>
      <c r="C2478" s="39">
        <f t="array" ref="C2478">NPV(B2478,FCFF!$C$9:$I$9)+FCFF!$B$9+FCFF!$I$9*(1+Inputs!$B$6)/(B2478-Inputs!$B$6)/(1+B2478)^7</f>
        <v>-1454.285767</v>
      </c>
    </row>
    <row r="2479" ht="14.25" customHeight="1">
      <c r="A2479" s="7">
        <v>2466.0</v>
      </c>
      <c r="B2479" s="14">
        <f t="shared" si="1"/>
        <v>0.1093717551</v>
      </c>
      <c r="C2479" s="39">
        <f t="array" ref="C2479">NPV(B2479,FCFF!$C$9:$I$9)+FCFF!$B$9+FCFF!$I$9*(1+Inputs!$B$6)/(B2479-Inputs!$B$6)/(1+B2479)^7</f>
        <v>-1617.29445</v>
      </c>
    </row>
    <row r="2480" ht="14.25" customHeight="1">
      <c r="A2480" s="7">
        <v>2467.0</v>
      </c>
      <c r="B2480" s="14">
        <f t="shared" si="1"/>
        <v>0.09755993158</v>
      </c>
      <c r="C2480" s="39">
        <f t="array" ref="C2480">NPV(B2480,FCFF!$C$9:$I$9)+FCFF!$B$9+FCFF!$I$9*(1+Inputs!$B$6)/(B2480-Inputs!$B$6)/(1+B2480)^7</f>
        <v>-1312.099948</v>
      </c>
    </row>
    <row r="2481" ht="14.25" customHeight="1">
      <c r="A2481" s="7">
        <v>2468.0</v>
      </c>
      <c r="B2481" s="14">
        <f t="shared" si="1"/>
        <v>0.1090805629</v>
      </c>
      <c r="C2481" s="39">
        <f t="array" ref="C2481">NPV(B2481,FCFF!$C$9:$I$9)+FCFF!$B$9+FCFF!$I$9*(1+Inputs!$B$6)/(B2481-Inputs!$B$6)/(1+B2481)^7</f>
        <v>-1610.887446</v>
      </c>
    </row>
    <row r="2482" ht="14.25" customHeight="1">
      <c r="A2482" s="7">
        <v>2469.0</v>
      </c>
      <c r="B2482" s="14">
        <f t="shared" si="1"/>
        <v>0.09712086436</v>
      </c>
      <c r="C2482" s="39">
        <f t="array" ref="C2482">NPV(B2482,FCFF!$C$9:$I$9)+FCFF!$B$9+FCFF!$I$9*(1+Inputs!$B$6)/(B2482-Inputs!$B$6)/(1+B2482)^7</f>
        <v>-1298.663929</v>
      </c>
    </row>
    <row r="2483" ht="14.25" customHeight="1">
      <c r="A2483" s="7">
        <v>2470.0</v>
      </c>
      <c r="B2483" s="14">
        <f t="shared" si="1"/>
        <v>0.1170861916</v>
      </c>
      <c r="C2483" s="39">
        <f t="array" ref="C2483">NPV(B2483,FCFF!$C$9:$I$9)+FCFF!$B$9+FCFF!$I$9*(1+Inputs!$B$6)/(B2483-Inputs!$B$6)/(1+B2483)^7</f>
        <v>-1770.884137</v>
      </c>
    </row>
    <row r="2484" ht="14.25" customHeight="1">
      <c r="A2484" s="7">
        <v>2471.0</v>
      </c>
      <c r="B2484" s="14">
        <f t="shared" si="1"/>
        <v>0.1317059313</v>
      </c>
      <c r="C2484" s="39">
        <f t="array" ref="C2484">NPV(B2484,FCFF!$C$9:$I$9)+FCFF!$B$9+FCFF!$I$9*(1+Inputs!$B$6)/(B2484-Inputs!$B$6)/(1+B2484)^7</f>
        <v>-1994.941104</v>
      </c>
    </row>
    <row r="2485" ht="14.25" customHeight="1">
      <c r="A2485" s="7">
        <v>2472.0</v>
      </c>
      <c r="B2485" s="14">
        <f t="shared" si="1"/>
        <v>0.1119942278</v>
      </c>
      <c r="C2485" s="39">
        <f t="array" ref="C2485">NPV(B2485,FCFF!$C$9:$I$9)+FCFF!$B$9+FCFF!$I$9*(1+Inputs!$B$6)/(B2485-Inputs!$B$6)/(1+B2485)^7</f>
        <v>-1672.879206</v>
      </c>
    </row>
    <row r="2486" ht="14.25" customHeight="1">
      <c r="A2486" s="7">
        <v>2473.0</v>
      </c>
      <c r="B2486" s="14">
        <f t="shared" si="1"/>
        <v>0.1208522386</v>
      </c>
      <c r="C2486" s="39">
        <f t="array" ref="C2486">NPV(B2486,FCFF!$C$9:$I$9)+FCFF!$B$9+FCFF!$I$9*(1+Inputs!$B$6)/(B2486-Inputs!$B$6)/(1+B2486)^7</f>
        <v>-1835.967426</v>
      </c>
    </row>
    <row r="2487" ht="14.25" customHeight="1">
      <c r="A2487" s="7">
        <v>2474.0</v>
      </c>
      <c r="B2487" s="14">
        <f t="shared" si="1"/>
        <v>0.1250733641</v>
      </c>
      <c r="C2487" s="39">
        <f t="array" ref="C2487">NPV(B2487,FCFF!$C$9:$I$9)+FCFF!$B$9+FCFF!$I$9*(1+Inputs!$B$6)/(B2487-Inputs!$B$6)/(1+B2487)^7</f>
        <v>-1902.428711</v>
      </c>
    </row>
    <row r="2488" ht="14.25" customHeight="1">
      <c r="A2488" s="7">
        <v>2475.0</v>
      </c>
      <c r="B2488" s="14">
        <f t="shared" si="1"/>
        <v>0.1279860662</v>
      </c>
      <c r="C2488" s="39">
        <f t="array" ref="C2488">NPV(B2488,FCFF!$C$9:$I$9)+FCFF!$B$9+FCFF!$I$9*(1+Inputs!$B$6)/(B2488-Inputs!$B$6)/(1+B2488)^7</f>
        <v>-1944.722377</v>
      </c>
    </row>
    <row r="2489" ht="14.25" customHeight="1">
      <c r="A2489" s="7">
        <v>2476.0</v>
      </c>
      <c r="B2489" s="14">
        <f t="shared" si="1"/>
        <v>0.09468496358</v>
      </c>
      <c r="C2489" s="39">
        <f t="array" ref="C2489">NPV(B2489,FCFF!$C$9:$I$9)+FCFF!$B$9+FCFF!$I$9*(1+Inputs!$B$6)/(B2489-Inputs!$B$6)/(1+B2489)^7</f>
        <v>-1220.819251</v>
      </c>
    </row>
    <row r="2490" ht="14.25" customHeight="1">
      <c r="A2490" s="7">
        <v>2477.0</v>
      </c>
      <c r="B2490" s="14">
        <f t="shared" si="1"/>
        <v>0.1238909137</v>
      </c>
      <c r="C2490" s="39">
        <f t="array" ref="C2490">NPV(B2490,FCFF!$C$9:$I$9)+FCFF!$B$9+FCFF!$I$9*(1+Inputs!$B$6)/(B2490-Inputs!$B$6)/(1+B2490)^7</f>
        <v>-1884.453938</v>
      </c>
    </row>
    <row r="2491" ht="14.25" customHeight="1">
      <c r="A2491" s="7">
        <v>2478.0</v>
      </c>
      <c r="B2491" s="14">
        <f t="shared" si="1"/>
        <v>0.1191933814</v>
      </c>
      <c r="C2491" s="39">
        <f t="array" ref="C2491">NPV(B2491,FCFF!$C$9:$I$9)+FCFF!$B$9+FCFF!$I$9*(1+Inputs!$B$6)/(B2491-Inputs!$B$6)/(1+B2491)^7</f>
        <v>-1808.015028</v>
      </c>
    </row>
    <row r="2492" ht="14.25" customHeight="1">
      <c r="A2492" s="7">
        <v>2479.0</v>
      </c>
      <c r="B2492" s="14">
        <f t="shared" si="1"/>
        <v>0.1001299341</v>
      </c>
      <c r="C2492" s="39">
        <f t="array" ref="C2492">NPV(B2492,FCFF!$C$9:$I$9)+FCFF!$B$9+FCFF!$I$9*(1+Inputs!$B$6)/(B2492-Inputs!$B$6)/(1+B2492)^7</f>
        <v>-1387.364696</v>
      </c>
    </row>
    <row r="2493" ht="14.25" customHeight="1">
      <c r="A2493" s="7">
        <v>2480.0</v>
      </c>
      <c r="B2493" s="14">
        <f t="shared" si="1"/>
        <v>0.1270341461</v>
      </c>
      <c r="C2493" s="39">
        <f t="array" ref="C2493">NPV(B2493,FCFF!$C$9:$I$9)+FCFF!$B$9+FCFF!$I$9*(1+Inputs!$B$6)/(B2493-Inputs!$B$6)/(1+B2493)^7</f>
        <v>-1931.200662</v>
      </c>
    </row>
    <row r="2494" ht="14.25" customHeight="1">
      <c r="A2494" s="7">
        <v>2481.0</v>
      </c>
      <c r="B2494" s="14">
        <f t="shared" si="1"/>
        <v>0.1269226748</v>
      </c>
      <c r="C2494" s="39">
        <f t="array" ref="C2494">NPV(B2494,FCFF!$C$9:$I$9)+FCFF!$B$9+FCFF!$I$9*(1+Inputs!$B$6)/(B2494-Inputs!$B$6)/(1+B2494)^7</f>
        <v>-1929.598514</v>
      </c>
    </row>
    <row r="2495" ht="14.25" customHeight="1">
      <c r="A2495" s="7">
        <v>2482.0</v>
      </c>
      <c r="B2495" s="14">
        <f t="shared" si="1"/>
        <v>0.1262824297</v>
      </c>
      <c r="C2495" s="39">
        <f t="array" ref="C2495">NPV(B2495,FCFF!$C$9:$I$9)+FCFF!$B$9+FCFF!$I$9*(1+Inputs!$B$6)/(B2495-Inputs!$B$6)/(1+B2495)^7</f>
        <v>-1920.319065</v>
      </c>
    </row>
    <row r="2496" ht="14.25" customHeight="1">
      <c r="A2496" s="7">
        <v>2483.0</v>
      </c>
      <c r="B2496" s="14">
        <f t="shared" si="1"/>
        <v>0.09803714474</v>
      </c>
      <c r="C2496" s="39">
        <f t="array" ref="C2496">NPV(B2496,FCFF!$C$9:$I$9)+FCFF!$B$9+FCFF!$I$9*(1+Inputs!$B$6)/(B2496-Inputs!$B$6)/(1+B2496)^7</f>
        <v>-1326.506603</v>
      </c>
    </row>
    <row r="2497" ht="14.25" customHeight="1">
      <c r="A2497" s="7">
        <v>2484.0</v>
      </c>
      <c r="B2497" s="14">
        <f t="shared" si="1"/>
        <v>0.09880424649</v>
      </c>
      <c r="C2497" s="39">
        <f t="array" ref="C2497">NPV(B2497,FCFF!$C$9:$I$9)+FCFF!$B$9+FCFF!$I$9*(1+Inputs!$B$6)/(B2497-Inputs!$B$6)/(1+B2497)^7</f>
        <v>-1349.245291</v>
      </c>
    </row>
    <row r="2498" ht="14.25" customHeight="1">
      <c r="A2498" s="7">
        <v>2485.0</v>
      </c>
      <c r="B2498" s="14">
        <f t="shared" si="1"/>
        <v>0.1074135095</v>
      </c>
      <c r="C2498" s="39">
        <f t="array" ref="C2498">NPV(B2498,FCFF!$C$9:$I$9)+FCFF!$B$9+FCFF!$I$9*(1+Inputs!$B$6)/(B2498-Inputs!$B$6)/(1+B2498)^7</f>
        <v>-1573.252559</v>
      </c>
    </row>
    <row r="2499" ht="14.25" customHeight="1">
      <c r="A2499" s="7">
        <v>2486.0</v>
      </c>
      <c r="B2499" s="14">
        <f t="shared" si="1"/>
        <v>0.1079578744</v>
      </c>
      <c r="C2499" s="39">
        <f t="array" ref="C2499">NPV(B2499,FCFF!$C$9:$I$9)+FCFF!$B$9+FCFF!$I$9*(1+Inputs!$B$6)/(B2499-Inputs!$B$6)/(1+B2499)^7</f>
        <v>-1585.723902</v>
      </c>
    </row>
    <row r="2500" ht="14.25" customHeight="1">
      <c r="A2500" s="7">
        <v>2487.0</v>
      </c>
      <c r="B2500" s="14">
        <f t="shared" si="1"/>
        <v>0.09586809008</v>
      </c>
      <c r="C2500" s="39">
        <f t="array" ref="C2500">NPV(B2500,FCFF!$C$9:$I$9)+FCFF!$B$9+FCFF!$I$9*(1+Inputs!$B$6)/(B2500-Inputs!$B$6)/(1+B2500)^7</f>
        <v>-1259.344623</v>
      </c>
    </row>
    <row r="2501" ht="14.25" customHeight="1">
      <c r="A2501" s="7">
        <v>2488.0</v>
      </c>
      <c r="B2501" s="14">
        <f t="shared" si="1"/>
        <v>0.119038349</v>
      </c>
      <c r="C2501" s="39">
        <f t="array" ref="C2501">NPV(B2501,FCFF!$C$9:$I$9)+FCFF!$B$9+FCFF!$I$9*(1+Inputs!$B$6)/(B2501-Inputs!$B$6)/(1+B2501)^7</f>
        <v>-1805.346343</v>
      </c>
    </row>
    <row r="2502" ht="14.25" customHeight="1">
      <c r="A2502" s="7">
        <v>2489.0</v>
      </c>
      <c r="B2502" s="14">
        <f t="shared" si="1"/>
        <v>0.09684353554</v>
      </c>
      <c r="C2502" s="39">
        <f t="array" ref="C2502">NPV(B2502,FCFF!$C$9:$I$9)+FCFF!$B$9+FCFF!$I$9*(1+Inputs!$B$6)/(B2502-Inputs!$B$6)/(1+B2502)^7</f>
        <v>-1290.086447</v>
      </c>
    </row>
    <row r="2503" ht="14.25" customHeight="1">
      <c r="A2503" s="7">
        <v>2490.0</v>
      </c>
      <c r="B2503" s="14">
        <f t="shared" si="1"/>
        <v>0.126543908</v>
      </c>
      <c r="C2503" s="39">
        <f t="array" ref="C2503">NPV(B2503,FCFF!$C$9:$I$9)+FCFF!$B$9+FCFF!$I$9*(1+Inputs!$B$6)/(B2503-Inputs!$B$6)/(1+B2503)^7</f>
        <v>-1924.124824</v>
      </c>
    </row>
    <row r="2504" ht="14.25" customHeight="1">
      <c r="A2504" s="7">
        <v>2491.0</v>
      </c>
      <c r="B2504" s="14">
        <f t="shared" si="1"/>
        <v>0.1214059601</v>
      </c>
      <c r="C2504" s="39">
        <f t="array" ref="C2504">NPV(B2504,FCFF!$C$9:$I$9)+FCFF!$B$9+FCFF!$I$9*(1+Inputs!$B$6)/(B2504-Inputs!$B$6)/(1+B2504)^7</f>
        <v>-1845.058583</v>
      </c>
    </row>
    <row r="2505" ht="14.25" customHeight="1">
      <c r="A2505" s="7">
        <v>2492.0</v>
      </c>
      <c r="B2505" s="14">
        <f t="shared" si="1"/>
        <v>0.1033352371</v>
      </c>
      <c r="C2505" s="39">
        <f t="array" ref="C2505">NPV(B2505,FCFF!$C$9:$I$9)+FCFF!$B$9+FCFF!$I$9*(1+Inputs!$B$6)/(B2505-Inputs!$B$6)/(1+B2505)^7</f>
        <v>-1473.790606</v>
      </c>
    </row>
    <row r="2506" ht="14.25" customHeight="1">
      <c r="A2506" s="7">
        <v>2493.0</v>
      </c>
      <c r="B2506" s="14">
        <f t="shared" si="1"/>
        <v>0.126300192</v>
      </c>
      <c r="C2506" s="39">
        <f t="array" ref="C2506">NPV(B2506,FCFF!$C$9:$I$9)+FCFF!$B$9+FCFF!$I$9*(1+Inputs!$B$6)/(B2506-Inputs!$B$6)/(1+B2506)^7</f>
        <v>-1920.578294</v>
      </c>
    </row>
    <row r="2507" ht="14.25" customHeight="1">
      <c r="A2507" s="7">
        <v>2494.0</v>
      </c>
      <c r="B2507" s="14">
        <f t="shared" si="1"/>
        <v>0.1084265981</v>
      </c>
      <c r="C2507" s="39">
        <f t="array" ref="C2507">NPV(B2507,FCFF!$C$9:$I$9)+FCFF!$B$9+FCFF!$I$9*(1+Inputs!$B$6)/(B2507-Inputs!$B$6)/(1+B2507)^7</f>
        <v>-1596.319836</v>
      </c>
    </row>
    <row r="2508" ht="14.25" customHeight="1">
      <c r="A2508" s="7">
        <v>2495.0</v>
      </c>
      <c r="B2508" s="14">
        <f t="shared" si="1"/>
        <v>0.09474298736</v>
      </c>
      <c r="C2508" s="39">
        <f t="array" ref="C2508">NPV(B2508,FCFF!$C$9:$I$9)+FCFF!$B$9+FCFF!$I$9*(1+Inputs!$B$6)/(B2508-Inputs!$B$6)/(1+B2508)^7</f>
        <v>-1222.741258</v>
      </c>
    </row>
    <row r="2509" ht="14.25" customHeight="1">
      <c r="A2509" s="7">
        <v>2496.0</v>
      </c>
      <c r="B2509" s="14">
        <f t="shared" si="1"/>
        <v>0.1101877754</v>
      </c>
      <c r="C2509" s="39">
        <f t="array" ref="C2509">NPV(B2509,FCFF!$C$9:$I$9)+FCFF!$B$9+FCFF!$I$9*(1+Inputs!$B$6)/(B2509-Inputs!$B$6)/(1+B2509)^7</f>
        <v>-1634.993406</v>
      </c>
    </row>
    <row r="2510" ht="14.25" customHeight="1">
      <c r="A2510" s="7">
        <v>2497.0</v>
      </c>
      <c r="B2510" s="14">
        <f t="shared" si="1"/>
        <v>0.1057688308</v>
      </c>
      <c r="C2510" s="39">
        <f t="array" ref="C2510">NPV(B2510,FCFF!$C$9:$I$9)+FCFF!$B$9+FCFF!$I$9*(1+Inputs!$B$6)/(B2510-Inputs!$B$6)/(1+B2510)^7</f>
        <v>-1534.456873</v>
      </c>
    </row>
    <row r="2511" ht="14.25" customHeight="1">
      <c r="A2511" s="7">
        <v>2498.0</v>
      </c>
      <c r="B2511" s="14">
        <f t="shared" si="1"/>
        <v>0.1109674618</v>
      </c>
      <c r="C2511" s="39">
        <f t="array" ref="C2511">NPV(B2511,FCFF!$C$9:$I$9)+FCFF!$B$9+FCFF!$I$9*(1+Inputs!$B$6)/(B2511-Inputs!$B$6)/(1+B2511)^7</f>
        <v>-1651.560086</v>
      </c>
    </row>
    <row r="2512" ht="14.25" customHeight="1">
      <c r="A2512" s="7">
        <v>2499.0</v>
      </c>
      <c r="B2512" s="14">
        <f t="shared" si="1"/>
        <v>0.1304767073</v>
      </c>
      <c r="C2512" s="39">
        <f t="array" ref="C2512">NPV(B2512,FCFF!$C$9:$I$9)+FCFF!$B$9+FCFF!$I$9*(1+Inputs!$B$6)/(B2512-Inputs!$B$6)/(1+B2512)^7</f>
        <v>-1978.792681</v>
      </c>
    </row>
    <row r="2513" ht="14.25" customHeight="1">
      <c r="A2513" s="7">
        <v>2500.0</v>
      </c>
      <c r="B2513" s="14">
        <f t="shared" si="1"/>
        <v>0.1315176509</v>
      </c>
      <c r="C2513" s="39">
        <f t="array" ref="C2513">NPV(B2513,FCFF!$C$9:$I$9)+FCFF!$B$9+FCFF!$I$9*(1+Inputs!$B$6)/(B2513-Inputs!$B$6)/(1+B2513)^7</f>
        <v>-1992.495248</v>
      </c>
    </row>
    <row r="2514" ht="14.25" customHeight="1">
      <c r="A2514" s="7">
        <v>2501.0</v>
      </c>
      <c r="B2514" s="14">
        <f t="shared" si="1"/>
        <v>0.0967166396</v>
      </c>
      <c r="C2514" s="39">
        <f t="array" ref="C2514">NPV(B2514,FCFF!$C$9:$I$9)+FCFF!$B$9+FCFF!$I$9*(1+Inputs!$B$6)/(B2514-Inputs!$B$6)/(1+B2514)^7</f>
        <v>-1286.137955</v>
      </c>
    </row>
    <row r="2515" ht="14.25" customHeight="1">
      <c r="A2515" s="7">
        <v>2502.0</v>
      </c>
      <c r="B2515" s="14">
        <f t="shared" si="1"/>
        <v>0.1161750566</v>
      </c>
      <c r="C2515" s="39">
        <f t="array" ref="C2515">NPV(B2515,FCFF!$C$9:$I$9)+FCFF!$B$9+FCFF!$I$9*(1+Inputs!$B$6)/(B2515-Inputs!$B$6)/(1+B2515)^7</f>
        <v>-1754.23683</v>
      </c>
    </row>
    <row r="2516" ht="14.25" customHeight="1">
      <c r="A2516" s="7">
        <v>2503.0</v>
      </c>
      <c r="B2516" s="14">
        <f t="shared" si="1"/>
        <v>0.1299848412</v>
      </c>
      <c r="C2516" s="39">
        <f t="array" ref="C2516">NPV(B2516,FCFF!$C$9:$I$9)+FCFF!$B$9+FCFF!$I$9*(1+Inputs!$B$6)/(B2516-Inputs!$B$6)/(1+B2516)^7</f>
        <v>-1972.209997</v>
      </c>
    </row>
    <row r="2517" ht="14.25" customHeight="1">
      <c r="A2517" s="7">
        <v>2504.0</v>
      </c>
      <c r="B2517" s="14">
        <f t="shared" si="1"/>
        <v>0.1027348375</v>
      </c>
      <c r="C2517" s="39">
        <f t="array" ref="C2517">NPV(B2517,FCFF!$C$9:$I$9)+FCFF!$B$9+FCFF!$I$9*(1+Inputs!$B$6)/(B2517-Inputs!$B$6)/(1+B2517)^7</f>
        <v>-1458.188408</v>
      </c>
    </row>
    <row r="2518" ht="14.25" customHeight="1">
      <c r="A2518" s="7">
        <v>2505.0</v>
      </c>
      <c r="B2518" s="14">
        <f t="shared" si="1"/>
        <v>0.09807367841</v>
      </c>
      <c r="C2518" s="39">
        <f t="array" ref="C2518">NPV(B2518,FCFF!$C$9:$I$9)+FCFF!$B$9+FCFF!$I$9*(1+Inputs!$B$6)/(B2518-Inputs!$B$6)/(1+B2518)^7</f>
        <v>-1327.601192</v>
      </c>
    </row>
    <row r="2519" ht="14.25" customHeight="1">
      <c r="A2519" s="7">
        <v>2506.0</v>
      </c>
      <c r="B2519" s="14">
        <f t="shared" si="1"/>
        <v>0.1076543437</v>
      </c>
      <c r="C2519" s="39">
        <f t="array" ref="C2519">NPV(B2519,FCFF!$C$9:$I$9)+FCFF!$B$9+FCFF!$I$9*(1+Inputs!$B$6)/(B2519-Inputs!$B$6)/(1+B2519)^7</f>
        <v>-1578.792186</v>
      </c>
    </row>
    <row r="2520" ht="14.25" customHeight="1">
      <c r="A2520" s="7">
        <v>2507.0</v>
      </c>
      <c r="B2520" s="14">
        <f t="shared" si="1"/>
        <v>0.1089802095</v>
      </c>
      <c r="C2520" s="39">
        <f t="array" ref="C2520">NPV(B2520,FCFF!$C$9:$I$9)+FCFF!$B$9+FCFF!$I$9*(1+Inputs!$B$6)/(B2520-Inputs!$B$6)/(1+B2520)^7</f>
        <v>-1608.668124</v>
      </c>
    </row>
    <row r="2521" ht="14.25" customHeight="1">
      <c r="A2521" s="7">
        <v>2508.0</v>
      </c>
      <c r="B2521" s="14">
        <f t="shared" si="1"/>
        <v>0.1140954778</v>
      </c>
      <c r="C2521" s="39">
        <f t="array" ref="C2521">NPV(B2521,FCFF!$C$9:$I$9)+FCFF!$B$9+FCFF!$I$9*(1+Inputs!$B$6)/(B2521-Inputs!$B$6)/(1+B2521)^7</f>
        <v>-1714.823802</v>
      </c>
    </row>
    <row r="2522" ht="14.25" customHeight="1">
      <c r="A2522" s="7">
        <v>2509.0</v>
      </c>
      <c r="B2522" s="14">
        <f t="shared" si="1"/>
        <v>0.1324725817</v>
      </c>
      <c r="C2522" s="39">
        <f t="array" ref="C2522">NPV(B2522,FCFF!$C$9:$I$9)+FCFF!$B$9+FCFF!$I$9*(1+Inputs!$B$6)/(B2522-Inputs!$B$6)/(1+B2522)^7</f>
        <v>-2004.799141</v>
      </c>
    </row>
    <row r="2523" ht="14.25" customHeight="1">
      <c r="A2523" s="7">
        <v>2510.0</v>
      </c>
      <c r="B2523" s="14">
        <f t="shared" si="1"/>
        <v>0.09692391567</v>
      </c>
      <c r="C2523" s="39">
        <f t="array" ref="C2523">NPV(B2523,FCFF!$C$9:$I$9)+FCFF!$B$9+FCFF!$I$9*(1+Inputs!$B$6)/(B2523-Inputs!$B$6)/(1+B2523)^7</f>
        <v>-1292.579823</v>
      </c>
    </row>
    <row r="2524" ht="14.25" customHeight="1">
      <c r="A2524" s="7">
        <v>2511.0</v>
      </c>
      <c r="B2524" s="14">
        <f t="shared" si="1"/>
        <v>0.1104299236</v>
      </c>
      <c r="C2524" s="39">
        <f t="array" ref="C2524">NPV(B2524,FCFF!$C$9:$I$9)+FCFF!$B$9+FCFF!$I$9*(1+Inputs!$B$6)/(B2524-Inputs!$B$6)/(1+B2524)^7</f>
        <v>-1640.174101</v>
      </c>
    </row>
    <row r="2525" ht="14.25" customHeight="1">
      <c r="A2525" s="7">
        <v>2512.0</v>
      </c>
      <c r="B2525" s="14">
        <f t="shared" si="1"/>
        <v>0.09782715554</v>
      </c>
      <c r="C2525" s="39">
        <f t="array" ref="C2525">NPV(B2525,FCFF!$C$9:$I$9)+FCFF!$B$9+FCFF!$I$9*(1+Inputs!$B$6)/(B2525-Inputs!$B$6)/(1+B2525)^7</f>
        <v>-1320.192203</v>
      </c>
    </row>
    <row r="2526" ht="14.25" customHeight="1">
      <c r="A2526" s="7">
        <v>2513.0</v>
      </c>
      <c r="B2526" s="14">
        <f t="shared" si="1"/>
        <v>0.1326163277</v>
      </c>
      <c r="C2526" s="39">
        <f t="array" ref="C2526">NPV(B2526,FCFF!$C$9:$I$9)+FCFF!$B$9+FCFF!$I$9*(1+Inputs!$B$6)/(B2526-Inputs!$B$6)/(1+B2526)^7</f>
        <v>-2006.629621</v>
      </c>
    </row>
    <row r="2527" ht="14.25" customHeight="1">
      <c r="A2527" s="7">
        <v>2514.0</v>
      </c>
      <c r="B2527" s="14">
        <f t="shared" si="1"/>
        <v>0.1310114976</v>
      </c>
      <c r="C2527" s="39">
        <f t="array" ref="C2527">NPV(B2527,FCFF!$C$9:$I$9)+FCFF!$B$9+FCFF!$I$9*(1+Inputs!$B$6)/(B2527-Inputs!$B$6)/(1+B2527)^7</f>
        <v>-1985.870823</v>
      </c>
    </row>
    <row r="2528" ht="14.25" customHeight="1">
      <c r="A2528" s="7">
        <v>2515.0</v>
      </c>
      <c r="B2528" s="14">
        <f t="shared" si="1"/>
        <v>0.1040558699</v>
      </c>
      <c r="C2528" s="39">
        <f t="array" ref="C2528">NPV(B2528,FCFF!$C$9:$I$9)+FCFF!$B$9+FCFF!$I$9*(1+Inputs!$B$6)/(B2528-Inputs!$B$6)/(1+B2528)^7</f>
        <v>-1492.178081</v>
      </c>
    </row>
    <row r="2529" ht="14.25" customHeight="1">
      <c r="A2529" s="7">
        <v>2516.0</v>
      </c>
      <c r="B2529" s="14">
        <f t="shared" si="1"/>
        <v>0.1144358885</v>
      </c>
      <c r="C2529" s="39">
        <f t="array" ref="C2529">NPV(B2529,FCFF!$C$9:$I$9)+FCFF!$B$9+FCFF!$I$9*(1+Inputs!$B$6)/(B2529-Inputs!$B$6)/(1+B2529)^7</f>
        <v>-1721.414366</v>
      </c>
    </row>
    <row r="2530" ht="14.25" customHeight="1">
      <c r="A2530" s="7">
        <v>2517.0</v>
      </c>
      <c r="B2530" s="14">
        <f t="shared" si="1"/>
        <v>0.1269012597</v>
      </c>
      <c r="C2530" s="39">
        <f t="array" ref="C2530">NPV(B2530,FCFF!$C$9:$I$9)+FCFF!$B$9+FCFF!$I$9*(1+Inputs!$B$6)/(B2530-Inputs!$B$6)/(1+B2530)^7</f>
        <v>-1929.290264</v>
      </c>
    </row>
    <row r="2531" ht="14.25" customHeight="1">
      <c r="A2531" s="7">
        <v>2518.0</v>
      </c>
      <c r="B2531" s="14">
        <f t="shared" si="1"/>
        <v>0.09530841999</v>
      </c>
      <c r="C2531" s="39">
        <f t="array" ref="C2531">NPV(B2531,FCFF!$C$9:$I$9)+FCFF!$B$9+FCFF!$I$9*(1+Inputs!$B$6)/(B2531-Inputs!$B$6)/(1+B2531)^7</f>
        <v>-1241.293373</v>
      </c>
    </row>
    <row r="2532" ht="14.25" customHeight="1">
      <c r="A2532" s="7">
        <v>2519.0</v>
      </c>
      <c r="B2532" s="14">
        <f t="shared" si="1"/>
        <v>0.1310163625</v>
      </c>
      <c r="C2532" s="39">
        <f t="array" ref="C2532">NPV(B2532,FCFF!$C$9:$I$9)+FCFF!$B$9+FCFF!$I$9*(1+Inputs!$B$6)/(B2532-Inputs!$B$6)/(1+B2532)^7</f>
        <v>-1985.934837</v>
      </c>
    </row>
    <row r="2533" ht="14.25" customHeight="1">
      <c r="A2533" s="7">
        <v>2520.0</v>
      </c>
      <c r="B2533" s="14">
        <f t="shared" si="1"/>
        <v>0.1268044423</v>
      </c>
      <c r="C2533" s="39">
        <f t="array" ref="C2533">NPV(B2533,FCFF!$C$9:$I$9)+FCFF!$B$9+FCFF!$I$9*(1+Inputs!$B$6)/(B2533-Inputs!$B$6)/(1+B2533)^7</f>
        <v>-1927.894846</v>
      </c>
    </row>
    <row r="2534" ht="14.25" customHeight="1">
      <c r="A2534" s="7">
        <v>2521.0</v>
      </c>
      <c r="B2534" s="14">
        <f t="shared" si="1"/>
        <v>0.108930373</v>
      </c>
      <c r="C2534" s="39">
        <f t="array" ref="C2534">NPV(B2534,FCFF!$C$9:$I$9)+FCFF!$B$9+FCFF!$I$9*(1+Inputs!$B$6)/(B2534-Inputs!$B$6)/(1+B2534)^7</f>
        <v>-1607.563825</v>
      </c>
    </row>
    <row r="2535" ht="14.25" customHeight="1">
      <c r="A2535" s="7">
        <v>2522.0</v>
      </c>
      <c r="B2535" s="14">
        <f t="shared" si="1"/>
        <v>0.1239841057</v>
      </c>
      <c r="C2535" s="39">
        <f t="array" ref="C2535">NPV(B2535,FCFF!$C$9:$I$9)+FCFF!$B$9+FCFF!$I$9*(1+Inputs!$B$6)/(B2535-Inputs!$B$6)/(1+B2535)^7</f>
        <v>-1885.88815</v>
      </c>
    </row>
    <row r="2536" ht="14.25" customHeight="1">
      <c r="A2536" s="7">
        <v>2523.0</v>
      </c>
      <c r="B2536" s="14">
        <f t="shared" si="1"/>
        <v>0.116001621</v>
      </c>
      <c r="C2536" s="39">
        <f t="array" ref="C2536">NPV(B2536,FCFF!$C$9:$I$9)+FCFF!$B$9+FCFF!$I$9*(1+Inputs!$B$6)/(B2536-Inputs!$B$6)/(1+B2536)^7</f>
        <v>-1751.026048</v>
      </c>
    </row>
    <row r="2537" ht="14.25" customHeight="1">
      <c r="A2537" s="7">
        <v>2524.0</v>
      </c>
      <c r="B2537" s="14">
        <f t="shared" si="1"/>
        <v>0.1121369079</v>
      </c>
      <c r="C2537" s="39">
        <f t="array" ref="C2537">NPV(B2537,FCFF!$C$9:$I$9)+FCFF!$B$9+FCFF!$I$9*(1+Inputs!$B$6)/(B2537-Inputs!$B$6)/(1+B2537)^7</f>
        <v>-1675.797989</v>
      </c>
    </row>
    <row r="2538" ht="14.25" customHeight="1">
      <c r="A2538" s="7">
        <v>2525.0</v>
      </c>
      <c r="B2538" s="14">
        <f t="shared" si="1"/>
        <v>0.1073096949</v>
      </c>
      <c r="C2538" s="39">
        <f t="array" ref="C2538">NPV(B2538,FCFF!$C$9:$I$9)+FCFF!$B$9+FCFF!$I$9*(1+Inputs!$B$6)/(B2538-Inputs!$B$6)/(1+B2538)^7</f>
        <v>-1570.853709</v>
      </c>
    </row>
    <row r="2539" ht="14.25" customHeight="1">
      <c r="A2539" s="7">
        <v>2526.0</v>
      </c>
      <c r="B2539" s="14">
        <f t="shared" si="1"/>
        <v>0.1248318919</v>
      </c>
      <c r="C2539" s="39">
        <f t="array" ref="C2539">NPV(B2539,FCFF!$C$9:$I$9)+FCFF!$B$9+FCFF!$I$9*(1+Inputs!$B$6)/(B2539-Inputs!$B$6)/(1+B2539)^7</f>
        <v>-1898.797019</v>
      </c>
    </row>
    <row r="2540" ht="14.25" customHeight="1">
      <c r="A2540" s="7">
        <v>2527.0</v>
      </c>
      <c r="B2540" s="14">
        <f t="shared" si="1"/>
        <v>0.118858549</v>
      </c>
      <c r="C2540" s="39">
        <f t="array" ref="C2540">NPV(B2540,FCFF!$C$9:$I$9)+FCFF!$B$9+FCFF!$I$9*(1+Inputs!$B$6)/(B2540-Inputs!$B$6)/(1+B2540)^7</f>
        <v>-1802.238995</v>
      </c>
    </row>
    <row r="2541" ht="14.25" customHeight="1">
      <c r="A2541" s="7">
        <v>2528.0</v>
      </c>
      <c r="B2541" s="14">
        <f t="shared" si="1"/>
        <v>0.1194997802</v>
      </c>
      <c r="C2541" s="39">
        <f t="array" ref="C2541">NPV(B2541,FCFF!$C$9:$I$9)+FCFF!$B$9+FCFF!$I$9*(1+Inputs!$B$6)/(B2541-Inputs!$B$6)/(1+B2541)^7</f>
        <v>-1813.260561</v>
      </c>
    </row>
    <row r="2542" ht="14.25" customHeight="1">
      <c r="A2542" s="7">
        <v>2529.0</v>
      </c>
      <c r="B2542" s="14">
        <f t="shared" si="1"/>
        <v>0.1101283847</v>
      </c>
      <c r="C2542" s="39">
        <f t="array" ref="C2542">NPV(B2542,FCFF!$C$9:$I$9)+FCFF!$B$9+FCFF!$I$9*(1+Inputs!$B$6)/(B2542-Inputs!$B$6)/(1+B2542)^7</f>
        <v>-1633.717817</v>
      </c>
    </row>
    <row r="2543" ht="14.25" customHeight="1">
      <c r="A2543" s="7">
        <v>2530.0</v>
      </c>
      <c r="B2543" s="14">
        <f t="shared" si="1"/>
        <v>0.1162378493</v>
      </c>
      <c r="C2543" s="39">
        <f t="array" ref="C2543">NPV(B2543,FCFF!$C$9:$I$9)+FCFF!$B$9+FCFF!$I$9*(1+Inputs!$B$6)/(B2543-Inputs!$B$6)/(1+B2543)^7</f>
        <v>-1755.395962</v>
      </c>
    </row>
    <row r="2544" ht="14.25" customHeight="1">
      <c r="A2544" s="7">
        <v>2531.0</v>
      </c>
      <c r="B2544" s="14">
        <f t="shared" si="1"/>
        <v>0.09399311209</v>
      </c>
      <c r="C2544" s="39">
        <f t="array" ref="C2544">NPV(B2544,FCFF!$C$9:$I$9)+FCFF!$B$9+FCFF!$I$9*(1+Inputs!$B$6)/(B2544-Inputs!$B$6)/(1+B2544)^7</f>
        <v>-1197.635723</v>
      </c>
    </row>
    <row r="2545" ht="14.25" customHeight="1">
      <c r="A2545" s="7">
        <v>2532.0</v>
      </c>
      <c r="B2545" s="14">
        <f t="shared" si="1"/>
        <v>0.1146551039</v>
      </c>
      <c r="C2545" s="39">
        <f t="array" ref="C2545">NPV(B2545,FCFF!$C$9:$I$9)+FCFF!$B$9+FCFF!$I$9*(1+Inputs!$B$6)/(B2545-Inputs!$B$6)/(1+B2545)^7</f>
        <v>-1725.629224</v>
      </c>
    </row>
    <row r="2546" ht="14.25" customHeight="1">
      <c r="A2546" s="7">
        <v>2533.0</v>
      </c>
      <c r="B2546" s="14">
        <f t="shared" si="1"/>
        <v>0.1227810017</v>
      </c>
      <c r="C2546" s="39">
        <f t="array" ref="C2546">NPV(B2546,FCFF!$C$9:$I$9)+FCFF!$B$9+FCFF!$I$9*(1+Inputs!$B$6)/(B2546-Inputs!$B$6)/(1+B2546)^7</f>
        <v>-1867.135815</v>
      </c>
    </row>
    <row r="2547" ht="14.25" customHeight="1">
      <c r="A2547" s="7">
        <v>2534.0</v>
      </c>
      <c r="B2547" s="14">
        <f t="shared" si="1"/>
        <v>0.1210345596</v>
      </c>
      <c r="C2547" s="39">
        <f t="array" ref="C2547">NPV(B2547,FCFF!$C$9:$I$9)+FCFF!$B$9+FCFF!$I$9*(1+Inputs!$B$6)/(B2547-Inputs!$B$6)/(1+B2547)^7</f>
        <v>-1838.973791</v>
      </c>
    </row>
    <row r="2548" ht="14.25" customHeight="1">
      <c r="A2548" s="7">
        <v>2535.0</v>
      </c>
      <c r="B2548" s="14">
        <f t="shared" si="1"/>
        <v>0.1081814119</v>
      </c>
      <c r="C2548" s="39">
        <f t="array" ref="C2548">NPV(B2548,FCFF!$C$9:$I$9)+FCFF!$B$9+FCFF!$I$9*(1+Inputs!$B$6)/(B2548-Inputs!$B$6)/(1+B2548)^7</f>
        <v>-1590.793464</v>
      </c>
    </row>
    <row r="2549" ht="14.25" customHeight="1">
      <c r="A2549" s="7">
        <v>2536.0</v>
      </c>
      <c r="B2549" s="14">
        <f t="shared" si="1"/>
        <v>0.1240765412</v>
      </c>
      <c r="C2549" s="39">
        <f t="array" ref="C2549">NPV(B2549,FCFF!$C$9:$I$9)+FCFF!$B$9+FCFF!$I$9*(1+Inputs!$B$6)/(B2549-Inputs!$B$6)/(1+B2549)^7</f>
        <v>-1887.30772</v>
      </c>
    </row>
    <row r="2550" ht="14.25" customHeight="1">
      <c r="A2550" s="7">
        <v>2537.0</v>
      </c>
      <c r="B2550" s="14">
        <f t="shared" si="1"/>
        <v>0.1082982148</v>
      </c>
      <c r="C2550" s="39">
        <f t="array" ref="C2550">NPV(B2550,FCFF!$C$9:$I$9)+FCFF!$B$9+FCFF!$I$9*(1+Inputs!$B$6)/(B2550-Inputs!$B$6)/(1+B2550)^7</f>
        <v>-1593.430581</v>
      </c>
    </row>
    <row r="2551" ht="14.25" customHeight="1">
      <c r="A2551" s="7">
        <v>2538.0</v>
      </c>
      <c r="B2551" s="14">
        <f t="shared" si="1"/>
        <v>0.105322122</v>
      </c>
      <c r="C2551" s="39">
        <f t="array" ref="C2551">NPV(B2551,FCFF!$C$9:$I$9)+FCFF!$B$9+FCFF!$I$9*(1+Inputs!$B$6)/(B2551-Inputs!$B$6)/(1+B2551)^7</f>
        <v>-1523.620341</v>
      </c>
    </row>
    <row r="2552" ht="14.25" customHeight="1">
      <c r="A2552" s="7">
        <v>2539.0</v>
      </c>
      <c r="B2552" s="14">
        <f t="shared" si="1"/>
        <v>0.1160533777</v>
      </c>
      <c r="C2552" s="39">
        <f t="array" ref="C2552">NPV(B2552,FCFF!$C$9:$I$9)+FCFF!$B$9+FCFF!$I$9*(1+Inputs!$B$6)/(B2552-Inputs!$B$6)/(1+B2552)^7</f>
        <v>-1751.985632</v>
      </c>
    </row>
    <row r="2553" ht="14.25" customHeight="1">
      <c r="A2553" s="7">
        <v>2540.0</v>
      </c>
      <c r="B2553" s="14">
        <f t="shared" si="1"/>
        <v>0.09648455632</v>
      </c>
      <c r="C2553" s="39">
        <f t="array" ref="C2553">NPV(B2553,FCFF!$C$9:$I$9)+FCFF!$B$9+FCFF!$I$9*(1+Inputs!$B$6)/(B2553-Inputs!$B$6)/(1+B2553)^7</f>
        <v>-1278.877554</v>
      </c>
    </row>
    <row r="2554" ht="14.25" customHeight="1">
      <c r="A2554" s="7">
        <v>2541.0</v>
      </c>
      <c r="B2554" s="14">
        <f t="shared" si="1"/>
        <v>0.1161100006</v>
      </c>
      <c r="C2554" s="39">
        <f t="array" ref="C2554">NPV(B2554,FCFF!$C$9:$I$9)+FCFF!$B$9+FCFF!$I$9*(1+Inputs!$B$6)/(B2554-Inputs!$B$6)/(1+B2554)^7</f>
        <v>-1753.03405</v>
      </c>
    </row>
    <row r="2555" ht="14.25" customHeight="1">
      <c r="A2555" s="7">
        <v>2542.0</v>
      </c>
      <c r="B2555" s="14">
        <f t="shared" si="1"/>
        <v>0.1299089769</v>
      </c>
      <c r="C2555" s="39">
        <f t="array" ref="C2555">NPV(B2555,FCFF!$C$9:$I$9)+FCFF!$B$9+FCFF!$I$9*(1+Inputs!$B$6)/(B2555-Inputs!$B$6)/(1+B2555)^7</f>
        <v>-1971.188436</v>
      </c>
    </row>
    <row r="2556" ht="14.25" customHeight="1">
      <c r="A2556" s="7">
        <v>2543.0</v>
      </c>
      <c r="B2556" s="14">
        <f t="shared" si="1"/>
        <v>0.1273958008</v>
      </c>
      <c r="C2556" s="39">
        <f t="array" ref="C2556">NPV(B2556,FCFF!$C$9:$I$9)+FCFF!$B$9+FCFF!$I$9*(1+Inputs!$B$6)/(B2556-Inputs!$B$6)/(1+B2556)^7</f>
        <v>-1936.371428</v>
      </c>
    </row>
    <row r="2557" ht="14.25" customHeight="1">
      <c r="A2557" s="7">
        <v>2544.0</v>
      </c>
      <c r="B2557" s="14">
        <f t="shared" si="1"/>
        <v>0.1229322055</v>
      </c>
      <c r="C2557" s="39">
        <f t="array" ref="C2557">NPV(B2557,FCFF!$C$9:$I$9)+FCFF!$B$9+FCFF!$I$9*(1+Inputs!$B$6)/(B2557-Inputs!$B$6)/(1+B2557)^7</f>
        <v>-1869.521048</v>
      </c>
    </row>
    <row r="2558" ht="14.25" customHeight="1">
      <c r="A2558" s="7">
        <v>2545.0</v>
      </c>
      <c r="B2558" s="14">
        <f t="shared" si="1"/>
        <v>0.1081732392</v>
      </c>
      <c r="C2558" s="39">
        <f t="array" ref="C2558">NPV(B2558,FCFF!$C$9:$I$9)+FCFF!$B$9+FCFF!$I$9*(1+Inputs!$B$6)/(B2558-Inputs!$B$6)/(1+B2558)^7</f>
        <v>-1590.608642</v>
      </c>
    </row>
    <row r="2559" ht="14.25" customHeight="1">
      <c r="A2559" s="7">
        <v>2546.0</v>
      </c>
      <c r="B2559" s="14">
        <f t="shared" si="1"/>
        <v>0.09784545574</v>
      </c>
      <c r="C2559" s="39">
        <f t="array" ref="C2559">NPV(B2559,FCFF!$C$9:$I$9)+FCFF!$B$9+FCFF!$I$9*(1+Inputs!$B$6)/(B2559-Inputs!$B$6)/(1+B2559)^7</f>
        <v>-1320.744048</v>
      </c>
    </row>
    <row r="2560" ht="14.25" customHeight="1">
      <c r="A2560" s="7">
        <v>2547.0</v>
      </c>
      <c r="B2560" s="14">
        <f t="shared" si="1"/>
        <v>0.1215542506</v>
      </c>
      <c r="C2560" s="39">
        <f t="array" ref="C2560">NPV(B2560,FCFF!$C$9:$I$9)+FCFF!$B$9+FCFF!$I$9*(1+Inputs!$B$6)/(B2560-Inputs!$B$6)/(1+B2560)^7</f>
        <v>-1847.473435</v>
      </c>
    </row>
    <row r="2561" ht="14.25" customHeight="1">
      <c r="A2561" s="7">
        <v>2548.0</v>
      </c>
      <c r="B2561" s="14">
        <f t="shared" si="1"/>
        <v>0.115418336</v>
      </c>
      <c r="C2561" s="39">
        <f t="array" ref="C2561">NPV(B2561,FCFF!$C$9:$I$9)+FCFF!$B$9+FCFF!$I$9*(1+Inputs!$B$6)/(B2561-Inputs!$B$6)/(1+B2561)^7</f>
        <v>-1740.127521</v>
      </c>
    </row>
    <row r="2562" ht="14.25" customHeight="1">
      <c r="A2562" s="7">
        <v>2549.0</v>
      </c>
      <c r="B2562" s="14">
        <f t="shared" si="1"/>
        <v>0.1206533889</v>
      </c>
      <c r="C2562" s="39">
        <f t="array" ref="C2562">NPV(B2562,FCFF!$C$9:$I$9)+FCFF!$B$9+FCFF!$I$9*(1+Inputs!$B$6)/(B2562-Inputs!$B$6)/(1+B2562)^7</f>
        <v>-1832.673884</v>
      </c>
    </row>
    <row r="2563" ht="14.25" customHeight="1">
      <c r="A2563" s="7">
        <v>2550.0</v>
      </c>
      <c r="B2563" s="14">
        <f t="shared" si="1"/>
        <v>0.1135932591</v>
      </c>
      <c r="C2563" s="39">
        <f t="array" ref="C2563">NPV(B2563,FCFF!$C$9:$I$9)+FCFF!$B$9+FCFF!$I$9*(1+Inputs!$B$6)/(B2563-Inputs!$B$6)/(1+B2563)^7</f>
        <v>-1704.998257</v>
      </c>
    </row>
    <row r="2564" ht="14.25" customHeight="1">
      <c r="A2564" s="7">
        <v>2551.0</v>
      </c>
      <c r="B2564" s="14">
        <f t="shared" si="1"/>
        <v>0.1315962376</v>
      </c>
      <c r="C2564" s="39">
        <f t="array" ref="C2564">NPV(B2564,FCFF!$C$9:$I$9)+FCFF!$B$9+FCFF!$I$9*(1+Inputs!$B$6)/(B2564-Inputs!$B$6)/(1+B2564)^7</f>
        <v>-1993.51733</v>
      </c>
    </row>
    <row r="2565" ht="14.25" customHeight="1">
      <c r="A2565" s="7">
        <v>2552.0</v>
      </c>
      <c r="B2565" s="14">
        <f t="shared" si="1"/>
        <v>0.09920032185</v>
      </c>
      <c r="C2565" s="39">
        <f t="array" ref="C2565">NPV(B2565,FCFF!$C$9:$I$9)+FCFF!$B$9+FCFF!$I$9*(1+Inputs!$B$6)/(B2565-Inputs!$B$6)/(1+B2565)^7</f>
        <v>-1360.787955</v>
      </c>
    </row>
    <row r="2566" ht="14.25" customHeight="1">
      <c r="A2566" s="7">
        <v>2553.0</v>
      </c>
      <c r="B2566" s="14">
        <f t="shared" si="1"/>
        <v>0.09485776017</v>
      </c>
      <c r="C2566" s="39">
        <f t="array" ref="C2566">NPV(B2566,FCFF!$C$9:$I$9)+FCFF!$B$9+FCFF!$I$9*(1+Inputs!$B$6)/(B2566-Inputs!$B$6)/(1+B2566)^7</f>
        <v>-1226.532994</v>
      </c>
    </row>
    <row r="2567" ht="14.25" customHeight="1">
      <c r="A2567" s="7">
        <v>2554.0</v>
      </c>
      <c r="B2567" s="14">
        <f t="shared" si="1"/>
        <v>0.1176943965</v>
      </c>
      <c r="C2567" s="39">
        <f t="array" ref="C2567">NPV(B2567,FCFF!$C$9:$I$9)+FCFF!$B$9+FCFF!$I$9*(1+Inputs!$B$6)/(B2567-Inputs!$B$6)/(1+B2567)^7</f>
        <v>-1781.794376</v>
      </c>
    </row>
    <row r="2568" ht="14.25" customHeight="1">
      <c r="A2568" s="7">
        <v>2555.0</v>
      </c>
      <c r="B2568" s="14">
        <f t="shared" si="1"/>
        <v>0.09453076566</v>
      </c>
      <c r="C2568" s="39">
        <f t="array" ref="C2568">NPV(B2568,FCFF!$C$9:$I$9)+FCFF!$B$9+FCFF!$I$9*(1+Inputs!$B$6)/(B2568-Inputs!$B$6)/(1+B2568)^7</f>
        <v>-1215.694859</v>
      </c>
    </row>
    <row r="2569" ht="14.25" customHeight="1">
      <c r="A2569" s="7">
        <v>2556.0</v>
      </c>
      <c r="B2569" s="14">
        <f t="shared" si="1"/>
        <v>0.1254237561</v>
      </c>
      <c r="C2569" s="39">
        <f t="array" ref="C2569">NPV(B2569,FCFF!$C$9:$I$9)+FCFF!$B$9+FCFF!$I$9*(1+Inputs!$B$6)/(B2569-Inputs!$B$6)/(1+B2569)^7</f>
        <v>-1907.663497</v>
      </c>
    </row>
    <row r="2570" ht="14.25" customHeight="1">
      <c r="A2570" s="7">
        <v>2557.0</v>
      </c>
      <c r="B2570" s="14">
        <f t="shared" si="1"/>
        <v>0.1328757034</v>
      </c>
      <c r="C2570" s="39">
        <f t="array" ref="C2570">NPV(B2570,FCFF!$C$9:$I$9)+FCFF!$B$9+FCFF!$I$9*(1+Inputs!$B$6)/(B2570-Inputs!$B$6)/(1+B2570)^7</f>
        <v>-2009.918411</v>
      </c>
    </row>
    <row r="2571" ht="14.25" customHeight="1">
      <c r="A2571" s="7">
        <v>2558.0</v>
      </c>
      <c r="B2571" s="14">
        <f t="shared" si="1"/>
        <v>0.1253734172</v>
      </c>
      <c r="C2571" s="39">
        <f t="array" ref="C2571">NPV(B2571,FCFF!$C$9:$I$9)+FCFF!$B$9+FCFF!$I$9*(1+Inputs!$B$6)/(B2571-Inputs!$B$6)/(1+B2571)^7</f>
        <v>-1906.913982</v>
      </c>
    </row>
    <row r="2572" ht="14.25" customHeight="1">
      <c r="A2572" s="7">
        <v>2559.0</v>
      </c>
      <c r="B2572" s="14">
        <f t="shared" si="1"/>
        <v>0.1037622814</v>
      </c>
      <c r="C2572" s="39">
        <f t="array" ref="C2572">NPV(B2572,FCFF!$C$9:$I$9)+FCFF!$B$9+FCFF!$I$9*(1+Inputs!$B$6)/(B2572-Inputs!$B$6)/(1+B2572)^7</f>
        <v>-1484.73103</v>
      </c>
    </row>
    <row r="2573" ht="14.25" customHeight="1">
      <c r="A2573" s="7">
        <v>2560.0</v>
      </c>
      <c r="B2573" s="14">
        <f t="shared" si="1"/>
        <v>0.09838185929</v>
      </c>
      <c r="C2573" s="39">
        <f t="array" ref="C2573">NPV(B2573,FCFF!$C$9:$I$9)+FCFF!$B$9+FCFF!$I$9*(1+Inputs!$B$6)/(B2573-Inputs!$B$6)/(1+B2573)^7</f>
        <v>-1336.788008</v>
      </c>
    </row>
    <row r="2574" ht="14.25" customHeight="1">
      <c r="A2574" s="7">
        <v>2561.0</v>
      </c>
      <c r="B2574" s="14">
        <f t="shared" si="1"/>
        <v>0.1213888476</v>
      </c>
      <c r="C2574" s="39">
        <f t="array" ref="C2574">NPV(B2574,FCFF!$C$9:$I$9)+FCFF!$B$9+FCFF!$I$9*(1+Inputs!$B$6)/(B2574-Inputs!$B$6)/(1+B2574)^7</f>
        <v>-1844.779377</v>
      </c>
    </row>
    <row r="2575" ht="14.25" customHeight="1">
      <c r="A2575" s="7">
        <v>2562.0</v>
      </c>
      <c r="B2575" s="14">
        <f t="shared" si="1"/>
        <v>0.1183270948</v>
      </c>
      <c r="C2575" s="39">
        <f t="array" ref="C2575">NPV(B2575,FCFF!$C$9:$I$9)+FCFF!$B$9+FCFF!$I$9*(1+Inputs!$B$6)/(B2575-Inputs!$B$6)/(1+B2575)^7</f>
        <v>-1792.976186</v>
      </c>
    </row>
    <row r="2576" ht="14.25" customHeight="1">
      <c r="A2576" s="7">
        <v>2563.0</v>
      </c>
      <c r="B2576" s="14">
        <f t="shared" si="1"/>
        <v>0.1260897909</v>
      </c>
      <c r="C2576" s="39">
        <f t="array" ref="C2576">NPV(B2576,FCFF!$C$9:$I$9)+FCFF!$B$9+FCFF!$I$9*(1+Inputs!$B$6)/(B2576-Inputs!$B$6)/(1+B2576)^7</f>
        <v>-1917.500997</v>
      </c>
    </row>
    <row r="2577" ht="14.25" customHeight="1">
      <c r="A2577" s="7">
        <v>2564.0</v>
      </c>
      <c r="B2577" s="14">
        <f t="shared" si="1"/>
        <v>0.09566264403</v>
      </c>
      <c r="C2577" s="39">
        <f t="array" ref="C2577">NPV(B2577,FCFF!$C$9:$I$9)+FCFF!$B$9+FCFF!$I$9*(1+Inputs!$B$6)/(B2577-Inputs!$B$6)/(1+B2577)^7</f>
        <v>-1252.753856</v>
      </c>
    </row>
    <row r="2578" ht="14.25" customHeight="1">
      <c r="A2578" s="7">
        <v>2565.0</v>
      </c>
      <c r="B2578" s="14">
        <f t="shared" si="1"/>
        <v>0.1013723408</v>
      </c>
      <c r="C2578" s="39">
        <f t="array" ref="C2578">NPV(B2578,FCFF!$C$9:$I$9)+FCFF!$B$9+FCFF!$I$9*(1+Inputs!$B$6)/(B2578-Inputs!$B$6)/(1+B2578)^7</f>
        <v>-1421.795448</v>
      </c>
    </row>
    <row r="2579" ht="14.25" customHeight="1">
      <c r="A2579" s="7">
        <v>2566.0</v>
      </c>
      <c r="B2579" s="14">
        <f t="shared" si="1"/>
        <v>0.09602601492</v>
      </c>
      <c r="C2579" s="39">
        <f t="array" ref="C2579">NPV(B2579,FCFF!$C$9:$I$9)+FCFF!$B$9+FCFF!$I$9*(1+Inputs!$B$6)/(B2579-Inputs!$B$6)/(1+B2579)^7</f>
        <v>-1264.383141</v>
      </c>
    </row>
    <row r="2580" ht="14.25" customHeight="1">
      <c r="A2580" s="7">
        <v>2567.0</v>
      </c>
      <c r="B2580" s="14">
        <f t="shared" si="1"/>
        <v>0.09794474977</v>
      </c>
      <c r="C2580" s="39">
        <f t="array" ref="C2580">NPV(B2580,FCFF!$C$9:$I$9)+FCFF!$B$9+FCFF!$I$9*(1+Inputs!$B$6)/(B2580-Inputs!$B$6)/(1+B2580)^7</f>
        <v>-1323.733089</v>
      </c>
    </row>
    <row r="2581" ht="14.25" customHeight="1">
      <c r="A2581" s="7">
        <v>2568.0</v>
      </c>
      <c r="B2581" s="14">
        <f t="shared" si="1"/>
        <v>0.1196372141</v>
      </c>
      <c r="C2581" s="39">
        <f t="array" ref="C2581">NPV(B2581,FCFF!$C$9:$I$9)+FCFF!$B$9+FCFF!$I$9*(1+Inputs!$B$6)/(B2581-Inputs!$B$6)/(1+B2581)^7</f>
        <v>-1815.601107</v>
      </c>
    </row>
    <row r="2582" ht="14.25" customHeight="1">
      <c r="A2582" s="7">
        <v>2569.0</v>
      </c>
      <c r="B2582" s="14">
        <f t="shared" si="1"/>
        <v>0.1219158486</v>
      </c>
      <c r="C2582" s="39">
        <f t="array" ref="C2582">NPV(B2582,FCFF!$C$9:$I$9)+FCFF!$B$9+FCFF!$I$9*(1+Inputs!$B$6)/(B2582-Inputs!$B$6)/(1+B2582)^7</f>
        <v>-1853.327195</v>
      </c>
    </row>
    <row r="2583" ht="14.25" customHeight="1">
      <c r="A2583" s="7">
        <v>2570.0</v>
      </c>
      <c r="B2583" s="14">
        <f t="shared" si="1"/>
        <v>0.1061728487</v>
      </c>
      <c r="C2583" s="39">
        <f t="array" ref="C2583">NPV(B2583,FCFF!$C$9:$I$9)+FCFF!$B$9+FCFF!$I$9*(1+Inputs!$B$6)/(B2583-Inputs!$B$6)/(1+B2583)^7</f>
        <v>-1544.145969</v>
      </c>
    </row>
    <row r="2584" ht="14.25" customHeight="1">
      <c r="A2584" s="7">
        <v>2571.0</v>
      </c>
      <c r="B2584" s="14">
        <f t="shared" si="1"/>
        <v>0.1141941574</v>
      </c>
      <c r="C2584" s="39">
        <f t="array" ref="C2584">NPV(B2584,FCFF!$C$9:$I$9)+FCFF!$B$9+FCFF!$I$9*(1+Inputs!$B$6)/(B2584-Inputs!$B$6)/(1+B2584)^7</f>
        <v>-1716.740025</v>
      </c>
    </row>
    <row r="2585" ht="14.25" customHeight="1">
      <c r="A2585" s="7">
        <v>2572.0</v>
      </c>
      <c r="B2585" s="14">
        <f t="shared" si="1"/>
        <v>0.09518788266</v>
      </c>
      <c r="C2585" s="39">
        <f t="array" ref="C2585">NPV(B2585,FCFF!$C$9:$I$9)+FCFF!$B$9+FCFF!$I$9*(1+Inputs!$B$6)/(B2585-Inputs!$B$6)/(1+B2585)^7</f>
        <v>-1237.365298</v>
      </c>
    </row>
    <row r="2586" ht="14.25" customHeight="1">
      <c r="A2586" s="7">
        <v>2573.0</v>
      </c>
      <c r="B2586" s="14">
        <f t="shared" si="1"/>
        <v>0.1231508783</v>
      </c>
      <c r="C2586" s="39">
        <f t="array" ref="C2586">NPV(B2586,FCFF!$C$9:$I$9)+FCFF!$B$9+FCFF!$I$9*(1+Inputs!$B$6)/(B2586-Inputs!$B$6)/(1+B2586)^7</f>
        <v>-1872.955998</v>
      </c>
    </row>
    <row r="2587" ht="14.25" customHeight="1">
      <c r="A2587" s="7">
        <v>2574.0</v>
      </c>
      <c r="B2587" s="14">
        <f t="shared" si="1"/>
        <v>0.1235324055</v>
      </c>
      <c r="C2587" s="39">
        <f t="array" ref="C2587">NPV(B2587,FCFF!$C$9:$I$9)+FCFF!$B$9+FCFF!$I$9*(1+Inputs!$B$6)/(B2587-Inputs!$B$6)/(1+B2587)^7</f>
        <v>-1878.908057</v>
      </c>
    </row>
    <row r="2588" ht="14.25" customHeight="1">
      <c r="A2588" s="7">
        <v>2575.0</v>
      </c>
      <c r="B2588" s="14">
        <f t="shared" si="1"/>
        <v>0.1277180604</v>
      </c>
      <c r="C2588" s="39">
        <f t="array" ref="C2588">NPV(B2588,FCFF!$C$9:$I$9)+FCFF!$B$9+FCFF!$I$9*(1+Inputs!$B$6)/(B2588-Inputs!$B$6)/(1+B2588)^7</f>
        <v>-1940.944182</v>
      </c>
    </row>
    <row r="2589" ht="14.25" customHeight="1">
      <c r="A2589" s="7">
        <v>2576.0</v>
      </c>
      <c r="B2589" s="14">
        <f t="shared" si="1"/>
        <v>0.1212700963</v>
      </c>
      <c r="C2589" s="39">
        <f t="array" ref="C2589">NPV(B2589,FCFF!$C$9:$I$9)+FCFF!$B$9+FCFF!$I$9*(1+Inputs!$B$6)/(B2589-Inputs!$B$6)/(1+B2589)^7</f>
        <v>-1842.838776</v>
      </c>
    </row>
    <row r="2590" ht="14.25" customHeight="1">
      <c r="A2590" s="7">
        <v>2577.0</v>
      </c>
      <c r="B2590" s="14">
        <f t="shared" si="1"/>
        <v>0.1262788269</v>
      </c>
      <c r="C2590" s="39">
        <f t="array" ref="C2590">NPV(B2590,FCFF!$C$9:$I$9)+FCFF!$B$9+FCFF!$I$9*(1+Inputs!$B$6)/(B2590-Inputs!$B$6)/(1+B2590)^7</f>
        <v>-1920.266471</v>
      </c>
    </row>
    <row r="2591" ht="14.25" customHeight="1">
      <c r="A2591" s="7">
        <v>2578.0</v>
      </c>
      <c r="B2591" s="14">
        <f t="shared" si="1"/>
        <v>0.1121688509</v>
      </c>
      <c r="C2591" s="39">
        <f t="array" ref="C2591">NPV(B2591,FCFF!$C$9:$I$9)+FCFF!$B$9+FCFF!$I$9*(1+Inputs!$B$6)/(B2591-Inputs!$B$6)/(1+B2591)^7</f>
        <v>-1676.449999</v>
      </c>
    </row>
    <row r="2592" ht="14.25" customHeight="1">
      <c r="A2592" s="7">
        <v>2579.0</v>
      </c>
      <c r="B2592" s="14">
        <f t="shared" si="1"/>
        <v>0.1091035262</v>
      </c>
      <c r="C2592" s="39">
        <f t="array" ref="C2592">NPV(B2592,FCFF!$C$9:$I$9)+FCFF!$B$9+FCFF!$I$9*(1+Inputs!$B$6)/(B2592-Inputs!$B$6)/(1+B2592)^7</f>
        <v>-1611.394466</v>
      </c>
    </row>
    <row r="2593" ht="14.25" customHeight="1">
      <c r="A2593" s="7">
        <v>2580.0</v>
      </c>
      <c r="B2593" s="14">
        <f t="shared" si="1"/>
        <v>0.1328474721</v>
      </c>
      <c r="C2593" s="39">
        <f t="array" ref="C2593">NPV(B2593,FCFF!$C$9:$I$9)+FCFF!$B$9+FCFF!$I$9*(1+Inputs!$B$6)/(B2593-Inputs!$B$6)/(1+B2593)^7</f>
        <v>-2009.561328</v>
      </c>
    </row>
    <row r="2594" ht="14.25" customHeight="1">
      <c r="A2594" s="7">
        <v>2581.0</v>
      </c>
      <c r="B2594" s="14">
        <f t="shared" si="1"/>
        <v>0.1079519371</v>
      </c>
      <c r="C2594" s="39">
        <f t="array" ref="C2594">NPV(B2594,FCFF!$C$9:$I$9)+FCFF!$B$9+FCFF!$I$9*(1+Inputs!$B$6)/(B2594-Inputs!$B$6)/(1+B2594)^7</f>
        <v>-1585.588843</v>
      </c>
    </row>
    <row r="2595" ht="14.25" customHeight="1">
      <c r="A2595" s="7">
        <v>2582.0</v>
      </c>
      <c r="B2595" s="14">
        <f t="shared" si="1"/>
        <v>0.1281958133</v>
      </c>
      <c r="C2595" s="39">
        <f t="array" ref="C2595">NPV(B2595,FCFF!$C$9:$I$9)+FCFF!$B$9+FCFF!$I$9*(1+Inputs!$B$6)/(B2595-Inputs!$B$6)/(1+B2595)^7</f>
        <v>-1947.663743</v>
      </c>
    </row>
    <row r="2596" ht="14.25" customHeight="1">
      <c r="A2596" s="7">
        <v>2583.0</v>
      </c>
      <c r="B2596" s="14">
        <f t="shared" si="1"/>
        <v>0.09317993237</v>
      </c>
      <c r="C2596" s="39">
        <f t="array" ref="C2596">NPV(B2596,FCFF!$C$9:$I$9)+FCFF!$B$9+FCFF!$I$9*(1+Inputs!$B$6)/(B2596-Inputs!$B$6)/(1+B2596)^7</f>
        <v>-1169.7438</v>
      </c>
    </row>
    <row r="2597" ht="14.25" customHeight="1">
      <c r="A2597" s="7">
        <v>2584.0</v>
      </c>
      <c r="B2597" s="14">
        <f t="shared" si="1"/>
        <v>0.1149345743</v>
      </c>
      <c r="C2597" s="39">
        <f t="array" ref="C2597">NPV(B2597,FCFF!$C$9:$I$9)+FCFF!$B$9+FCFF!$I$9*(1+Inputs!$B$6)/(B2597-Inputs!$B$6)/(1+B2597)^7</f>
        <v>-1730.969643</v>
      </c>
    </row>
    <row r="2598" ht="14.25" customHeight="1">
      <c r="A2598" s="7">
        <v>2585.0</v>
      </c>
      <c r="B2598" s="14">
        <f t="shared" si="1"/>
        <v>0.1217671752</v>
      </c>
      <c r="C2598" s="39">
        <f t="array" ref="C2598">NPV(B2598,FCFF!$C$9:$I$9)+FCFF!$B$9+FCFF!$I$9*(1+Inputs!$B$6)/(B2598-Inputs!$B$6)/(1+B2598)^7</f>
        <v>-1850.926321</v>
      </c>
    </row>
    <row r="2599" ht="14.25" customHeight="1">
      <c r="A2599" s="7">
        <v>2586.0</v>
      </c>
      <c r="B2599" s="14">
        <f t="shared" si="1"/>
        <v>0.09846540228</v>
      </c>
      <c r="C2599" s="39">
        <f t="array" ref="C2599">NPV(B2599,FCFF!$C$9:$I$9)+FCFF!$B$9+FCFF!$I$9*(1+Inputs!$B$6)/(B2599-Inputs!$B$6)/(1+B2599)^7</f>
        <v>-1339.264132</v>
      </c>
    </row>
    <row r="2600" ht="14.25" customHeight="1">
      <c r="A2600" s="7">
        <v>2587.0</v>
      </c>
      <c r="B2600" s="14">
        <f t="shared" si="1"/>
        <v>0.1227532364</v>
      </c>
      <c r="C2600" s="39">
        <f t="array" ref="C2600">NPV(B2600,FCFF!$C$9:$I$9)+FCFF!$B$9+FCFF!$I$9*(1+Inputs!$B$6)/(B2600-Inputs!$B$6)/(1+B2600)^7</f>
        <v>-1866.696917</v>
      </c>
    </row>
    <row r="2601" ht="14.25" customHeight="1">
      <c r="A2601" s="7">
        <v>2588.0</v>
      </c>
      <c r="B2601" s="14">
        <f t="shared" si="1"/>
        <v>0.1119273551</v>
      </c>
      <c r="C2601" s="39">
        <f t="array" ref="C2601">NPV(B2601,FCFF!$C$9:$I$9)+FCFF!$B$9+FCFF!$I$9*(1+Inputs!$B$6)/(B2601-Inputs!$B$6)/(1+B2601)^7</f>
        <v>-1671.50757</v>
      </c>
    </row>
    <row r="2602" ht="14.25" customHeight="1">
      <c r="A2602" s="7">
        <v>2589.0</v>
      </c>
      <c r="B2602" s="14">
        <f t="shared" si="1"/>
        <v>0.1013908583</v>
      </c>
      <c r="C2602" s="39">
        <f t="array" ref="C2602">NPV(B2602,FCFF!$C$9:$I$9)+FCFF!$B$9+FCFF!$I$9*(1+Inputs!$B$6)/(B2602-Inputs!$B$6)/(1+B2602)^7</f>
        <v>-1422.299475</v>
      </c>
    </row>
    <row r="2603" ht="14.25" customHeight="1">
      <c r="A2603" s="7">
        <v>2590.0</v>
      </c>
      <c r="B2603" s="14">
        <f t="shared" si="1"/>
        <v>0.1051924796</v>
      </c>
      <c r="C2603" s="39">
        <f t="array" ref="C2603">NPV(B2603,FCFF!$C$9:$I$9)+FCFF!$B$9+FCFF!$I$9*(1+Inputs!$B$6)/(B2603-Inputs!$B$6)/(1+B2603)^7</f>
        <v>-1520.450789</v>
      </c>
    </row>
    <row r="2604" ht="14.25" customHeight="1">
      <c r="A2604" s="7">
        <v>2591.0</v>
      </c>
      <c r="B2604" s="14">
        <f t="shared" si="1"/>
        <v>0.1097797051</v>
      </c>
      <c r="C2604" s="39">
        <f t="array" ref="C2604">NPV(B2604,FCFF!$C$9:$I$9)+FCFF!$B$9+FCFF!$I$9*(1+Inputs!$B$6)/(B2604-Inputs!$B$6)/(1+B2604)^7</f>
        <v>-1626.189335</v>
      </c>
    </row>
    <row r="2605" ht="14.25" customHeight="1">
      <c r="A2605" s="7">
        <v>2592.0</v>
      </c>
      <c r="B2605" s="14">
        <f t="shared" si="1"/>
        <v>0.0930965047</v>
      </c>
      <c r="C2605" s="39">
        <f t="array" ref="C2605">NPV(B2605,FCFF!$C$9:$I$9)+FCFF!$B$9+FCFF!$I$9*(1+Inputs!$B$6)/(B2605-Inputs!$B$6)/(1+B2605)^7</f>
        <v>-1166.842035</v>
      </c>
    </row>
    <row r="2606" ht="14.25" customHeight="1">
      <c r="A2606" s="7">
        <v>2593.0</v>
      </c>
      <c r="B2606" s="14">
        <f t="shared" si="1"/>
        <v>0.09783965608</v>
      </c>
      <c r="C2606" s="39">
        <f t="array" ref="C2606">NPV(B2606,FCFF!$C$9:$I$9)+FCFF!$B$9+FCFF!$I$9*(1+Inputs!$B$6)/(B2606-Inputs!$B$6)/(1+B2606)^7</f>
        <v>-1320.569191</v>
      </c>
    </row>
    <row r="2607" ht="14.25" customHeight="1">
      <c r="A2607" s="7">
        <v>2594.0</v>
      </c>
      <c r="B2607" s="14">
        <f t="shared" si="1"/>
        <v>0.09733082248</v>
      </c>
      <c r="C2607" s="39">
        <f t="array" ref="C2607">NPV(B2607,FCFF!$C$9:$I$9)+FCFF!$B$9+FCFF!$I$9*(1+Inputs!$B$6)/(B2607-Inputs!$B$6)/(1+B2607)^7</f>
        <v>-1305.110767</v>
      </c>
    </row>
    <row r="2608" ht="14.25" customHeight="1">
      <c r="A2608" s="7">
        <v>2595.0</v>
      </c>
      <c r="B2608" s="14">
        <f t="shared" si="1"/>
        <v>0.1103523987</v>
      </c>
      <c r="C2608" s="39">
        <f t="array" ref="C2608">NPV(B2608,FCFF!$C$9:$I$9)+FCFF!$B$9+FCFF!$I$9*(1+Inputs!$B$6)/(B2608-Inputs!$B$6)/(1+B2608)^7</f>
        <v>-1638.518988</v>
      </c>
    </row>
    <row r="2609" ht="14.25" customHeight="1">
      <c r="A2609" s="7">
        <v>2596.0</v>
      </c>
      <c r="B2609" s="14">
        <f t="shared" si="1"/>
        <v>0.1090642713</v>
      </c>
      <c r="C2609" s="39">
        <f t="array" ref="C2609">NPV(B2609,FCFF!$C$9:$I$9)+FCFF!$B$9+FCFF!$I$9*(1+Inputs!$B$6)/(B2609-Inputs!$B$6)/(1+B2609)^7</f>
        <v>-1610.527552</v>
      </c>
    </row>
    <row r="2610" ht="14.25" customHeight="1">
      <c r="A2610" s="7">
        <v>2597.0</v>
      </c>
      <c r="B2610" s="14">
        <f t="shared" si="1"/>
        <v>0.1077014228</v>
      </c>
      <c r="C2610" s="39">
        <f t="array" ref="C2610">NPV(B2610,FCFF!$C$9:$I$9)+FCFF!$B$9+FCFF!$I$9*(1+Inputs!$B$6)/(B2610-Inputs!$B$6)/(1+B2610)^7</f>
        <v>-1579.870975</v>
      </c>
    </row>
    <row r="2611" ht="14.25" customHeight="1">
      <c r="A2611" s="7">
        <v>2598.0</v>
      </c>
      <c r="B2611" s="14">
        <f t="shared" si="1"/>
        <v>0.0965881562</v>
      </c>
      <c r="C2611" s="39">
        <f t="array" ref="C2611">NPV(B2611,FCFF!$C$9:$I$9)+FCFF!$B$9+FCFF!$I$9*(1+Inputs!$B$6)/(B2611-Inputs!$B$6)/(1+B2611)^7</f>
        <v>-1282.124769</v>
      </c>
    </row>
    <row r="2612" ht="14.25" customHeight="1">
      <c r="A2612" s="7">
        <v>2599.0</v>
      </c>
      <c r="B2612" s="14">
        <f t="shared" si="1"/>
        <v>0.1322565115</v>
      </c>
      <c r="C2612" s="39">
        <f t="array" ref="C2612">NPV(B2612,FCFF!$C$9:$I$9)+FCFF!$B$9+FCFF!$I$9*(1+Inputs!$B$6)/(B2612-Inputs!$B$6)/(1+B2612)^7</f>
        <v>-2002.037104</v>
      </c>
    </row>
    <row r="2613" ht="14.25" customHeight="1">
      <c r="A2613" s="7">
        <v>2600.0</v>
      </c>
      <c r="B2613" s="14">
        <f t="shared" si="1"/>
        <v>0.104280613</v>
      </c>
      <c r="C2613" s="39">
        <f t="array" ref="C2613">NPV(B2613,FCFF!$C$9:$I$9)+FCFF!$B$9+FCFF!$I$9*(1+Inputs!$B$6)/(B2613-Inputs!$B$6)/(1+B2613)^7</f>
        <v>-1497.838365</v>
      </c>
    </row>
    <row r="2614" ht="14.25" customHeight="1">
      <c r="A2614" s="7">
        <v>2601.0</v>
      </c>
      <c r="B2614" s="14">
        <f t="shared" si="1"/>
        <v>0.09958711504</v>
      </c>
      <c r="C2614" s="39">
        <f t="array" ref="C2614">NPV(B2614,FCFF!$C$9:$I$9)+FCFF!$B$9+FCFF!$I$9*(1+Inputs!$B$6)/(B2614-Inputs!$B$6)/(1+B2614)^7</f>
        <v>-1371.932747</v>
      </c>
    </row>
    <row r="2615" ht="14.25" customHeight="1">
      <c r="A2615" s="7">
        <v>2602.0</v>
      </c>
      <c r="B2615" s="14">
        <f t="shared" si="1"/>
        <v>0.129287323</v>
      </c>
      <c r="C2615" s="39">
        <f t="array" ref="C2615">NPV(B2615,FCFF!$C$9:$I$9)+FCFF!$B$9+FCFF!$I$9*(1+Inputs!$B$6)/(B2615-Inputs!$B$6)/(1+B2615)^7</f>
        <v>-1962.753663</v>
      </c>
    </row>
    <row r="2616" ht="14.25" customHeight="1">
      <c r="A2616" s="7">
        <v>2603.0</v>
      </c>
      <c r="B2616" s="14">
        <f t="shared" si="1"/>
        <v>0.1224824765</v>
      </c>
      <c r="C2616" s="39">
        <f t="array" ref="C2616">NPV(B2616,FCFF!$C$9:$I$9)+FCFF!$B$9+FCFF!$I$9*(1+Inputs!$B$6)/(B2616-Inputs!$B$6)/(1+B2616)^7</f>
        <v>-1862.402174</v>
      </c>
    </row>
    <row r="2617" ht="14.25" customHeight="1">
      <c r="A2617" s="7">
        <v>2604.0</v>
      </c>
      <c r="B2617" s="14">
        <f t="shared" si="1"/>
        <v>0.1169598737</v>
      </c>
      <c r="C2617" s="39">
        <f t="array" ref="C2617">NPV(B2617,FCFF!$C$9:$I$9)+FCFF!$B$9+FCFF!$I$9*(1+Inputs!$B$6)/(B2617-Inputs!$B$6)/(1+B2617)^7</f>
        <v>-1768.598062</v>
      </c>
    </row>
    <row r="2618" ht="14.25" customHeight="1">
      <c r="A2618" s="7">
        <v>2605.0</v>
      </c>
      <c r="B2618" s="14">
        <f t="shared" si="1"/>
        <v>0.1028628698</v>
      </c>
      <c r="C2618" s="39">
        <f t="array" ref="C2618">NPV(B2618,FCFF!$C$9:$I$9)+FCFF!$B$9+FCFF!$I$9*(1+Inputs!$B$6)/(B2618-Inputs!$B$6)/(1+B2618)^7</f>
        <v>-1461.537381</v>
      </c>
    </row>
    <row r="2619" ht="14.25" customHeight="1">
      <c r="A2619" s="7">
        <v>2606.0</v>
      </c>
      <c r="B2619" s="14">
        <f t="shared" si="1"/>
        <v>0.09485117209</v>
      </c>
      <c r="C2619" s="39">
        <f t="array" ref="C2619">NPV(B2619,FCFF!$C$9:$I$9)+FCFF!$B$9+FCFF!$I$9*(1+Inputs!$B$6)/(B2619-Inputs!$B$6)/(1+B2619)^7</f>
        <v>-1226.315704</v>
      </c>
    </row>
    <row r="2620" ht="14.25" customHeight="1">
      <c r="A2620" s="7">
        <v>2607.0</v>
      </c>
      <c r="B2620" s="14">
        <f t="shared" si="1"/>
        <v>0.09696857686</v>
      </c>
      <c r="C2620" s="39">
        <f t="array" ref="C2620">NPV(B2620,FCFF!$C$9:$I$9)+FCFF!$B$9+FCFF!$I$9*(1+Inputs!$B$6)/(B2620-Inputs!$B$6)/(1+B2620)^7</f>
        <v>-1293.962621</v>
      </c>
    </row>
    <row r="2621" ht="14.25" customHeight="1">
      <c r="A2621" s="7">
        <v>2608.0</v>
      </c>
      <c r="B2621" s="14">
        <f t="shared" si="1"/>
        <v>0.1206344636</v>
      </c>
      <c r="C2621" s="39">
        <f t="array" ref="C2621">NPV(B2621,FCFF!$C$9:$I$9)+FCFF!$B$9+FCFF!$I$9*(1+Inputs!$B$6)/(B2621-Inputs!$B$6)/(1+B2621)^7</f>
        <v>-1832.359626</v>
      </c>
    </row>
    <row r="2622" ht="14.25" customHeight="1">
      <c r="A2622" s="7">
        <v>2609.0</v>
      </c>
      <c r="B2622" s="14">
        <f t="shared" si="1"/>
        <v>0.1257191231</v>
      </c>
      <c r="C2622" s="39">
        <f t="array" ref="C2622">NPV(B2622,FCFF!$C$9:$I$9)+FCFF!$B$9+FCFF!$I$9*(1+Inputs!$B$6)/(B2622-Inputs!$B$6)/(1+B2622)^7</f>
        <v>-1912.044284</v>
      </c>
    </row>
    <row r="2623" ht="14.25" customHeight="1">
      <c r="A2623" s="7">
        <v>2610.0</v>
      </c>
      <c r="B2623" s="14">
        <f t="shared" si="1"/>
        <v>0.09750908637</v>
      </c>
      <c r="C2623" s="39">
        <f t="array" ref="C2623">NPV(B2623,FCFF!$C$9:$I$9)+FCFF!$B$9+FCFF!$I$9*(1+Inputs!$B$6)/(B2623-Inputs!$B$6)/(1+B2623)^7</f>
        <v>-1310.552964</v>
      </c>
    </row>
    <row r="2624" ht="14.25" customHeight="1">
      <c r="A2624" s="7">
        <v>2611.0</v>
      </c>
      <c r="B2624" s="14">
        <f t="shared" si="1"/>
        <v>0.1159775988</v>
      </c>
      <c r="C2624" s="39">
        <f t="array" ref="C2624">NPV(B2624,FCFF!$C$9:$I$9)+FCFF!$B$9+FCFF!$I$9*(1+Inputs!$B$6)/(B2624-Inputs!$B$6)/(1+B2624)^7</f>
        <v>-1750.580258</v>
      </c>
    </row>
    <row r="2625" ht="14.25" customHeight="1">
      <c r="A2625" s="7">
        <v>2612.0</v>
      </c>
      <c r="B2625" s="14">
        <f t="shared" si="1"/>
        <v>0.1204273667</v>
      </c>
      <c r="C2625" s="39">
        <f t="array" ref="C2625">NPV(B2625,FCFF!$C$9:$I$9)+FCFF!$B$9+FCFF!$I$9*(1+Inputs!$B$6)/(B2625-Inputs!$B$6)/(1+B2625)^7</f>
        <v>-1828.911629</v>
      </c>
    </row>
    <row r="2626" ht="14.25" customHeight="1">
      <c r="A2626" s="7">
        <v>2613.0</v>
      </c>
      <c r="B2626" s="14">
        <f t="shared" si="1"/>
        <v>0.09889147317</v>
      </c>
      <c r="C2626" s="39">
        <f t="array" ref="C2626">NPV(B2626,FCFF!$C$9:$I$9)+FCFF!$B$9+FCFF!$I$9*(1+Inputs!$B$6)/(B2626-Inputs!$B$6)/(1+B2626)^7</f>
        <v>-1351.798742</v>
      </c>
    </row>
    <row r="2627" ht="14.25" customHeight="1">
      <c r="A2627" s="7">
        <v>2614.0</v>
      </c>
      <c r="B2627" s="14">
        <f t="shared" si="1"/>
        <v>0.09989333549</v>
      </c>
      <c r="C2627" s="39">
        <f t="array" ref="C2627">NPV(B2627,FCFF!$C$9:$I$9)+FCFF!$B$9+FCFF!$I$9*(1+Inputs!$B$6)/(B2627-Inputs!$B$6)/(1+B2627)^7</f>
        <v>-1380.668022</v>
      </c>
    </row>
    <row r="2628" ht="14.25" customHeight="1">
      <c r="A2628" s="7">
        <v>2615.0</v>
      </c>
      <c r="B2628" s="14">
        <f t="shared" si="1"/>
        <v>0.0958948703</v>
      </c>
      <c r="C2628" s="39">
        <f t="array" ref="C2628">NPV(B2628,FCFF!$C$9:$I$9)+FCFF!$B$9+FCFF!$I$9*(1+Inputs!$B$6)/(B2628-Inputs!$B$6)/(1+B2628)^7</f>
        <v>-1260.200727</v>
      </c>
    </row>
    <row r="2629" ht="14.25" customHeight="1">
      <c r="A2629" s="7">
        <v>2616.0</v>
      </c>
      <c r="B2629" s="14">
        <f t="shared" si="1"/>
        <v>0.1123405783</v>
      </c>
      <c r="C2629" s="39">
        <f t="array" ref="C2629">NPV(B2629,FCFF!$C$9:$I$9)+FCFF!$B$9+FCFF!$I$9*(1+Inputs!$B$6)/(B2629-Inputs!$B$6)/(1+B2629)^7</f>
        <v>-1679.946245</v>
      </c>
    </row>
    <row r="2630" ht="14.25" customHeight="1">
      <c r="A2630" s="7">
        <v>2617.0</v>
      </c>
      <c r="B2630" s="14">
        <f t="shared" si="1"/>
        <v>0.1168557917</v>
      </c>
      <c r="C2630" s="39">
        <f t="array" ref="C2630">NPV(B2630,FCFF!$C$9:$I$9)+FCFF!$B$9+FCFF!$I$9*(1+Inputs!$B$6)/(B2630-Inputs!$B$6)/(1+B2630)^7</f>
        <v>-1766.709157</v>
      </c>
    </row>
    <row r="2631" ht="14.25" customHeight="1">
      <c r="A2631" s="7">
        <v>2618.0</v>
      </c>
      <c r="B2631" s="14">
        <f t="shared" si="1"/>
        <v>0.1055138027</v>
      </c>
      <c r="C2631" s="39">
        <f t="array" ref="C2631">NPV(B2631,FCFF!$C$9:$I$9)+FCFF!$B$9+FCFF!$I$9*(1+Inputs!$B$6)/(B2631-Inputs!$B$6)/(1+B2631)^7</f>
        <v>-1528.286282</v>
      </c>
    </row>
    <row r="2632" ht="14.25" customHeight="1">
      <c r="A2632" s="7">
        <v>2619.0</v>
      </c>
      <c r="B2632" s="14">
        <f t="shared" si="1"/>
        <v>0.1218678706</v>
      </c>
      <c r="C2632" s="39">
        <f t="array" ref="C2632">NPV(B2632,FCFF!$C$9:$I$9)+FCFF!$B$9+FCFF!$I$9*(1+Inputs!$B$6)/(B2632-Inputs!$B$6)/(1+B2632)^7</f>
        <v>-1852.553318</v>
      </c>
    </row>
    <row r="2633" ht="14.25" customHeight="1">
      <c r="A2633" s="7">
        <v>2620.0</v>
      </c>
      <c r="B2633" s="14">
        <f t="shared" si="1"/>
        <v>0.1053019167</v>
      </c>
      <c r="C2633" s="39">
        <f t="array" ref="C2633">NPV(B2633,FCFF!$C$9:$I$9)+FCFF!$B$9+FCFF!$I$9*(1+Inputs!$B$6)/(B2633-Inputs!$B$6)/(1+B2633)^7</f>
        <v>-1523.127086</v>
      </c>
    </row>
    <row r="2634" ht="14.25" customHeight="1">
      <c r="A2634" s="7">
        <v>2621.0</v>
      </c>
      <c r="B2634" s="14">
        <f t="shared" si="1"/>
        <v>0.1300779126</v>
      </c>
      <c r="C2634" s="39">
        <f t="array" ref="C2634">NPV(B2634,FCFF!$C$9:$I$9)+FCFF!$B$9+FCFF!$I$9*(1+Inputs!$B$6)/(B2634-Inputs!$B$6)/(1+B2634)^7</f>
        <v>-1973.460969</v>
      </c>
    </row>
    <row r="2635" ht="14.25" customHeight="1">
      <c r="A2635" s="7">
        <v>2622.0</v>
      </c>
      <c r="B2635" s="14">
        <f t="shared" si="1"/>
        <v>0.1216699141</v>
      </c>
      <c r="C2635" s="39">
        <f t="array" ref="C2635">NPV(B2635,FCFF!$C$9:$I$9)+FCFF!$B$9+FCFF!$I$9*(1+Inputs!$B$6)/(B2635-Inputs!$B$6)/(1+B2635)^7</f>
        <v>-1849.351205</v>
      </c>
    </row>
    <row r="2636" ht="14.25" customHeight="1">
      <c r="A2636" s="7">
        <v>2623.0</v>
      </c>
      <c r="B2636" s="14">
        <f t="shared" si="1"/>
        <v>0.1055903732</v>
      </c>
      <c r="C2636" s="39">
        <f t="array" ref="C2636">NPV(B2636,FCFF!$C$9:$I$9)+FCFF!$B$9+FCFF!$I$9*(1+Inputs!$B$6)/(B2636-Inputs!$B$6)/(1+B2636)^7</f>
        <v>-1530.143428</v>
      </c>
    </row>
    <row r="2637" ht="14.25" customHeight="1">
      <c r="A2637" s="7">
        <v>2624.0</v>
      </c>
      <c r="B2637" s="14">
        <f t="shared" si="1"/>
        <v>0.1134079478</v>
      </c>
      <c r="C2637" s="39">
        <f t="array" ref="C2637">NPV(B2637,FCFF!$C$9:$I$9)+FCFF!$B$9+FCFF!$I$9*(1+Inputs!$B$6)/(B2637-Inputs!$B$6)/(1+B2637)^7</f>
        <v>-1701.341623</v>
      </c>
    </row>
    <row r="2638" ht="14.25" customHeight="1">
      <c r="A2638" s="7">
        <v>2625.0</v>
      </c>
      <c r="B2638" s="14">
        <f t="shared" si="1"/>
        <v>0.1299060183</v>
      </c>
      <c r="C2638" s="39">
        <f t="array" ref="C2638">NPV(B2638,FCFF!$C$9:$I$9)+FCFF!$B$9+FCFF!$I$9*(1+Inputs!$B$6)/(B2638-Inputs!$B$6)/(1+B2638)^7</f>
        <v>-1971.148562</v>
      </c>
    </row>
    <row r="2639" ht="14.25" customHeight="1">
      <c r="A2639" s="7">
        <v>2626.0</v>
      </c>
      <c r="B2639" s="14">
        <f t="shared" si="1"/>
        <v>0.09517891302</v>
      </c>
      <c r="C2639" s="39">
        <f t="array" ref="C2639">NPV(B2639,FCFF!$C$9:$I$9)+FCFF!$B$9+FCFF!$I$9*(1+Inputs!$B$6)/(B2639-Inputs!$B$6)/(1+B2639)^7</f>
        <v>-1237.072418</v>
      </c>
    </row>
    <row r="2640" ht="14.25" customHeight="1">
      <c r="A2640" s="7">
        <v>2627.0</v>
      </c>
      <c r="B2640" s="14">
        <f t="shared" si="1"/>
        <v>0.1186669171</v>
      </c>
      <c r="C2640" s="39">
        <f t="array" ref="C2640">NPV(B2640,FCFF!$C$9:$I$9)+FCFF!$B$9+FCFF!$I$9*(1+Inputs!$B$6)/(B2640-Inputs!$B$6)/(1+B2640)^7</f>
        <v>-1798.912515</v>
      </c>
    </row>
    <row r="2641" ht="14.25" customHeight="1">
      <c r="A2641" s="7">
        <v>2628.0</v>
      </c>
      <c r="B2641" s="14">
        <f t="shared" si="1"/>
        <v>0.1297460773</v>
      </c>
      <c r="C2641" s="39">
        <f t="array" ref="C2641">NPV(B2641,FCFF!$C$9:$I$9)+FCFF!$B$9+FCFF!$I$9*(1+Inputs!$B$6)/(B2641-Inputs!$B$6)/(1+B2641)^7</f>
        <v>-1968.989189</v>
      </c>
    </row>
    <row r="2642" ht="14.25" customHeight="1">
      <c r="A2642" s="7">
        <v>2629.0</v>
      </c>
      <c r="B2642" s="14">
        <f t="shared" si="1"/>
        <v>0.121951698</v>
      </c>
      <c r="C2642" s="39">
        <f t="array" ref="C2642">NPV(B2642,FCFF!$C$9:$I$9)+FCFF!$B$9+FCFF!$I$9*(1+Inputs!$B$6)/(B2642-Inputs!$B$6)/(1+B2642)^7</f>
        <v>-1853.904878</v>
      </c>
    </row>
    <row r="2643" ht="14.25" customHeight="1">
      <c r="A2643" s="7">
        <v>2630.0</v>
      </c>
      <c r="B2643" s="14">
        <f t="shared" si="1"/>
        <v>0.1303699566</v>
      </c>
      <c r="C2643" s="39">
        <f t="array" ref="C2643">NPV(B2643,FCFF!$C$9:$I$9)+FCFF!$B$9+FCFF!$I$9*(1+Inputs!$B$6)/(B2643-Inputs!$B$6)/(1+B2643)^7</f>
        <v>-1977.36998</v>
      </c>
    </row>
    <row r="2644" ht="14.25" customHeight="1">
      <c r="A2644" s="7">
        <v>2631.0</v>
      </c>
      <c r="B2644" s="14">
        <f t="shared" si="1"/>
        <v>0.1243762156</v>
      </c>
      <c r="C2644" s="39">
        <f t="array" ref="C2644">NPV(B2644,FCFF!$C$9:$I$9)+FCFF!$B$9+FCFF!$I$9*(1+Inputs!$B$6)/(B2644-Inputs!$B$6)/(1+B2644)^7</f>
        <v>-1891.889492</v>
      </c>
    </row>
    <row r="2645" ht="14.25" customHeight="1">
      <c r="A2645" s="7">
        <v>2632.0</v>
      </c>
      <c r="B2645" s="14">
        <f t="shared" si="1"/>
        <v>0.1133741871</v>
      </c>
      <c r="C2645" s="39">
        <f t="array" ref="C2645">NPV(B2645,FCFF!$C$9:$I$9)+FCFF!$B$9+FCFF!$I$9*(1+Inputs!$B$6)/(B2645-Inputs!$B$6)/(1+B2645)^7</f>
        <v>-1700.67362</v>
      </c>
    </row>
    <row r="2646" ht="14.25" customHeight="1">
      <c r="A2646" s="7">
        <v>2633.0</v>
      </c>
      <c r="B2646" s="14">
        <f t="shared" si="1"/>
        <v>0.1243134028</v>
      </c>
      <c r="C2646" s="39">
        <f t="array" ref="C2646">NPV(B2646,FCFF!$C$9:$I$9)+FCFF!$B$9+FCFF!$I$9*(1+Inputs!$B$6)/(B2646-Inputs!$B$6)/(1+B2646)^7</f>
        <v>-1890.931717</v>
      </c>
    </row>
    <row r="2647" ht="14.25" customHeight="1">
      <c r="A2647" s="7">
        <v>2634.0</v>
      </c>
      <c r="B2647" s="14">
        <f t="shared" si="1"/>
        <v>0.1121138055</v>
      </c>
      <c r="C2647" s="39">
        <f t="array" ref="C2647">NPV(B2647,FCFF!$C$9:$I$9)+FCFF!$B$9+FCFF!$I$9*(1+Inputs!$B$6)/(B2647-Inputs!$B$6)/(1+B2647)^7</f>
        <v>-1675.326101</v>
      </c>
    </row>
    <row r="2648" ht="14.25" customHeight="1">
      <c r="A2648" s="7">
        <v>2635.0</v>
      </c>
      <c r="B2648" s="14">
        <f t="shared" si="1"/>
        <v>0.1292849119</v>
      </c>
      <c r="C2648" s="39">
        <f t="array" ref="C2648">NPV(B2648,FCFF!$C$9:$I$9)+FCFF!$B$9+FCFF!$I$9*(1+Inputs!$B$6)/(B2648-Inputs!$B$6)/(1+B2648)^7</f>
        <v>-1962.720725</v>
      </c>
    </row>
    <row r="2649" ht="14.25" customHeight="1">
      <c r="A2649" s="7">
        <v>2636.0</v>
      </c>
      <c r="B2649" s="14">
        <f t="shared" si="1"/>
        <v>0.1174814872</v>
      </c>
      <c r="C2649" s="39">
        <f t="array" ref="C2649">NPV(B2649,FCFF!$C$9:$I$9)+FCFF!$B$9+FCFF!$I$9*(1+Inputs!$B$6)/(B2649-Inputs!$B$6)/(1+B2649)^7</f>
        <v>-1777.993274</v>
      </c>
    </row>
    <row r="2650" ht="14.25" customHeight="1">
      <c r="A2650" s="7">
        <v>2637.0</v>
      </c>
      <c r="B2650" s="14">
        <f t="shared" si="1"/>
        <v>0.09375389836</v>
      </c>
      <c r="C2650" s="39">
        <f t="array" ref="C2650">NPV(B2650,FCFF!$C$9:$I$9)+FCFF!$B$9+FCFF!$I$9*(1+Inputs!$B$6)/(B2650-Inputs!$B$6)/(1+B2650)^7</f>
        <v>-1189.503827</v>
      </c>
    </row>
    <row r="2651" ht="14.25" customHeight="1">
      <c r="A2651" s="7">
        <v>2638.0</v>
      </c>
      <c r="B2651" s="14">
        <f t="shared" si="1"/>
        <v>0.1262281835</v>
      </c>
      <c r="C2651" s="39">
        <f t="array" ref="C2651">NPV(B2651,FCFF!$C$9:$I$9)+FCFF!$B$9+FCFF!$I$9*(1+Inputs!$B$6)/(B2651-Inputs!$B$6)/(1+B2651)^7</f>
        <v>-1919.526737</v>
      </c>
    </row>
    <row r="2652" ht="14.25" customHeight="1">
      <c r="A2652" s="7">
        <v>2639.0</v>
      </c>
      <c r="B2652" s="14">
        <f t="shared" si="1"/>
        <v>0.1010459157</v>
      </c>
      <c r="C2652" s="39">
        <f t="array" ref="C2652">NPV(B2652,FCFF!$C$9:$I$9)+FCFF!$B$9+FCFF!$I$9*(1+Inputs!$B$6)/(B2652-Inputs!$B$6)/(1+B2652)^7</f>
        <v>-1412.866892</v>
      </c>
    </row>
    <row r="2653" ht="14.25" customHeight="1">
      <c r="A2653" s="7">
        <v>2640.0</v>
      </c>
      <c r="B2653" s="14">
        <f t="shared" si="1"/>
        <v>0.09944958697</v>
      </c>
      <c r="C2653" s="39">
        <f t="array" ref="C2653">NPV(B2653,FCFF!$C$9:$I$9)+FCFF!$B$9+FCFF!$I$9*(1+Inputs!$B$6)/(B2653-Inputs!$B$6)/(1+B2653)^7</f>
        <v>-1367.984401</v>
      </c>
    </row>
    <row r="2654" ht="14.25" customHeight="1">
      <c r="A2654" s="7">
        <v>2641.0</v>
      </c>
      <c r="B2654" s="14">
        <f t="shared" si="1"/>
        <v>0.1159510887</v>
      </c>
      <c r="C2654" s="39">
        <f t="array" ref="C2654">NPV(B2654,FCFF!$C$9:$I$9)+FCFF!$B$9+FCFF!$I$9*(1+Inputs!$B$6)/(B2654-Inputs!$B$6)/(1+B2654)^7</f>
        <v>-1750.087997</v>
      </c>
    </row>
    <row r="2655" ht="14.25" customHeight="1">
      <c r="A2655" s="7">
        <v>2642.0</v>
      </c>
      <c r="B2655" s="14">
        <f t="shared" si="1"/>
        <v>0.1154192273</v>
      </c>
      <c r="C2655" s="39">
        <f t="array" ref="C2655">NPV(B2655,FCFF!$C$9:$I$9)+FCFF!$B$9+FCFF!$I$9*(1+Inputs!$B$6)/(B2655-Inputs!$B$6)/(1+B2655)^7</f>
        <v>-1740.144294</v>
      </c>
    </row>
    <row r="2656" ht="14.25" customHeight="1">
      <c r="A2656" s="7">
        <v>2643.0</v>
      </c>
      <c r="B2656" s="14">
        <f t="shared" si="1"/>
        <v>0.1098483523</v>
      </c>
      <c r="C2656" s="39">
        <f t="array" ref="C2656">NPV(B2656,FCFF!$C$9:$I$9)+FCFF!$B$9+FCFF!$I$9*(1+Inputs!$B$6)/(B2656-Inputs!$B$6)/(1+B2656)^7</f>
        <v>-1627.676892</v>
      </c>
    </row>
    <row r="2657" ht="14.25" customHeight="1">
      <c r="A2657" s="7">
        <v>2644.0</v>
      </c>
      <c r="B2657" s="14">
        <f t="shared" si="1"/>
        <v>0.1224780862</v>
      </c>
      <c r="C2657" s="39">
        <f t="array" ref="C2657">NPV(B2657,FCFF!$C$9:$I$9)+FCFF!$B$9+FCFF!$I$9*(1+Inputs!$B$6)/(B2657-Inputs!$B$6)/(1+B2657)^7</f>
        <v>-1862.332315</v>
      </c>
    </row>
    <row r="2658" ht="14.25" customHeight="1">
      <c r="A2658" s="7">
        <v>2645.0</v>
      </c>
      <c r="B2658" s="14">
        <f t="shared" si="1"/>
        <v>0.1151994089</v>
      </c>
      <c r="C2658" s="39">
        <f t="array" ref="C2658">NPV(B2658,FCFF!$C$9:$I$9)+FCFF!$B$9+FCFF!$I$9*(1+Inputs!$B$6)/(B2658-Inputs!$B$6)/(1+B2658)^7</f>
        <v>-1735.996587</v>
      </c>
    </row>
    <row r="2659" ht="14.25" customHeight="1">
      <c r="A2659" s="7">
        <v>2646.0</v>
      </c>
      <c r="B2659" s="14">
        <f t="shared" si="1"/>
        <v>0.1109897189</v>
      </c>
      <c r="C2659" s="39">
        <f t="array" ref="C2659">NPV(B2659,FCFF!$C$9:$I$9)+FCFF!$B$9+FCFF!$I$9*(1+Inputs!$B$6)/(B2659-Inputs!$B$6)/(1+B2659)^7</f>
        <v>-1652.028159</v>
      </c>
    </row>
    <row r="2660" ht="14.25" customHeight="1">
      <c r="A2660" s="7">
        <v>2647.0</v>
      </c>
      <c r="B2660" s="14">
        <f t="shared" si="1"/>
        <v>0.1283689928</v>
      </c>
      <c r="C2660" s="39">
        <f t="array" ref="C2660">NPV(B2660,FCFF!$C$9:$I$9)+FCFF!$B$9+FCFF!$I$9*(1+Inputs!$B$6)/(B2660-Inputs!$B$6)/(1+B2660)^7</f>
        <v>-1950.082096</v>
      </c>
    </row>
    <row r="2661" ht="14.25" customHeight="1">
      <c r="A2661" s="7">
        <v>2648.0</v>
      </c>
      <c r="B2661" s="14">
        <f t="shared" si="1"/>
        <v>0.1036343077</v>
      </c>
      <c r="C2661" s="39">
        <f t="array" ref="C2661">NPV(B2661,FCFF!$C$9:$I$9)+FCFF!$B$9+FCFF!$I$9*(1+Inputs!$B$6)/(B2661-Inputs!$B$6)/(1+B2661)^7</f>
        <v>-1481.466005</v>
      </c>
    </row>
    <row r="2662" ht="14.25" customHeight="1">
      <c r="A2662" s="7">
        <v>2649.0</v>
      </c>
      <c r="B2662" s="14">
        <f t="shared" si="1"/>
        <v>0.1044467899</v>
      </c>
      <c r="C2662" s="39">
        <f t="array" ref="C2662">NPV(B2662,FCFF!$C$9:$I$9)+FCFF!$B$9+FCFF!$I$9*(1+Inputs!$B$6)/(B2662-Inputs!$B$6)/(1+B2662)^7</f>
        <v>-1502.001262</v>
      </c>
    </row>
    <row r="2663" ht="14.25" customHeight="1">
      <c r="A2663" s="7">
        <v>2650.0</v>
      </c>
      <c r="B2663" s="14">
        <f t="shared" si="1"/>
        <v>0.09886514563</v>
      </c>
      <c r="C2663" s="39">
        <f t="array" ref="C2663">NPV(B2663,FCFF!$C$9:$I$9)+FCFF!$B$9+FCFF!$I$9*(1+Inputs!$B$6)/(B2663-Inputs!$B$6)/(1+B2663)^7</f>
        <v>-1351.02872</v>
      </c>
    </row>
    <row r="2664" ht="14.25" customHeight="1">
      <c r="A2664" s="7">
        <v>2651.0</v>
      </c>
      <c r="B2664" s="14">
        <f t="shared" si="1"/>
        <v>0.1287078167</v>
      </c>
      <c r="C2664" s="39">
        <f t="array" ref="C2664">NPV(B2664,FCFF!$C$9:$I$9)+FCFF!$B$9+FCFF!$I$9*(1+Inputs!$B$6)/(B2664-Inputs!$B$6)/(1+B2664)^7</f>
        <v>-1954.787052</v>
      </c>
    </row>
    <row r="2665" ht="14.25" customHeight="1">
      <c r="A2665" s="7">
        <v>2652.0</v>
      </c>
      <c r="B2665" s="14">
        <f t="shared" si="1"/>
        <v>0.1046321024</v>
      </c>
      <c r="C2665" s="39">
        <f t="array" ref="C2665">NPV(B2665,FCFF!$C$9:$I$9)+FCFF!$B$9+FCFF!$I$9*(1+Inputs!$B$6)/(B2665-Inputs!$B$6)/(1+B2665)^7</f>
        <v>-1506.621266</v>
      </c>
    </row>
    <row r="2666" ht="14.25" customHeight="1">
      <c r="A2666" s="7">
        <v>2653.0</v>
      </c>
      <c r="B2666" s="14">
        <f t="shared" si="1"/>
        <v>0.1283100355</v>
      </c>
      <c r="C2666" s="39">
        <f t="array" ref="C2666">NPV(B2666,FCFF!$C$9:$I$9)+FCFF!$B$9+FCFF!$I$9*(1+Inputs!$B$6)/(B2666-Inputs!$B$6)/(1+B2666)^7</f>
        <v>-1949.259824</v>
      </c>
    </row>
    <row r="2667" ht="14.25" customHeight="1">
      <c r="A2667" s="7">
        <v>2654.0</v>
      </c>
      <c r="B2667" s="14">
        <f t="shared" si="1"/>
        <v>0.1130589042</v>
      </c>
      <c r="C2667" s="39">
        <f t="array" ref="C2667">NPV(B2667,FCFF!$C$9:$I$9)+FCFF!$B$9+FCFF!$I$9*(1+Inputs!$B$6)/(B2667-Inputs!$B$6)/(1+B2667)^7</f>
        <v>-1694.408004</v>
      </c>
    </row>
    <row r="2668" ht="14.25" customHeight="1">
      <c r="A2668" s="7">
        <v>2655.0</v>
      </c>
      <c r="B2668" s="14">
        <f t="shared" si="1"/>
        <v>0.1046731901</v>
      </c>
      <c r="C2668" s="39">
        <f t="array" ref="C2668">NPV(B2668,FCFF!$C$9:$I$9)+FCFF!$B$9+FCFF!$I$9*(1+Inputs!$B$6)/(B2668-Inputs!$B$6)/(1+B2668)^7</f>
        <v>-1507.642453</v>
      </c>
    </row>
    <row r="2669" ht="14.25" customHeight="1">
      <c r="A2669" s="7">
        <v>2656.0</v>
      </c>
      <c r="B2669" s="14">
        <f t="shared" si="1"/>
        <v>0.1193399706</v>
      </c>
      <c r="C2669" s="39">
        <f t="array" ref="C2669">NPV(B2669,FCFF!$C$9:$I$9)+FCFF!$B$9+FCFF!$I$9*(1+Inputs!$B$6)/(B2669-Inputs!$B$6)/(1+B2669)^7</f>
        <v>-1810.529374</v>
      </c>
    </row>
    <row r="2670" ht="14.25" customHeight="1">
      <c r="A2670" s="7">
        <v>2657.0</v>
      </c>
      <c r="B2670" s="14">
        <f t="shared" si="1"/>
        <v>0.1097192282</v>
      </c>
      <c r="C2670" s="39">
        <f t="array" ref="C2670">NPV(B2670,FCFF!$C$9:$I$9)+FCFF!$B$9+FCFF!$I$9*(1+Inputs!$B$6)/(B2670-Inputs!$B$6)/(1+B2670)^7</f>
        <v>-1624.876636</v>
      </c>
    </row>
    <row r="2671" ht="14.25" customHeight="1">
      <c r="A2671" s="7">
        <v>2658.0</v>
      </c>
      <c r="B2671" s="14">
        <f t="shared" si="1"/>
        <v>0.1005183211</v>
      </c>
      <c r="C2671" s="39">
        <f t="array" ref="C2671">NPV(B2671,FCFF!$C$9:$I$9)+FCFF!$B$9+FCFF!$I$9*(1+Inputs!$B$6)/(B2671-Inputs!$B$6)/(1+B2671)^7</f>
        <v>-1398.259478</v>
      </c>
    </row>
    <row r="2672" ht="14.25" customHeight="1">
      <c r="A2672" s="7">
        <v>2659.0</v>
      </c>
      <c r="B2672" s="14">
        <f t="shared" si="1"/>
        <v>0.1039149614</v>
      </c>
      <c r="C2672" s="39">
        <f t="array" ref="C2672">NPV(B2672,FCFF!$C$9:$I$9)+FCFF!$B$9+FCFF!$I$9*(1+Inputs!$B$6)/(B2672-Inputs!$B$6)/(1+B2672)^7</f>
        <v>-1488.611356</v>
      </c>
    </row>
    <row r="2673" ht="14.25" customHeight="1">
      <c r="A2673" s="7">
        <v>2660.0</v>
      </c>
      <c r="B2673" s="14">
        <f t="shared" si="1"/>
        <v>0.1059640569</v>
      </c>
      <c r="C2673" s="39">
        <f t="array" ref="C2673">NPV(B2673,FCFF!$C$9:$I$9)+FCFF!$B$9+FCFF!$I$9*(1+Inputs!$B$6)/(B2673-Inputs!$B$6)/(1+B2673)^7</f>
        <v>-1539.151909</v>
      </c>
    </row>
    <row r="2674" ht="14.25" customHeight="1">
      <c r="A2674" s="7">
        <v>2661.0</v>
      </c>
      <c r="B2674" s="14">
        <f t="shared" si="1"/>
        <v>0.115099619</v>
      </c>
      <c r="C2674" s="39">
        <f t="array" ref="C2674">NPV(B2674,FCFF!$C$9:$I$9)+FCFF!$B$9+FCFF!$I$9*(1+Inputs!$B$6)/(B2674-Inputs!$B$6)/(1+B2674)^7</f>
        <v>-1734.106272</v>
      </c>
    </row>
    <row r="2675" ht="14.25" customHeight="1">
      <c r="A2675" s="7">
        <v>2662.0</v>
      </c>
      <c r="B2675" s="14">
        <f t="shared" si="1"/>
        <v>0.1083634358</v>
      </c>
      <c r="C2675" s="39">
        <f t="array" ref="C2675">NPV(B2675,FCFF!$C$9:$I$9)+FCFF!$B$9+FCFF!$I$9*(1+Inputs!$B$6)/(B2675-Inputs!$B$6)/(1+B2675)^7</f>
        <v>-1594.89959</v>
      </c>
    </row>
    <row r="2676" ht="14.25" customHeight="1">
      <c r="A2676" s="7">
        <v>2663.0</v>
      </c>
      <c r="B2676" s="14">
        <f t="shared" si="1"/>
        <v>0.1167865552</v>
      </c>
      <c r="C2676" s="39">
        <f t="array" ref="C2676">NPV(B2676,FCFF!$C$9:$I$9)+FCFF!$B$9+FCFF!$I$9*(1+Inputs!$B$6)/(B2676-Inputs!$B$6)/(1+B2676)^7</f>
        <v>-1765.45</v>
      </c>
    </row>
    <row r="2677" ht="14.25" customHeight="1">
      <c r="A2677" s="7">
        <v>2664.0</v>
      </c>
      <c r="B2677" s="14">
        <f t="shared" si="1"/>
        <v>0.1220468896</v>
      </c>
      <c r="C2677" s="39">
        <f t="array" ref="C2677">NPV(B2677,FCFF!$C$9:$I$9)+FCFF!$B$9+FCFF!$I$9*(1+Inputs!$B$6)/(B2677-Inputs!$B$6)/(1+B2677)^7</f>
        <v>-1855.436488</v>
      </c>
    </row>
    <row r="2678" ht="14.25" customHeight="1">
      <c r="A2678" s="7">
        <v>2665.0</v>
      </c>
      <c r="B2678" s="14">
        <f t="shared" si="1"/>
        <v>0.1035072624</v>
      </c>
      <c r="C2678" s="39">
        <f t="array" ref="C2678">NPV(B2678,FCFF!$C$9:$I$9)+FCFF!$B$9+FCFF!$I$9*(1+Inputs!$B$6)/(B2678-Inputs!$B$6)/(1+B2678)^7</f>
        <v>-1478.213243</v>
      </c>
    </row>
    <row r="2679" ht="14.25" customHeight="1">
      <c r="A2679" s="7">
        <v>2666.0</v>
      </c>
      <c r="B2679" s="14">
        <f t="shared" si="1"/>
        <v>0.1278508332</v>
      </c>
      <c r="C2679" s="39">
        <f t="array" ref="C2679">NPV(B2679,FCFF!$C$9:$I$9)+FCFF!$B$9+FCFF!$I$9*(1+Inputs!$B$6)/(B2679-Inputs!$B$6)/(1+B2679)^7</f>
        <v>-1942.81873</v>
      </c>
    </row>
    <row r="2680" ht="14.25" customHeight="1">
      <c r="A2680" s="7">
        <v>2667.0</v>
      </c>
      <c r="B2680" s="14">
        <f t="shared" si="1"/>
        <v>0.09745000733</v>
      </c>
      <c r="C2680" s="39">
        <f t="array" ref="C2680">NPV(B2680,FCFF!$C$9:$I$9)+FCFF!$B$9+FCFF!$I$9*(1+Inputs!$B$6)/(B2680-Inputs!$B$6)/(1+B2680)^7</f>
        <v>-1308.752533</v>
      </c>
    </row>
    <row r="2681" ht="14.25" customHeight="1">
      <c r="A2681" s="7">
        <v>2668.0</v>
      </c>
      <c r="B2681" s="14">
        <f t="shared" si="1"/>
        <v>0.1268680409</v>
      </c>
      <c r="C2681" s="39">
        <f t="array" ref="C2681">NPV(B2681,FCFF!$C$9:$I$9)+FCFF!$B$9+FCFF!$I$9*(1+Inputs!$B$6)/(B2681-Inputs!$B$6)/(1+B2681)^7</f>
        <v>-1928.811824</v>
      </c>
    </row>
    <row r="2682" ht="14.25" customHeight="1">
      <c r="A2682" s="7">
        <v>2669.0</v>
      </c>
      <c r="B2682" s="14">
        <f t="shared" si="1"/>
        <v>0.1018924634</v>
      </c>
      <c r="C2682" s="39">
        <f t="array" ref="C2682">NPV(B2682,FCFF!$C$9:$I$9)+FCFF!$B$9+FCFF!$I$9*(1+Inputs!$B$6)/(B2682-Inputs!$B$6)/(1+B2682)^7</f>
        <v>-1435.852882</v>
      </c>
    </row>
    <row r="2683" ht="14.25" customHeight="1">
      <c r="A2683" s="7">
        <v>2670.0</v>
      </c>
      <c r="B2683" s="14">
        <f t="shared" si="1"/>
        <v>0.1289650986</v>
      </c>
      <c r="C2683" s="39">
        <f t="array" ref="C2683">NPV(B2683,FCFF!$C$9:$I$9)+FCFF!$B$9+FCFF!$I$9*(1+Inputs!$B$6)/(B2683-Inputs!$B$6)/(1+B2683)^7</f>
        <v>-1958.336435</v>
      </c>
    </row>
    <row r="2684" ht="14.25" customHeight="1">
      <c r="A2684" s="7">
        <v>2671.0</v>
      </c>
      <c r="B2684" s="14">
        <f t="shared" si="1"/>
        <v>0.1276206427</v>
      </c>
      <c r="C2684" s="39">
        <f t="array" ref="C2684">NPV(B2684,FCFF!$C$9:$I$9)+FCFF!$B$9+FCFF!$I$9*(1+Inputs!$B$6)/(B2684-Inputs!$B$6)/(1+B2684)^7</f>
        <v>-1939.565292</v>
      </c>
    </row>
    <row r="2685" ht="14.25" customHeight="1">
      <c r="A2685" s="7">
        <v>2672.0</v>
      </c>
      <c r="B2685" s="14">
        <f t="shared" si="1"/>
        <v>0.1185282049</v>
      </c>
      <c r="C2685" s="39">
        <f t="array" ref="C2685">NPV(B2685,FCFF!$C$9:$I$9)+FCFF!$B$9+FCFF!$I$9*(1+Inputs!$B$6)/(B2685-Inputs!$B$6)/(1+B2685)^7</f>
        <v>-1796.495169</v>
      </c>
    </row>
    <row r="2686" ht="14.25" customHeight="1">
      <c r="A2686" s="7">
        <v>2673.0</v>
      </c>
      <c r="B2686" s="14">
        <f t="shared" si="1"/>
        <v>0.1116729291</v>
      </c>
      <c r="C2686" s="39">
        <f t="array" ref="C2686">NPV(B2686,FCFF!$C$9:$I$9)+FCFF!$B$9+FCFF!$I$9*(1+Inputs!$B$6)/(B2686-Inputs!$B$6)/(1+B2686)^7</f>
        <v>-1666.267701</v>
      </c>
    </row>
    <row r="2687" ht="14.25" customHeight="1">
      <c r="A2687" s="7">
        <v>2674.0</v>
      </c>
      <c r="B2687" s="14">
        <f t="shared" si="1"/>
        <v>0.1153608175</v>
      </c>
      <c r="C2687" s="39">
        <f t="array" ref="C2687">NPV(B2687,FCFF!$C$9:$I$9)+FCFF!$B$9+FCFF!$I$9*(1+Inputs!$B$6)/(B2687-Inputs!$B$6)/(1+B2687)^7</f>
        <v>-1739.044352</v>
      </c>
    </row>
    <row r="2688" ht="14.25" customHeight="1">
      <c r="A2688" s="7">
        <v>2675.0</v>
      </c>
      <c r="B2688" s="14">
        <f t="shared" si="1"/>
        <v>0.0944809633</v>
      </c>
      <c r="C2688" s="39">
        <f t="array" ref="C2688">NPV(B2688,FCFF!$C$9:$I$9)+FCFF!$B$9+FCFF!$I$9*(1+Inputs!$B$6)/(B2688-Inputs!$B$6)/(1+B2688)^7</f>
        <v>-1214.034605</v>
      </c>
    </row>
    <row r="2689" ht="14.25" customHeight="1">
      <c r="A2689" s="7">
        <v>2676.0</v>
      </c>
      <c r="B2689" s="14">
        <f t="shared" si="1"/>
        <v>0.1319435069</v>
      </c>
      <c r="C2689" s="39">
        <f t="array" ref="C2689">NPV(B2689,FCFF!$C$9:$I$9)+FCFF!$B$9+FCFF!$I$9*(1+Inputs!$B$6)/(B2689-Inputs!$B$6)/(1+B2689)^7</f>
        <v>-1998.013283</v>
      </c>
    </row>
    <row r="2690" ht="14.25" customHeight="1">
      <c r="A2690" s="7">
        <v>2677.0</v>
      </c>
      <c r="B2690" s="14">
        <f t="shared" si="1"/>
        <v>0.1010563131</v>
      </c>
      <c r="C2690" s="39">
        <f t="array" ref="C2690">NPV(B2690,FCFF!$C$9:$I$9)+FCFF!$B$9+FCFF!$I$9*(1+Inputs!$B$6)/(B2690-Inputs!$B$6)/(1+B2690)^7</f>
        <v>-1413.152566</v>
      </c>
    </row>
    <row r="2691" ht="14.25" customHeight="1">
      <c r="A2691" s="7">
        <v>2678.0</v>
      </c>
      <c r="B2691" s="14">
        <f t="shared" si="1"/>
        <v>0.101448314</v>
      </c>
      <c r="C2691" s="39">
        <f t="array" ref="C2691">NPV(B2691,FCFF!$C$9:$I$9)+FCFF!$B$9+FCFF!$I$9*(1+Inputs!$B$6)/(B2691-Inputs!$B$6)/(1+B2691)^7</f>
        <v>-1423.861688</v>
      </c>
    </row>
    <row r="2692" ht="14.25" customHeight="1">
      <c r="A2692" s="7">
        <v>2679.0</v>
      </c>
      <c r="B2692" s="14">
        <f t="shared" si="1"/>
        <v>0.1216760753</v>
      </c>
      <c r="C2692" s="39">
        <f t="array" ref="C2692">NPV(B2692,FCFF!$C$9:$I$9)+FCFF!$B$9+FCFF!$I$9*(1+Inputs!$B$6)/(B2692-Inputs!$B$6)/(1+B2692)^7</f>
        <v>-1849.451088</v>
      </c>
    </row>
    <row r="2693" ht="14.25" customHeight="1">
      <c r="A2693" s="7">
        <v>2680.0</v>
      </c>
      <c r="B2693" s="14">
        <f t="shared" si="1"/>
        <v>0.1191721491</v>
      </c>
      <c r="C2693" s="39">
        <f t="array" ref="C2693">NPV(B2693,FCFF!$C$9:$I$9)+FCFF!$B$9+FCFF!$I$9*(1+Inputs!$B$6)/(B2693-Inputs!$B$6)/(1+B2693)^7</f>
        <v>-1807.650122</v>
      </c>
    </row>
    <row r="2694" ht="14.25" customHeight="1">
      <c r="A2694" s="7">
        <v>2681.0</v>
      </c>
      <c r="B2694" s="14">
        <f t="shared" si="1"/>
        <v>0.09305966934</v>
      </c>
      <c r="C2694" s="39">
        <f t="array" ref="C2694">NPV(B2694,FCFF!$C$9:$I$9)+FCFF!$B$9+FCFF!$I$9*(1+Inputs!$B$6)/(B2694-Inputs!$B$6)/(1+B2694)^7</f>
        <v>-1165.558422</v>
      </c>
    </row>
    <row r="2695" ht="14.25" customHeight="1">
      <c r="A2695" s="7">
        <v>2682.0</v>
      </c>
      <c r="B2695" s="14">
        <f t="shared" si="1"/>
        <v>0.121736658</v>
      </c>
      <c r="C2695" s="39">
        <f t="array" ref="C2695">NPV(B2695,FCFF!$C$9:$I$9)+FCFF!$B$9+FCFF!$I$9*(1+Inputs!$B$6)/(B2695-Inputs!$B$6)/(1+B2695)^7</f>
        <v>-1850.432486</v>
      </c>
    </row>
    <row r="2696" ht="14.25" customHeight="1">
      <c r="A2696" s="7">
        <v>2683.0</v>
      </c>
      <c r="B2696" s="14">
        <f t="shared" si="1"/>
        <v>0.1259358392</v>
      </c>
      <c r="C2696" s="39">
        <f t="array" ref="C2696">NPV(B2696,FCFF!$C$9:$I$9)+FCFF!$B$9+FCFF!$I$9*(1+Inputs!$B$6)/(B2696-Inputs!$B$6)/(1+B2696)^7</f>
        <v>-1915.240128</v>
      </c>
    </row>
    <row r="2697" ht="14.25" customHeight="1">
      <c r="A2697" s="7">
        <v>2684.0</v>
      </c>
      <c r="B2697" s="14">
        <f t="shared" si="1"/>
        <v>0.1049408361</v>
      </c>
      <c r="C2697" s="39">
        <f t="array" ref="C2697">NPV(B2697,FCFF!$C$9:$I$9)+FCFF!$B$9+FCFF!$I$9*(1+Inputs!$B$6)/(B2697-Inputs!$B$6)/(1+B2697)^7</f>
        <v>-1514.266572</v>
      </c>
    </row>
    <row r="2698" ht="14.25" customHeight="1">
      <c r="A2698" s="7">
        <v>2685.0</v>
      </c>
      <c r="B2698" s="14">
        <f t="shared" si="1"/>
        <v>0.1009311348</v>
      </c>
      <c r="C2698" s="39">
        <f t="array" ref="C2698">NPV(B2698,FCFF!$C$9:$I$9)+FCFF!$B$9+FCFF!$I$9*(1+Inputs!$B$6)/(B2698-Inputs!$B$6)/(1+B2698)^7</f>
        <v>-1409.707631</v>
      </c>
    </row>
    <row r="2699" ht="14.25" customHeight="1">
      <c r="A2699" s="7">
        <v>2686.0</v>
      </c>
      <c r="B2699" s="14">
        <f t="shared" si="1"/>
        <v>0.1271177869</v>
      </c>
      <c r="C2699" s="39">
        <f t="array" ref="C2699">NPV(B2699,FCFF!$C$9:$I$9)+FCFF!$B$9+FCFF!$I$9*(1+Inputs!$B$6)/(B2699-Inputs!$B$6)/(1+B2699)^7</f>
        <v>-1932.400207</v>
      </c>
    </row>
    <row r="2700" ht="14.25" customHeight="1">
      <c r="A2700" s="7">
        <v>2687.0</v>
      </c>
      <c r="B2700" s="14">
        <f t="shared" si="1"/>
        <v>0.1117517165</v>
      </c>
      <c r="C2700" s="39">
        <f t="array" ref="C2700">NPV(B2700,FCFF!$C$9:$I$9)+FCFF!$B$9+FCFF!$I$9*(1+Inputs!$B$6)/(B2700-Inputs!$B$6)/(1+B2700)^7</f>
        <v>-1667.893934</v>
      </c>
    </row>
    <row r="2701" ht="14.25" customHeight="1">
      <c r="A2701" s="7">
        <v>2688.0</v>
      </c>
      <c r="B2701" s="14">
        <f t="shared" si="1"/>
        <v>0.09793372019</v>
      </c>
      <c r="C2701" s="39">
        <f t="array" ref="C2701">NPV(B2701,FCFF!$C$9:$I$9)+FCFF!$B$9+FCFF!$I$9*(1+Inputs!$B$6)/(B2701-Inputs!$B$6)/(1+B2701)^7</f>
        <v>-1323.401498</v>
      </c>
    </row>
    <row r="2702" ht="14.25" customHeight="1">
      <c r="A2702" s="7">
        <v>2689.0</v>
      </c>
      <c r="B2702" s="14">
        <f t="shared" si="1"/>
        <v>0.1306869765</v>
      </c>
      <c r="C2702" s="39">
        <f t="array" ref="C2702">NPV(B2702,FCFF!$C$9:$I$9)+FCFF!$B$9+FCFF!$I$9*(1+Inputs!$B$6)/(B2702-Inputs!$B$6)/(1+B2702)^7</f>
        <v>-1981.58542</v>
      </c>
    </row>
    <row r="2703" ht="14.25" customHeight="1">
      <c r="A2703" s="7">
        <v>2690.0</v>
      </c>
      <c r="B2703" s="14">
        <f t="shared" si="1"/>
        <v>0.1035958835</v>
      </c>
      <c r="C2703" s="39">
        <f t="array" ref="C2703">NPV(B2703,FCFF!$C$9:$I$9)+FCFF!$B$9+FCFF!$I$9*(1+Inputs!$B$6)/(B2703-Inputs!$B$6)/(1+B2703)^7</f>
        <v>-1480.483428</v>
      </c>
    </row>
    <row r="2704" ht="14.25" customHeight="1">
      <c r="A2704" s="7">
        <v>2691.0</v>
      </c>
      <c r="B2704" s="14">
        <f t="shared" si="1"/>
        <v>0.1226690952</v>
      </c>
      <c r="C2704" s="39">
        <f t="array" ref="C2704">NPV(B2704,FCFF!$C$9:$I$9)+FCFF!$B$9+FCFF!$I$9*(1+Inputs!$B$6)/(B2704-Inputs!$B$6)/(1+B2704)^7</f>
        <v>-1865.365149</v>
      </c>
    </row>
    <row r="2705" ht="14.25" customHeight="1">
      <c r="A2705" s="7">
        <v>2692.0</v>
      </c>
      <c r="B2705" s="14">
        <f t="shared" si="1"/>
        <v>0.1223519215</v>
      </c>
      <c r="C2705" s="39">
        <f t="array" ref="C2705">NPV(B2705,FCFF!$C$9:$I$9)+FCFF!$B$9+FCFF!$I$9*(1+Inputs!$B$6)/(B2705-Inputs!$B$6)/(1+B2705)^7</f>
        <v>-1860.321748</v>
      </c>
    </row>
    <row r="2706" ht="14.25" customHeight="1">
      <c r="A2706" s="7">
        <v>2693.0</v>
      </c>
      <c r="B2706" s="14">
        <f t="shared" si="1"/>
        <v>0.1047349482</v>
      </c>
      <c r="C2706" s="39">
        <f t="array" ref="C2706">NPV(B2706,FCFF!$C$9:$I$9)+FCFF!$B$9+FCFF!$I$9*(1+Inputs!$B$6)/(B2706-Inputs!$B$6)/(1+B2706)^7</f>
        <v>-1509.17523</v>
      </c>
    </row>
    <row r="2707" ht="14.25" customHeight="1">
      <c r="A2707" s="7">
        <v>2694.0</v>
      </c>
      <c r="B2707" s="14">
        <f t="shared" si="1"/>
        <v>0.1260364743</v>
      </c>
      <c r="C2707" s="39">
        <f t="array" ref="C2707">NPV(B2707,FCFF!$C$9:$I$9)+FCFF!$B$9+FCFF!$I$9*(1+Inputs!$B$6)/(B2707-Inputs!$B$6)/(1+B2707)^7</f>
        <v>-1916.718894</v>
      </c>
    </row>
    <row r="2708" ht="14.25" customHeight="1">
      <c r="A2708" s="7">
        <v>2695.0</v>
      </c>
      <c r="B2708" s="14">
        <f t="shared" si="1"/>
        <v>0.1001387129</v>
      </c>
      <c r="C2708" s="39">
        <f t="array" ref="C2708">NPV(B2708,FCFF!$C$9:$I$9)+FCFF!$B$9+FCFF!$I$9*(1+Inputs!$B$6)/(B2708-Inputs!$B$6)/(1+B2708)^7</f>
        <v>-1387.612296</v>
      </c>
    </row>
    <row r="2709" ht="14.25" customHeight="1">
      <c r="A2709" s="7">
        <v>2696.0</v>
      </c>
      <c r="B2709" s="14">
        <f t="shared" si="1"/>
        <v>0.09444699357</v>
      </c>
      <c r="C2709" s="39">
        <f t="array" ref="C2709">NPV(B2709,FCFF!$C$9:$I$9)+FCFF!$B$9+FCFF!$I$9*(1+Inputs!$B$6)/(B2709-Inputs!$B$6)/(1+B2709)^7</f>
        <v>-1212.900701</v>
      </c>
    </row>
    <row r="2710" ht="14.25" customHeight="1">
      <c r="A2710" s="7">
        <v>2697.0</v>
      </c>
      <c r="B2710" s="14">
        <f t="shared" si="1"/>
        <v>0.1210627213</v>
      </c>
      <c r="C2710" s="39">
        <f t="array" ref="C2710">NPV(B2710,FCFF!$C$9:$I$9)+FCFF!$B$9+FCFF!$I$9*(1+Inputs!$B$6)/(B2710-Inputs!$B$6)/(1+B2710)^7</f>
        <v>-1839.437021</v>
      </c>
    </row>
    <row r="2711" ht="14.25" customHeight="1">
      <c r="A2711" s="7">
        <v>2698.0</v>
      </c>
      <c r="B2711" s="14">
        <f t="shared" si="1"/>
        <v>0.1328300289</v>
      </c>
      <c r="C2711" s="39">
        <f t="array" ref="C2711">NPV(B2711,FCFF!$C$9:$I$9)+FCFF!$B$9+FCFF!$I$9*(1+Inputs!$B$6)/(B2711-Inputs!$B$6)/(1+B2711)^7</f>
        <v>-2009.34059</v>
      </c>
    </row>
    <row r="2712" ht="14.25" customHeight="1">
      <c r="A2712" s="7">
        <v>2699.0</v>
      </c>
      <c r="B2712" s="14">
        <f t="shared" si="1"/>
        <v>0.09950358027</v>
      </c>
      <c r="C2712" s="39">
        <f t="array" ref="C2712">NPV(B2712,FCFF!$C$9:$I$9)+FCFF!$B$9+FCFF!$I$9*(1+Inputs!$B$6)/(B2712-Inputs!$B$6)/(1+B2712)^7</f>
        <v>-1369.536389</v>
      </c>
    </row>
    <row r="2713" ht="14.25" customHeight="1">
      <c r="A2713" s="7">
        <v>2700.0</v>
      </c>
      <c r="B2713" s="14">
        <f t="shared" si="1"/>
        <v>0.1051770203</v>
      </c>
      <c r="C2713" s="39">
        <f t="array" ref="C2713">NPV(B2713,FCFF!$C$9:$I$9)+FCFF!$B$9+FCFF!$I$9*(1+Inputs!$B$6)/(B2713-Inputs!$B$6)/(1+B2713)^7</f>
        <v>-1520.072089</v>
      </c>
    </row>
    <row r="2714" ht="14.25" customHeight="1">
      <c r="A2714" s="7">
        <v>2701.0</v>
      </c>
      <c r="B2714" s="14">
        <f t="shared" si="1"/>
        <v>0.1092279548</v>
      </c>
      <c r="C2714" s="39">
        <f t="array" ref="C2714">NPV(B2714,FCFF!$C$9:$I$9)+FCFF!$B$9+FCFF!$I$9*(1+Inputs!$B$6)/(B2714-Inputs!$B$6)/(1+B2714)^7</f>
        <v>-1614.136526</v>
      </c>
    </row>
    <row r="2715" ht="14.25" customHeight="1">
      <c r="A2715" s="7">
        <v>2702.0</v>
      </c>
      <c r="B2715" s="14">
        <f t="shared" si="1"/>
        <v>0.09693513863</v>
      </c>
      <c r="C2715" s="39">
        <f t="array" ref="C2715">NPV(B2715,FCFF!$C$9:$I$9)+FCFF!$B$9+FCFF!$I$9*(1+Inputs!$B$6)/(B2715-Inputs!$B$6)/(1+B2715)^7</f>
        <v>-1292.927481</v>
      </c>
    </row>
    <row r="2716" ht="14.25" customHeight="1">
      <c r="A2716" s="7">
        <v>2703.0</v>
      </c>
      <c r="B2716" s="14">
        <f t="shared" si="1"/>
        <v>0.09758064309</v>
      </c>
      <c r="C2716" s="39">
        <f t="array" ref="C2716">NPV(B2716,FCFF!$C$9:$I$9)+FCFF!$B$9+FCFF!$I$9*(1+Inputs!$B$6)/(B2716-Inputs!$B$6)/(1+B2716)^7</f>
        <v>-1312.729437</v>
      </c>
    </row>
    <row r="2717" ht="14.25" customHeight="1">
      <c r="A2717" s="7">
        <v>2704.0</v>
      </c>
      <c r="B2717" s="14">
        <f t="shared" si="1"/>
        <v>0.1028293267</v>
      </c>
      <c r="C2717" s="39">
        <f t="array" ref="C2717">NPV(B2717,FCFF!$C$9:$I$9)+FCFF!$B$9+FCFF!$I$9*(1+Inputs!$B$6)/(B2717-Inputs!$B$6)/(1+B2717)^7</f>
        <v>-1460.661141</v>
      </c>
    </row>
    <row r="2718" ht="14.25" customHeight="1">
      <c r="A2718" s="7">
        <v>2705.0</v>
      </c>
      <c r="B2718" s="14">
        <f t="shared" si="1"/>
        <v>0.117394399</v>
      </c>
      <c r="C2718" s="39">
        <f t="array" ref="C2718">NPV(B2718,FCFF!$C$9:$I$9)+FCFF!$B$9+FCFF!$I$9*(1+Inputs!$B$6)/(B2718-Inputs!$B$6)/(1+B2718)^7</f>
        <v>-1776.432858</v>
      </c>
    </row>
    <row r="2719" ht="14.25" customHeight="1">
      <c r="A2719" s="7">
        <v>2706.0</v>
      </c>
      <c r="B2719" s="14">
        <f t="shared" si="1"/>
        <v>0.09458669229</v>
      </c>
      <c r="C2719" s="39">
        <f t="array" ref="C2719">NPV(B2719,FCFF!$C$9:$I$9)+FCFF!$B$9+FCFF!$I$9*(1+Inputs!$B$6)/(B2719-Inputs!$B$6)/(1+B2719)^7</f>
        <v>-1217.55625</v>
      </c>
    </row>
    <row r="2720" ht="14.25" customHeight="1">
      <c r="A2720" s="7">
        <v>2707.0</v>
      </c>
      <c r="B2720" s="14">
        <f t="shared" si="1"/>
        <v>0.117429212</v>
      </c>
      <c r="C2720" s="39">
        <f t="array" ref="C2720">NPV(B2720,FCFF!$C$9:$I$9)+FCFF!$B$9+FCFF!$I$9*(1+Inputs!$B$6)/(B2720-Inputs!$B$6)/(1+B2720)^7</f>
        <v>-1777.057018</v>
      </c>
    </row>
    <row r="2721" ht="14.25" customHeight="1">
      <c r="A2721" s="7">
        <v>2708.0</v>
      </c>
      <c r="B2721" s="14">
        <f t="shared" si="1"/>
        <v>0.118399127</v>
      </c>
      <c r="C2721" s="39">
        <f t="array" ref="C2721">NPV(B2721,FCFF!$C$9:$I$9)+FCFF!$B$9+FCFF!$I$9*(1+Inputs!$B$6)/(B2721-Inputs!$B$6)/(1+B2721)^7</f>
        <v>-1794.238532</v>
      </c>
    </row>
    <row r="2722" ht="14.25" customHeight="1">
      <c r="A2722" s="7">
        <v>2709.0</v>
      </c>
      <c r="B2722" s="14">
        <f t="shared" si="1"/>
        <v>0.123916221</v>
      </c>
      <c r="C2722" s="39">
        <f t="array" ref="C2722">NPV(B2722,FCFF!$C$9:$I$9)+FCFF!$B$9+FCFF!$I$9*(1+Inputs!$B$6)/(B2722-Inputs!$B$6)/(1+B2722)^7</f>
        <v>-1884.843715</v>
      </c>
    </row>
    <row r="2723" ht="14.25" customHeight="1">
      <c r="A2723" s="7">
        <v>2710.0</v>
      </c>
      <c r="B2723" s="14">
        <f t="shared" si="1"/>
        <v>0.09502473415</v>
      </c>
      <c r="C2723" s="39">
        <f t="array" ref="C2723">NPV(B2723,FCFF!$C$9:$I$9)+FCFF!$B$9+FCFF!$I$9*(1+Inputs!$B$6)/(B2723-Inputs!$B$6)/(1+B2723)^7</f>
        <v>-1232.025562</v>
      </c>
    </row>
    <row r="2724" ht="14.25" customHeight="1">
      <c r="A2724" s="7">
        <v>2711.0</v>
      </c>
      <c r="B2724" s="14">
        <f t="shared" si="1"/>
        <v>0.1132810324</v>
      </c>
      <c r="C2724" s="39">
        <f t="array" ref="C2724">NPV(B2724,FCFF!$C$9:$I$9)+FCFF!$B$9+FCFF!$I$9*(1+Inputs!$B$6)/(B2724-Inputs!$B$6)/(1+B2724)^7</f>
        <v>-1698.827498</v>
      </c>
    </row>
    <row r="2725" ht="14.25" customHeight="1">
      <c r="A2725" s="7">
        <v>2712.0</v>
      </c>
      <c r="B2725" s="14">
        <f t="shared" si="1"/>
        <v>0.1217087124</v>
      </c>
      <c r="C2725" s="39">
        <f t="array" ref="C2725">NPV(B2725,FCFF!$C$9:$I$9)+FCFF!$B$9+FCFF!$I$9*(1+Inputs!$B$6)/(B2725-Inputs!$B$6)/(1+B2725)^7</f>
        <v>-1849.979958</v>
      </c>
    </row>
    <row r="2726" ht="14.25" customHeight="1">
      <c r="A2726" s="7">
        <v>2713.0</v>
      </c>
      <c r="B2726" s="14">
        <f t="shared" si="1"/>
        <v>0.1324805625</v>
      </c>
      <c r="C2726" s="39">
        <f t="array" ref="C2726">NPV(B2726,FCFF!$C$9:$I$9)+FCFF!$B$9+FCFF!$I$9*(1+Inputs!$B$6)/(B2726-Inputs!$B$6)/(1+B2726)^7</f>
        <v>-2004.900917</v>
      </c>
    </row>
    <row r="2727" ht="14.25" customHeight="1">
      <c r="A2727" s="7">
        <v>2714.0</v>
      </c>
      <c r="B2727" s="14">
        <f t="shared" si="1"/>
        <v>0.1129200609</v>
      </c>
      <c r="C2727" s="39">
        <f t="array" ref="C2727">NPV(B2727,FCFF!$C$9:$I$9)+FCFF!$B$9+FCFF!$I$9*(1+Inputs!$B$6)/(B2727-Inputs!$B$6)/(1+B2727)^7</f>
        <v>-1691.633042</v>
      </c>
    </row>
    <row r="2728" ht="14.25" customHeight="1">
      <c r="A2728" s="7">
        <v>2715.0</v>
      </c>
      <c r="B2728" s="14">
        <f t="shared" si="1"/>
        <v>0.1222396384</v>
      </c>
      <c r="C2728" s="39">
        <f t="array" ref="C2728">NPV(B2728,FCFF!$C$9:$I$9)+FCFF!$B$9+FCFF!$I$9*(1+Inputs!$B$6)/(B2728-Inputs!$B$6)/(1+B2728)^7</f>
        <v>-1858.52747</v>
      </c>
    </row>
    <row r="2729" ht="14.25" customHeight="1">
      <c r="A2729" s="7">
        <v>2716.0</v>
      </c>
      <c r="B2729" s="14">
        <f t="shared" si="1"/>
        <v>0.09769711799</v>
      </c>
      <c r="C2729" s="39">
        <f t="array" ref="C2729">NPV(B2729,FCFF!$C$9:$I$9)+FCFF!$B$9+FCFF!$I$9*(1+Inputs!$B$6)/(B2729-Inputs!$B$6)/(1+B2729)^7</f>
        <v>-1316.262302</v>
      </c>
    </row>
    <row r="2730" ht="14.25" customHeight="1">
      <c r="A2730" s="7">
        <v>2717.0</v>
      </c>
      <c r="B2730" s="14">
        <f t="shared" si="1"/>
        <v>0.1015761613</v>
      </c>
      <c r="C2730" s="39">
        <f t="array" ref="C2730">NPV(B2730,FCFF!$C$9:$I$9)+FCFF!$B$9+FCFF!$I$9*(1+Inputs!$B$6)/(B2730-Inputs!$B$6)/(1+B2730)^7</f>
        <v>-1427.328743</v>
      </c>
    </row>
    <row r="2731" ht="14.25" customHeight="1">
      <c r="A2731" s="7">
        <v>2718.0</v>
      </c>
      <c r="B2731" s="14">
        <f t="shared" si="1"/>
        <v>0.1197428723</v>
      </c>
      <c r="C2731" s="39">
        <f t="array" ref="C2731">NPV(B2731,FCFF!$C$9:$I$9)+FCFF!$B$9+FCFF!$I$9*(1+Inputs!$B$6)/(B2731-Inputs!$B$6)/(1+B2731)^7</f>
        <v>-1817.395347</v>
      </c>
    </row>
    <row r="2732" ht="14.25" customHeight="1">
      <c r="A2732" s="7">
        <v>2719.0</v>
      </c>
      <c r="B2732" s="14">
        <f t="shared" si="1"/>
        <v>0.1192394848</v>
      </c>
      <c r="C2732" s="39">
        <f t="array" ref="C2732">NPV(B2732,FCFF!$C$9:$I$9)+FCFF!$B$9+FCFF!$I$9*(1+Inputs!$B$6)/(B2732-Inputs!$B$6)/(1+B2732)^7</f>
        <v>-1808.80675</v>
      </c>
    </row>
    <row r="2733" ht="14.25" customHeight="1">
      <c r="A2733" s="7">
        <v>2720.0</v>
      </c>
      <c r="B2733" s="14">
        <f t="shared" si="1"/>
        <v>0.1100055221</v>
      </c>
      <c r="C2733" s="39">
        <f t="array" ref="C2733">NPV(B2733,FCFF!$C$9:$I$9)+FCFF!$B$9+FCFF!$I$9*(1+Inputs!$B$6)/(B2733-Inputs!$B$6)/(1+B2733)^7</f>
        <v>-1631.072772</v>
      </c>
    </row>
    <row r="2734" ht="14.25" customHeight="1">
      <c r="A2734" s="7">
        <v>2721.0</v>
      </c>
      <c r="B2734" s="14">
        <f t="shared" si="1"/>
        <v>0.09706366435</v>
      </c>
      <c r="C2734" s="39">
        <f t="array" ref="C2734">NPV(B2734,FCFF!$C$9:$I$9)+FCFF!$B$9+FCFF!$I$9*(1+Inputs!$B$6)/(B2734-Inputs!$B$6)/(1+B2734)^7</f>
        <v>-1296.900593</v>
      </c>
    </row>
    <row r="2735" ht="14.25" customHeight="1">
      <c r="A2735" s="7">
        <v>2722.0</v>
      </c>
      <c r="B2735" s="14">
        <f t="shared" si="1"/>
        <v>0.1211411354</v>
      </c>
      <c r="C2735" s="39">
        <f t="array" ref="C2735">NPV(B2735,FCFF!$C$9:$I$9)+FCFF!$B$9+FCFF!$I$9*(1+Inputs!$B$6)/(B2735-Inputs!$B$6)/(1+B2735)^7</f>
        <v>-1840.725249</v>
      </c>
    </row>
    <row r="2736" ht="14.25" customHeight="1">
      <c r="A2736" s="7">
        <v>2723.0</v>
      </c>
      <c r="B2736" s="14">
        <f t="shared" si="1"/>
        <v>0.1278881439</v>
      </c>
      <c r="C2736" s="39">
        <f t="array" ref="C2736">NPV(B2736,FCFF!$C$9:$I$9)+FCFF!$B$9+FCFF!$I$9*(1+Inputs!$B$6)/(B2736-Inputs!$B$6)/(1+B2736)^7</f>
        <v>-1943.344512</v>
      </c>
    </row>
    <row r="2737" ht="14.25" customHeight="1">
      <c r="A2737" s="7">
        <v>2724.0</v>
      </c>
      <c r="B2737" s="14">
        <f t="shared" si="1"/>
        <v>0.1329289098</v>
      </c>
      <c r="C2737" s="39">
        <f t="array" ref="C2737">NPV(B2737,FCFF!$C$9:$I$9)+FCFF!$B$9+FCFF!$I$9*(1+Inputs!$B$6)/(B2737-Inputs!$B$6)/(1+B2737)^7</f>
        <v>-2010.590811</v>
      </c>
    </row>
    <row r="2738" ht="14.25" customHeight="1">
      <c r="A2738" s="7">
        <v>2725.0</v>
      </c>
      <c r="B2738" s="14">
        <f t="shared" si="1"/>
        <v>0.1008810722</v>
      </c>
      <c r="C2738" s="39">
        <f t="array" ref="C2738">NPV(B2738,FCFF!$C$9:$I$9)+FCFF!$B$9+FCFF!$I$9*(1+Inputs!$B$6)/(B2738-Inputs!$B$6)/(1+B2738)^7</f>
        <v>-1408.326461</v>
      </c>
    </row>
    <row r="2739" ht="14.25" customHeight="1">
      <c r="A2739" s="7">
        <v>2726.0</v>
      </c>
      <c r="B2739" s="14">
        <f t="shared" si="1"/>
        <v>0.1144656256</v>
      </c>
      <c r="C2739" s="39">
        <f t="array" ref="C2739">NPV(B2739,FCFF!$C$9:$I$9)+FCFF!$B$9+FCFF!$I$9*(1+Inputs!$B$6)/(B2739-Inputs!$B$6)/(1+B2739)^7</f>
        <v>-1721.987461</v>
      </c>
    </row>
    <row r="2740" ht="14.25" customHeight="1">
      <c r="A2740" s="7">
        <v>2727.0</v>
      </c>
      <c r="B2740" s="14">
        <f t="shared" si="1"/>
        <v>0.1221976688</v>
      </c>
      <c r="C2740" s="39">
        <f t="array" ref="C2740">NPV(B2740,FCFF!$C$9:$I$9)+FCFF!$B$9+FCFF!$I$9*(1+Inputs!$B$6)/(B2740-Inputs!$B$6)/(1+B2740)^7</f>
        <v>-1857.855604</v>
      </c>
    </row>
    <row r="2741" ht="14.25" customHeight="1">
      <c r="A2741" s="7">
        <v>2728.0</v>
      </c>
      <c r="B2741" s="14">
        <f t="shared" si="1"/>
        <v>0.1229998993</v>
      </c>
      <c r="C2741" s="39">
        <f t="array" ref="C2741">NPV(B2741,FCFF!$C$9:$I$9)+FCFF!$B$9+FCFF!$I$9*(1+Inputs!$B$6)/(B2741-Inputs!$B$6)/(1+B2741)^7</f>
        <v>-1870.586235</v>
      </c>
    </row>
    <row r="2742" ht="14.25" customHeight="1">
      <c r="A2742" s="7">
        <v>2729.0</v>
      </c>
      <c r="B2742" s="14">
        <f t="shared" si="1"/>
        <v>0.119425594</v>
      </c>
      <c r="C2742" s="39">
        <f t="array" ref="C2742">NPV(B2742,FCFF!$C$9:$I$9)+FCFF!$B$9+FCFF!$I$9*(1+Inputs!$B$6)/(B2742-Inputs!$B$6)/(1+B2742)^7</f>
        <v>-1811.993983</v>
      </c>
    </row>
    <row r="2743" ht="14.25" customHeight="1">
      <c r="A2743" s="7">
        <v>2730.0</v>
      </c>
      <c r="B2743" s="14">
        <f t="shared" si="1"/>
        <v>0.123898915</v>
      </c>
      <c r="C2743" s="39">
        <f t="array" ref="C2743">NPV(B2743,FCFF!$C$9:$I$9)+FCFF!$B$9+FCFF!$I$9*(1+Inputs!$B$6)/(B2743-Inputs!$B$6)/(1+B2743)^7</f>
        <v>-1884.577195</v>
      </c>
    </row>
    <row r="2744" ht="14.25" customHeight="1">
      <c r="A2744" s="7">
        <v>2731.0</v>
      </c>
      <c r="B2744" s="14">
        <f t="shared" si="1"/>
        <v>0.1028440401</v>
      </c>
      <c r="C2744" s="39">
        <f t="array" ref="C2744">NPV(B2744,FCFF!$C$9:$I$9)+FCFF!$B$9+FCFF!$I$9*(1+Inputs!$B$6)/(B2744-Inputs!$B$6)/(1+B2744)^7</f>
        <v>-1461.045598</v>
      </c>
    </row>
    <row r="2745" ht="14.25" customHeight="1">
      <c r="A2745" s="7">
        <v>2732.0</v>
      </c>
      <c r="B2745" s="14">
        <f t="shared" si="1"/>
        <v>0.1279158921</v>
      </c>
      <c r="C2745" s="39">
        <f t="array" ref="C2745">NPV(B2745,FCFF!$C$9:$I$9)+FCFF!$B$9+FCFF!$I$9*(1+Inputs!$B$6)/(B2745-Inputs!$B$6)/(1+B2745)^7</f>
        <v>-1943.735259</v>
      </c>
    </row>
    <row r="2746" ht="14.25" customHeight="1">
      <c r="A2746" s="7">
        <v>2733.0</v>
      </c>
      <c r="B2746" s="14">
        <f t="shared" si="1"/>
        <v>0.1319109643</v>
      </c>
      <c r="C2746" s="39">
        <f t="array" ref="C2746">NPV(B2746,FCFF!$C$9:$I$9)+FCFF!$B$9+FCFF!$I$9*(1+Inputs!$B$6)/(B2746-Inputs!$B$6)/(1+B2746)^7</f>
        <v>-1997.593386</v>
      </c>
    </row>
    <row r="2747" ht="14.25" customHeight="1">
      <c r="A2747" s="7">
        <v>2734.0</v>
      </c>
      <c r="B2747" s="14">
        <f t="shared" si="1"/>
        <v>0.1302159045</v>
      </c>
      <c r="C2747" s="39">
        <f t="array" ref="C2747">NPV(B2747,FCFF!$C$9:$I$9)+FCFF!$B$9+FCFF!$I$9*(1+Inputs!$B$6)/(B2747-Inputs!$B$6)/(1+B2747)^7</f>
        <v>-1975.311074</v>
      </c>
    </row>
    <row r="2748" ht="14.25" customHeight="1">
      <c r="A2748" s="7">
        <v>2735.0</v>
      </c>
      <c r="B2748" s="14">
        <f t="shared" si="1"/>
        <v>0.1264764264</v>
      </c>
      <c r="C2748" s="39">
        <f t="array" ref="C2748">NPV(B2748,FCFF!$C$9:$I$9)+FCFF!$B$9+FCFF!$I$9*(1+Inputs!$B$6)/(B2748-Inputs!$B$6)/(1+B2748)^7</f>
        <v>-1923.144769</v>
      </c>
    </row>
    <row r="2749" ht="14.25" customHeight="1">
      <c r="A2749" s="7">
        <v>2736.0</v>
      </c>
      <c r="B2749" s="14">
        <f t="shared" si="1"/>
        <v>0.1132160458</v>
      </c>
      <c r="C2749" s="39">
        <f t="array" ref="C2749">NPV(B2749,FCFF!$C$9:$I$9)+FCFF!$B$9+FCFF!$I$9*(1+Inputs!$B$6)/(B2749-Inputs!$B$6)/(1+B2749)^7</f>
        <v>-1697.537056</v>
      </c>
    </row>
    <row r="2750" ht="14.25" customHeight="1">
      <c r="A2750" s="7">
        <v>2737.0</v>
      </c>
      <c r="B2750" s="14">
        <f t="shared" si="1"/>
        <v>0.1220071239</v>
      </c>
      <c r="C2750" s="39">
        <f t="array" ref="C2750">NPV(B2750,FCFF!$C$9:$I$9)+FCFF!$B$9+FCFF!$I$9*(1+Inputs!$B$6)/(B2750-Inputs!$B$6)/(1+B2750)^7</f>
        <v>-1854.797078</v>
      </c>
    </row>
    <row r="2751" ht="14.25" customHeight="1">
      <c r="A2751" s="7">
        <v>2738.0</v>
      </c>
      <c r="B2751" s="14">
        <f t="shared" si="1"/>
        <v>0.1080237884</v>
      </c>
      <c r="C2751" s="39">
        <f t="array" ref="C2751">NPV(B2751,FCFF!$C$9:$I$9)+FCFF!$B$9+FCFF!$I$9*(1+Inputs!$B$6)/(B2751-Inputs!$B$6)/(1+B2751)^7</f>
        <v>-1587.221857</v>
      </c>
    </row>
    <row r="2752" ht="14.25" customHeight="1">
      <c r="A2752" s="7">
        <v>2739.0</v>
      </c>
      <c r="B2752" s="14">
        <f t="shared" si="1"/>
        <v>0.1277307964</v>
      </c>
      <c r="C2752" s="39">
        <f t="array" ref="C2752">NPV(B2752,FCFF!$C$9:$I$9)+FCFF!$B$9+FCFF!$I$9*(1+Inputs!$B$6)/(B2752-Inputs!$B$6)/(1+B2752)^7</f>
        <v>-1941.124233</v>
      </c>
    </row>
    <row r="2753" ht="14.25" customHeight="1">
      <c r="A2753" s="7">
        <v>2740.0</v>
      </c>
      <c r="B2753" s="14">
        <f t="shared" si="1"/>
        <v>0.1060598813</v>
      </c>
      <c r="C2753" s="39">
        <f t="array" ref="C2753">NPV(B2753,FCFF!$C$9:$I$9)+FCFF!$B$9+FCFF!$I$9*(1+Inputs!$B$6)/(B2753-Inputs!$B$6)/(1+B2753)^7</f>
        <v>-1541.4474</v>
      </c>
    </row>
    <row r="2754" ht="14.25" customHeight="1">
      <c r="A2754" s="7">
        <v>2741.0</v>
      </c>
      <c r="B2754" s="14">
        <f t="shared" si="1"/>
        <v>0.1053269494</v>
      </c>
      <c r="C2754" s="39">
        <f t="array" ref="C2754">NPV(B2754,FCFF!$C$9:$I$9)+FCFF!$B$9+FCFF!$I$9*(1+Inputs!$B$6)/(B2754-Inputs!$B$6)/(1+B2754)^7</f>
        <v>-1523.738149</v>
      </c>
    </row>
    <row r="2755" ht="14.25" customHeight="1">
      <c r="A2755" s="7">
        <v>2742.0</v>
      </c>
      <c r="B2755" s="14">
        <f t="shared" si="1"/>
        <v>0.1153996748</v>
      </c>
      <c r="C2755" s="39">
        <f t="array" ref="C2755">NPV(B2755,FCFF!$C$9:$I$9)+FCFF!$B$9+FCFF!$I$9*(1+Inputs!$B$6)/(B2755-Inputs!$B$6)/(1+B2755)^7</f>
        <v>-1739.776267</v>
      </c>
    </row>
    <row r="2756" ht="14.25" customHeight="1">
      <c r="A2756" s="7">
        <v>2743.0</v>
      </c>
      <c r="B2756" s="14">
        <f t="shared" si="1"/>
        <v>0.1009852397</v>
      </c>
      <c r="C2756" s="39">
        <f t="array" ref="C2756">NPV(B2756,FCFF!$C$9:$I$9)+FCFF!$B$9+FCFF!$I$9*(1+Inputs!$B$6)/(B2756-Inputs!$B$6)/(1+B2756)^7</f>
        <v>-1411.198116</v>
      </c>
    </row>
    <row r="2757" ht="14.25" customHeight="1">
      <c r="A2757" s="7">
        <v>2744.0</v>
      </c>
      <c r="B2757" s="14">
        <f t="shared" si="1"/>
        <v>0.1306546433</v>
      </c>
      <c r="C2757" s="39">
        <f t="array" ref="C2757">NPV(B2757,FCFF!$C$9:$I$9)+FCFF!$B$9+FCFF!$I$9*(1+Inputs!$B$6)/(B2757-Inputs!$B$6)/(1+B2757)^7</f>
        <v>-1981.156806</v>
      </c>
    </row>
    <row r="2758" ht="14.25" customHeight="1">
      <c r="A2758" s="7">
        <v>2745.0</v>
      </c>
      <c r="B2758" s="14">
        <f t="shared" si="1"/>
        <v>0.1008325453</v>
      </c>
      <c r="C2758" s="39">
        <f t="array" ref="C2758">NPV(B2758,FCFF!$C$9:$I$9)+FCFF!$B$9+FCFF!$I$9*(1+Inputs!$B$6)/(B2758-Inputs!$B$6)/(1+B2758)^7</f>
        <v>-1406.985779</v>
      </c>
    </row>
    <row r="2759" ht="14.25" customHeight="1">
      <c r="A2759" s="7">
        <v>2746.0</v>
      </c>
      <c r="B2759" s="14">
        <f t="shared" si="1"/>
        <v>0.1291643827</v>
      </c>
      <c r="C2759" s="39">
        <f t="array" ref="C2759">NPV(B2759,FCFF!$C$9:$I$9)+FCFF!$B$9+FCFF!$I$9*(1+Inputs!$B$6)/(B2759-Inputs!$B$6)/(1+B2759)^7</f>
        <v>-1961.071998</v>
      </c>
    </row>
    <row r="2760" ht="14.25" customHeight="1">
      <c r="A2760" s="7">
        <v>2747.0</v>
      </c>
      <c r="B2760" s="14">
        <f t="shared" si="1"/>
        <v>0.122527159</v>
      </c>
      <c r="C2760" s="39">
        <f t="array" ref="C2760">NPV(B2760,FCFF!$C$9:$I$9)+FCFF!$B$9+FCFF!$I$9*(1+Inputs!$B$6)/(B2760-Inputs!$B$6)/(1+B2760)^7</f>
        <v>-1863.112765</v>
      </c>
    </row>
    <row r="2761" ht="14.25" customHeight="1">
      <c r="A2761" s="7">
        <v>2748.0</v>
      </c>
      <c r="B2761" s="14">
        <f t="shared" si="1"/>
        <v>0.1213238366</v>
      </c>
      <c r="C2761" s="39">
        <f t="array" ref="C2761">NPV(B2761,FCFF!$C$9:$I$9)+FCFF!$B$9+FCFF!$I$9*(1+Inputs!$B$6)/(B2761-Inputs!$B$6)/(1+B2761)^7</f>
        <v>-1843.717649</v>
      </c>
    </row>
    <row r="2762" ht="14.25" customHeight="1">
      <c r="A2762" s="7">
        <v>2749.0</v>
      </c>
      <c r="B2762" s="14">
        <f t="shared" si="1"/>
        <v>0.1159914257</v>
      </c>
      <c r="C2762" s="39">
        <f t="array" ref="C2762">NPV(B2762,FCFF!$C$9:$I$9)+FCFF!$B$9+FCFF!$I$9*(1+Inputs!$B$6)/(B2762-Inputs!$B$6)/(1+B2762)^7</f>
        <v>-1750.836883</v>
      </c>
    </row>
    <row r="2763" ht="14.25" customHeight="1">
      <c r="A2763" s="7">
        <v>2750.0</v>
      </c>
      <c r="B2763" s="14">
        <f t="shared" si="1"/>
        <v>0.1236012522</v>
      </c>
      <c r="C2763" s="39">
        <f t="array" ref="C2763">NPV(B2763,FCFF!$C$9:$I$9)+FCFF!$B$9+FCFF!$I$9*(1+Inputs!$B$6)/(B2763-Inputs!$B$6)/(1+B2763)^7</f>
        <v>-1879.976592</v>
      </c>
    </row>
    <row r="2764" ht="14.25" customHeight="1">
      <c r="A2764" s="7">
        <v>2751.0</v>
      </c>
      <c r="B2764" s="14">
        <f t="shared" si="1"/>
        <v>0.1136853139</v>
      </c>
      <c r="C2764" s="39">
        <f t="array" ref="C2764">NPV(B2764,FCFF!$C$9:$I$9)+FCFF!$B$9+FCFF!$I$9*(1+Inputs!$B$6)/(B2764-Inputs!$B$6)/(1+B2764)^7</f>
        <v>-1706.808447</v>
      </c>
    </row>
    <row r="2765" ht="14.25" customHeight="1">
      <c r="A2765" s="7">
        <v>2752.0</v>
      </c>
      <c r="B2765" s="14">
        <f t="shared" si="1"/>
        <v>0.1069046889</v>
      </c>
      <c r="C2765" s="39">
        <f t="array" ref="C2765">NPV(B2765,FCFF!$C$9:$I$9)+FCFF!$B$9+FCFF!$I$9*(1+Inputs!$B$6)/(B2765-Inputs!$B$6)/(1+B2765)^7</f>
        <v>-1561.431714</v>
      </c>
    </row>
    <row r="2766" ht="14.25" customHeight="1">
      <c r="A2766" s="7">
        <v>2753.0</v>
      </c>
      <c r="B2766" s="14">
        <f t="shared" si="1"/>
        <v>0.1035207159</v>
      </c>
      <c r="C2766" s="39">
        <f t="array" ref="C2766">NPV(B2766,FCFF!$C$9:$I$9)+FCFF!$B$9+FCFF!$I$9*(1+Inputs!$B$6)/(B2766-Inputs!$B$6)/(1+B2766)^7</f>
        <v>-1478.558235</v>
      </c>
    </row>
    <row r="2767" ht="14.25" customHeight="1">
      <c r="A2767" s="7">
        <v>2754.0</v>
      </c>
      <c r="B2767" s="14">
        <f t="shared" si="1"/>
        <v>0.1112491196</v>
      </c>
      <c r="C2767" s="39">
        <f t="array" ref="C2767">NPV(B2767,FCFF!$C$9:$I$9)+FCFF!$B$9+FCFF!$I$9*(1+Inputs!$B$6)/(B2767-Inputs!$B$6)/(1+B2767)^7</f>
        <v>-1657.463837</v>
      </c>
    </row>
    <row r="2768" ht="14.25" customHeight="1">
      <c r="A2768" s="7">
        <v>2755.0</v>
      </c>
      <c r="B2768" s="14">
        <f t="shared" si="1"/>
        <v>0.1316125069</v>
      </c>
      <c r="C2768" s="39">
        <f t="array" ref="C2768">NPV(B2768,FCFF!$C$9:$I$9)+FCFF!$B$9+FCFF!$I$9*(1+Inputs!$B$6)/(B2768-Inputs!$B$6)/(1+B2768)^7</f>
        <v>-1993.728709</v>
      </c>
    </row>
    <row r="2769" ht="14.25" customHeight="1">
      <c r="A2769" s="7">
        <v>2756.0</v>
      </c>
      <c r="B2769" s="14">
        <f t="shared" si="1"/>
        <v>0.1041076024</v>
      </c>
      <c r="C2769" s="39">
        <f t="array" ref="C2769">NPV(B2769,FCFF!$C$9:$I$9)+FCFF!$B$9+FCFF!$I$9*(1+Inputs!$B$6)/(B2769-Inputs!$B$6)/(1+B2769)^7</f>
        <v>-1493.484088</v>
      </c>
    </row>
    <row r="2770" ht="14.25" customHeight="1">
      <c r="A2770" s="7">
        <v>2757.0</v>
      </c>
      <c r="B2770" s="14">
        <f t="shared" si="1"/>
        <v>0.1018153149</v>
      </c>
      <c r="C2770" s="39">
        <f t="array" ref="C2770">NPV(B2770,FCFF!$C$9:$I$9)+FCFF!$B$9+FCFF!$I$9*(1+Inputs!$B$6)/(B2770-Inputs!$B$6)/(1+B2770)^7</f>
        <v>-1433.78078</v>
      </c>
    </row>
    <row r="2771" ht="14.25" customHeight="1">
      <c r="A2771" s="7">
        <v>2758.0</v>
      </c>
      <c r="B2771" s="14">
        <f t="shared" si="1"/>
        <v>0.1014689283</v>
      </c>
      <c r="C2771" s="39">
        <f t="array" ref="C2771">NPV(B2771,FCFF!$C$9:$I$9)+FCFF!$B$9+FCFF!$I$9*(1+Inputs!$B$6)/(B2771-Inputs!$B$6)/(1+B2771)^7</f>
        <v>-1424.421567</v>
      </c>
    </row>
    <row r="2772" ht="14.25" customHeight="1">
      <c r="A2772" s="7">
        <v>2759.0</v>
      </c>
      <c r="B2772" s="14">
        <f t="shared" si="1"/>
        <v>0.1267875175</v>
      </c>
      <c r="C2772" s="39">
        <f t="array" ref="C2772">NPV(B2772,FCFF!$C$9:$I$9)+FCFF!$B$9+FCFF!$I$9*(1+Inputs!$B$6)/(B2772-Inputs!$B$6)/(1+B2772)^7</f>
        <v>-1927.650601</v>
      </c>
    </row>
    <row r="2773" ht="14.25" customHeight="1">
      <c r="A2773" s="7">
        <v>2760.0</v>
      </c>
      <c r="B2773" s="14">
        <f t="shared" si="1"/>
        <v>0.09766595234</v>
      </c>
      <c r="C2773" s="39">
        <f t="array" ref="C2773">NPV(B2773,FCFF!$C$9:$I$9)+FCFF!$B$9+FCFF!$I$9*(1+Inputs!$B$6)/(B2773-Inputs!$B$6)/(1+B2773)^7</f>
        <v>-1315.318191</v>
      </c>
    </row>
    <row r="2774" ht="14.25" customHeight="1">
      <c r="A2774" s="7">
        <v>2761.0</v>
      </c>
      <c r="B2774" s="14">
        <f t="shared" si="1"/>
        <v>0.1116637963</v>
      </c>
      <c r="C2774" s="39">
        <f t="array" ref="C2774">NPV(B2774,FCFF!$C$9:$I$9)+FCFF!$B$9+FCFF!$I$9*(1+Inputs!$B$6)/(B2774-Inputs!$B$6)/(1+B2774)^7</f>
        <v>-1666.078981</v>
      </c>
    </row>
    <row r="2775" ht="14.25" customHeight="1">
      <c r="A2775" s="7">
        <v>2762.0</v>
      </c>
      <c r="B2775" s="14">
        <f t="shared" si="1"/>
        <v>0.1058037272</v>
      </c>
      <c r="C2775" s="39">
        <f t="array" ref="C2775">NPV(B2775,FCFF!$C$9:$I$9)+FCFF!$B$9+FCFF!$I$9*(1+Inputs!$B$6)/(B2775-Inputs!$B$6)/(1+B2775)^7</f>
        <v>-1535.297919</v>
      </c>
    </row>
    <row r="2776" ht="14.25" customHeight="1">
      <c r="A2776" s="7">
        <v>2763.0</v>
      </c>
      <c r="B2776" s="14">
        <f t="shared" si="1"/>
        <v>0.1249376952</v>
      </c>
      <c r="C2776" s="39">
        <f t="array" ref="C2776">NPV(B2776,FCFF!$C$9:$I$9)+FCFF!$B$9+FCFF!$I$9*(1+Inputs!$B$6)/(B2776-Inputs!$B$6)/(1+B2776)^7</f>
        <v>-1900.390717</v>
      </c>
    </row>
    <row r="2777" ht="14.25" customHeight="1">
      <c r="A2777" s="7">
        <v>2764.0</v>
      </c>
      <c r="B2777" s="14">
        <f t="shared" si="1"/>
        <v>0.1015499197</v>
      </c>
      <c r="C2777" s="39">
        <f t="array" ref="C2777">NPV(B2777,FCFF!$C$9:$I$9)+FCFF!$B$9+FCFF!$I$9*(1+Inputs!$B$6)/(B2777-Inputs!$B$6)/(1+B2777)^7</f>
        <v>-1426.618123</v>
      </c>
    </row>
    <row r="2778" ht="14.25" customHeight="1">
      <c r="A2778" s="7">
        <v>2765.0</v>
      </c>
      <c r="B2778" s="14">
        <f t="shared" si="1"/>
        <v>0.1286135989</v>
      </c>
      <c r="C2778" s="39">
        <f t="array" ref="C2778">NPV(B2778,FCFF!$C$9:$I$9)+FCFF!$B$9+FCFF!$I$9*(1+Inputs!$B$6)/(B2778-Inputs!$B$6)/(1+B2778)^7</f>
        <v>-1953.48224</v>
      </c>
    </row>
    <row r="2779" ht="14.25" customHeight="1">
      <c r="A2779" s="7">
        <v>2766.0</v>
      </c>
      <c r="B2779" s="14">
        <f t="shared" si="1"/>
        <v>0.108722182</v>
      </c>
      <c r="C2779" s="39">
        <f t="array" ref="C2779">NPV(B2779,FCFF!$C$9:$I$9)+FCFF!$B$9+FCFF!$I$9*(1+Inputs!$B$6)/(B2779-Inputs!$B$6)/(1+B2779)^7</f>
        <v>-1602.93507</v>
      </c>
    </row>
    <row r="2780" ht="14.25" customHeight="1">
      <c r="A2780" s="7">
        <v>2767.0</v>
      </c>
      <c r="B2780" s="14">
        <f t="shared" si="1"/>
        <v>0.1159664459</v>
      </c>
      <c r="C2780" s="39">
        <f t="array" ref="C2780">NPV(B2780,FCFF!$C$9:$I$9)+FCFF!$B$9+FCFF!$I$9*(1+Inputs!$B$6)/(B2780-Inputs!$B$6)/(1+B2780)^7</f>
        <v>-1750.373201</v>
      </c>
    </row>
    <row r="2781" ht="14.25" customHeight="1">
      <c r="A2781" s="7">
        <v>2768.0</v>
      </c>
      <c r="B2781" s="14">
        <f t="shared" si="1"/>
        <v>0.1082133484</v>
      </c>
      <c r="C2781" s="39">
        <f t="array" ref="C2781">NPV(B2781,FCFF!$C$9:$I$9)+FCFF!$B$9+FCFF!$I$9*(1+Inputs!$B$6)/(B2781-Inputs!$B$6)/(1+B2781)^7</f>
        <v>-1591.515314</v>
      </c>
    </row>
    <row r="2782" ht="14.25" customHeight="1">
      <c r="A2782" s="7">
        <v>2769.0</v>
      </c>
      <c r="B2782" s="14">
        <f t="shared" si="1"/>
        <v>0.1033549062</v>
      </c>
      <c r="C2782" s="39">
        <f t="array" ref="C2782">NPV(B2782,FCFF!$C$9:$I$9)+FCFF!$B$9+FCFF!$I$9*(1+Inputs!$B$6)/(B2782-Inputs!$B$6)/(1+B2782)^7</f>
        <v>-1474.297349</v>
      </c>
    </row>
    <row r="2783" ht="14.25" customHeight="1">
      <c r="A2783" s="7">
        <v>2770.0</v>
      </c>
      <c r="B2783" s="14">
        <f t="shared" si="1"/>
        <v>0.1281559584</v>
      </c>
      <c r="C2783" s="39">
        <f t="array" ref="C2783">NPV(B2783,FCFF!$C$9:$I$9)+FCFF!$B$9+FCFF!$I$9*(1+Inputs!$B$6)/(B2783-Inputs!$B$6)/(1+B2783)^7</f>
        <v>-1947.105887</v>
      </c>
    </row>
    <row r="2784" ht="14.25" customHeight="1">
      <c r="A2784" s="7">
        <v>2771.0</v>
      </c>
      <c r="B2784" s="14">
        <f t="shared" si="1"/>
        <v>0.1236026441</v>
      </c>
      <c r="C2784" s="39">
        <f t="array" ref="C2784">NPV(B2784,FCFF!$C$9:$I$9)+FCFF!$B$9+FCFF!$I$9*(1+Inputs!$B$6)/(B2784-Inputs!$B$6)/(1+B2784)^7</f>
        <v>-1879.998177</v>
      </c>
    </row>
    <row r="2785" ht="14.25" customHeight="1">
      <c r="A2785" s="7">
        <v>2772.0</v>
      </c>
      <c r="B2785" s="14">
        <f t="shared" si="1"/>
        <v>0.1017879492</v>
      </c>
      <c r="C2785" s="39">
        <f t="array" ref="C2785">NPV(B2785,FCFF!$C$9:$I$9)+FCFF!$B$9+FCFF!$I$9*(1+Inputs!$B$6)/(B2785-Inputs!$B$6)/(1+B2785)^7</f>
        <v>-1433.044693</v>
      </c>
    </row>
    <row r="2786" ht="14.25" customHeight="1">
      <c r="A2786" s="7">
        <v>2773.0</v>
      </c>
      <c r="B2786" s="14">
        <f t="shared" si="1"/>
        <v>0.1217504072</v>
      </c>
      <c r="C2786" s="39">
        <f t="array" ref="C2786">NPV(B2786,FCFF!$C$9:$I$9)+FCFF!$B$9+FCFF!$I$9*(1+Inputs!$B$6)/(B2786-Inputs!$B$6)/(1+B2786)^7</f>
        <v>-1850.655021</v>
      </c>
    </row>
    <row r="2787" ht="14.25" customHeight="1">
      <c r="A2787" s="7">
        <v>2774.0</v>
      </c>
      <c r="B2787" s="14">
        <f t="shared" si="1"/>
        <v>0.112311723</v>
      </c>
      <c r="C2787" s="39">
        <f t="array" ref="C2787">NPV(B2787,FCFF!$C$9:$I$9)+FCFF!$B$9+FCFF!$I$9*(1+Inputs!$B$6)/(B2787-Inputs!$B$6)/(1+B2787)^7</f>
        <v>-1679.35983</v>
      </c>
    </row>
    <row r="2788" ht="14.25" customHeight="1">
      <c r="A2788" s="7">
        <v>2775.0</v>
      </c>
      <c r="B2788" s="14">
        <f t="shared" si="1"/>
        <v>0.1068718395</v>
      </c>
      <c r="C2788" s="39">
        <f t="array" ref="C2788">NPV(B2788,FCFF!$C$9:$I$9)+FCFF!$B$9+FCFF!$I$9*(1+Inputs!$B$6)/(B2788-Inputs!$B$6)/(1+B2788)^7</f>
        <v>-1560.66305</v>
      </c>
    </row>
    <row r="2789" ht="14.25" customHeight="1">
      <c r="A2789" s="7">
        <v>2776.0</v>
      </c>
      <c r="B2789" s="14">
        <f t="shared" si="1"/>
        <v>0.116334439</v>
      </c>
      <c r="C2789" s="39">
        <f t="array" ref="C2789">NPV(B2789,FCFF!$C$9:$I$9)+FCFF!$B$9+FCFF!$I$9*(1+Inputs!$B$6)/(B2789-Inputs!$B$6)/(1+B2789)^7</f>
        <v>-1757.175519</v>
      </c>
    </row>
    <row r="2790" ht="14.25" customHeight="1">
      <c r="A2790" s="7">
        <v>2777.0</v>
      </c>
      <c r="B2790" s="14">
        <f t="shared" si="1"/>
        <v>0.1016459516</v>
      </c>
      <c r="C2790" s="39">
        <f t="array" ref="C2790">NPV(B2790,FCFF!$C$9:$I$9)+FCFF!$B$9+FCFF!$I$9*(1+Inputs!$B$6)/(B2790-Inputs!$B$6)/(1+B2790)^7</f>
        <v>-1429.216089</v>
      </c>
    </row>
    <row r="2791" ht="14.25" customHeight="1">
      <c r="A2791" s="7">
        <v>2778.0</v>
      </c>
      <c r="B2791" s="14">
        <f t="shared" si="1"/>
        <v>0.09755876939</v>
      </c>
      <c r="C2791" s="39">
        <f t="array" ref="C2791">NPV(B2791,FCFF!$C$9:$I$9)+FCFF!$B$9+FCFF!$I$9*(1+Inputs!$B$6)/(B2791-Inputs!$B$6)/(1+B2791)^7</f>
        <v>-1312.064614</v>
      </c>
    </row>
    <row r="2792" ht="14.25" customHeight="1">
      <c r="A2792" s="7">
        <v>2779.0</v>
      </c>
      <c r="B2792" s="14">
        <f t="shared" si="1"/>
        <v>0.1081219035</v>
      </c>
      <c r="C2792" s="39">
        <f t="array" ref="C2792">NPV(B2792,FCFF!$C$9:$I$9)+FCFF!$B$9+FCFF!$I$9*(1+Inputs!$B$6)/(B2792-Inputs!$B$6)/(1+B2792)^7</f>
        <v>-1589.446798</v>
      </c>
    </row>
    <row r="2793" ht="14.25" customHeight="1">
      <c r="A2793" s="7">
        <v>2780.0</v>
      </c>
      <c r="B2793" s="14">
        <f t="shared" si="1"/>
        <v>0.1217055791</v>
      </c>
      <c r="C2793" s="39">
        <f t="array" ref="C2793">NPV(B2793,FCFF!$C$9:$I$9)+FCFF!$B$9+FCFF!$I$9*(1+Inputs!$B$6)/(B2793-Inputs!$B$6)/(1+B2793)^7</f>
        <v>-1849.929201</v>
      </c>
    </row>
    <row r="2794" ht="14.25" customHeight="1">
      <c r="A2794" s="7">
        <v>2781.0</v>
      </c>
      <c r="B2794" s="14">
        <f t="shared" si="1"/>
        <v>0.1153549095</v>
      </c>
      <c r="C2794" s="39">
        <f t="array" ref="C2794">NPV(B2794,FCFF!$C$9:$I$9)+FCFF!$B$9+FCFF!$I$9*(1+Inputs!$B$6)/(B2794-Inputs!$B$6)/(1+B2794)^7</f>
        <v>-1738.933009</v>
      </c>
    </row>
    <row r="2795" ht="14.25" customHeight="1">
      <c r="A2795" s="7">
        <v>2782.0</v>
      </c>
      <c r="B2795" s="14">
        <f t="shared" si="1"/>
        <v>0.1067636116</v>
      </c>
      <c r="C2795" s="39">
        <f t="array" ref="C2795">NPV(B2795,FCFF!$C$9:$I$9)+FCFF!$B$9+FCFF!$I$9*(1+Inputs!$B$6)/(B2795-Inputs!$B$6)/(1+B2795)^7</f>
        <v>-1558.125785</v>
      </c>
    </row>
    <row r="2796" ht="14.25" customHeight="1">
      <c r="A2796" s="7">
        <v>2783.0</v>
      </c>
      <c r="B2796" s="14">
        <f t="shared" si="1"/>
        <v>0.1322186173</v>
      </c>
      <c r="C2796" s="39">
        <f t="array" ref="C2796">NPV(B2796,FCFF!$C$9:$I$9)+FCFF!$B$9+FCFF!$I$9*(1+Inputs!$B$6)/(B2796-Inputs!$B$6)/(1+B2796)^7</f>
        <v>-2001.551386</v>
      </c>
    </row>
    <row r="2797" ht="14.25" customHeight="1">
      <c r="A2797" s="7">
        <v>2784.0</v>
      </c>
      <c r="B2797" s="14">
        <f t="shared" si="1"/>
        <v>0.1172713369</v>
      </c>
      <c r="C2797" s="39">
        <f t="array" ref="C2797">NPV(B2797,FCFF!$C$9:$I$9)+FCFF!$B$9+FCFF!$I$9*(1+Inputs!$B$6)/(B2797-Inputs!$B$6)/(1+B2797)^7</f>
        <v>-1774.222288</v>
      </c>
    </row>
    <row r="2798" ht="14.25" customHeight="1">
      <c r="A2798" s="7">
        <v>2785.0</v>
      </c>
      <c r="B2798" s="14">
        <f t="shared" si="1"/>
        <v>0.10471689</v>
      </c>
      <c r="C2798" s="39">
        <f t="array" ref="C2798">NPV(B2798,FCFF!$C$9:$I$9)+FCFF!$B$9+FCFF!$I$9*(1+Inputs!$B$6)/(B2798-Inputs!$B$6)/(1+B2798)^7</f>
        <v>-1508.727311</v>
      </c>
    </row>
    <row r="2799" ht="14.25" customHeight="1">
      <c r="A2799" s="7">
        <v>2786.0</v>
      </c>
      <c r="B2799" s="14">
        <f t="shared" si="1"/>
        <v>0.09826320174</v>
      </c>
      <c r="C2799" s="39">
        <f t="array" ref="C2799">NPV(B2799,FCFF!$C$9:$I$9)+FCFF!$B$9+FCFF!$I$9*(1+Inputs!$B$6)/(B2799-Inputs!$B$6)/(1+B2799)^7</f>
        <v>-1333.260687</v>
      </c>
    </row>
    <row r="2800" ht="14.25" customHeight="1">
      <c r="A2800" s="7">
        <v>2787.0</v>
      </c>
      <c r="B2800" s="14">
        <f t="shared" si="1"/>
        <v>0.09765946739</v>
      </c>
      <c r="C2800" s="39">
        <f t="array" ref="C2800">NPV(B2800,FCFF!$C$9:$I$9)+FCFF!$B$9+FCFF!$I$9*(1+Inputs!$B$6)/(B2800-Inputs!$B$6)/(1+B2800)^7</f>
        <v>-1315.121632</v>
      </c>
    </row>
    <row r="2801" ht="14.25" customHeight="1">
      <c r="A2801" s="7">
        <v>2788.0</v>
      </c>
      <c r="B2801" s="14">
        <f t="shared" si="1"/>
        <v>0.1277017343</v>
      </c>
      <c r="C2801" s="39">
        <f t="array" ref="C2801">NPV(B2801,FCFF!$C$9:$I$9)+FCFF!$B$9+FCFF!$I$9*(1+Inputs!$B$6)/(B2801-Inputs!$B$6)/(1+B2801)^7</f>
        <v>-1940.713302</v>
      </c>
    </row>
    <row r="2802" ht="14.25" customHeight="1">
      <c r="A2802" s="7">
        <v>2789.0</v>
      </c>
      <c r="B2802" s="14">
        <f t="shared" si="1"/>
        <v>0.09988924996</v>
      </c>
      <c r="C2802" s="39">
        <f t="array" ref="C2802">NPV(B2802,FCFF!$C$9:$I$9)+FCFF!$B$9+FCFF!$I$9*(1+Inputs!$B$6)/(B2802-Inputs!$B$6)/(1+B2802)^7</f>
        <v>-1380.551985</v>
      </c>
    </row>
    <row r="2803" ht="14.25" customHeight="1">
      <c r="A2803" s="7">
        <v>2790.0</v>
      </c>
      <c r="B2803" s="14">
        <f t="shared" si="1"/>
        <v>0.1227387187</v>
      </c>
      <c r="C2803" s="39">
        <f t="array" ref="C2803">NPV(B2803,FCFF!$C$9:$I$9)+FCFF!$B$9+FCFF!$I$9*(1+Inputs!$B$6)/(B2803-Inputs!$B$6)/(1+B2803)^7</f>
        <v>-1866.467317</v>
      </c>
    </row>
    <row r="2804" ht="14.25" customHeight="1">
      <c r="A2804" s="7">
        <v>2791.0</v>
      </c>
      <c r="B2804" s="14">
        <f t="shared" si="1"/>
        <v>0.1227367781</v>
      </c>
      <c r="C2804" s="39">
        <f t="array" ref="C2804">NPV(B2804,FCFF!$C$9:$I$9)+FCFF!$B$9+FCFF!$I$9*(1+Inputs!$B$6)/(B2804-Inputs!$B$6)/(1+B2804)^7</f>
        <v>-1866.43662</v>
      </c>
    </row>
    <row r="2805" ht="14.25" customHeight="1">
      <c r="A2805" s="7">
        <v>2792.0</v>
      </c>
      <c r="B2805" s="14">
        <f t="shared" si="1"/>
        <v>0.1051982518</v>
      </c>
      <c r="C2805" s="39">
        <f t="array" ref="C2805">NPV(B2805,FCFF!$C$9:$I$9)+FCFF!$B$9+FCFF!$I$9*(1+Inputs!$B$6)/(B2805-Inputs!$B$6)/(1+B2805)^7</f>
        <v>-1520.592147</v>
      </c>
    </row>
    <row r="2806" ht="14.25" customHeight="1">
      <c r="A2806" s="7">
        <v>2793.0</v>
      </c>
      <c r="B2806" s="14">
        <f t="shared" si="1"/>
        <v>0.1235376592</v>
      </c>
      <c r="C2806" s="39">
        <f t="array" ref="C2806">NPV(B2806,FCFF!$C$9:$I$9)+FCFF!$B$9+FCFF!$I$9*(1+Inputs!$B$6)/(B2806-Inputs!$B$6)/(1+B2806)^7</f>
        <v>-1878.989657</v>
      </c>
    </row>
    <row r="2807" ht="14.25" customHeight="1">
      <c r="A2807" s="7">
        <v>2794.0</v>
      </c>
      <c r="B2807" s="14">
        <f t="shared" si="1"/>
        <v>0.1085722253</v>
      </c>
      <c r="C2807" s="39">
        <f t="array" ref="C2807">NPV(B2807,FCFF!$C$9:$I$9)+FCFF!$B$9+FCFF!$I$9*(1+Inputs!$B$6)/(B2807-Inputs!$B$6)/(1+B2807)^7</f>
        <v>-1599.585406</v>
      </c>
    </row>
    <row r="2808" ht="14.25" customHeight="1">
      <c r="A2808" s="7">
        <v>2795.0</v>
      </c>
      <c r="B2808" s="14">
        <f t="shared" si="1"/>
        <v>0.1185140709</v>
      </c>
      <c r="C2808" s="39">
        <f t="array" ref="C2808">NPV(B2808,FCFF!$C$9:$I$9)+FCFF!$B$9+FCFF!$I$9*(1+Inputs!$B$6)/(B2808-Inputs!$B$6)/(1+B2808)^7</f>
        <v>-1796.248407</v>
      </c>
    </row>
    <row r="2809" ht="14.25" customHeight="1">
      <c r="A2809" s="7">
        <v>2796.0</v>
      </c>
      <c r="B2809" s="14">
        <f t="shared" si="1"/>
        <v>0.1290099688</v>
      </c>
      <c r="C2809" s="39">
        <f t="array" ref="C2809">NPV(B2809,FCFF!$C$9:$I$9)+FCFF!$B$9+FCFF!$I$9*(1+Inputs!$B$6)/(B2809-Inputs!$B$6)/(1+B2809)^7</f>
        <v>-1958.953405</v>
      </c>
    </row>
    <row r="2810" ht="14.25" customHeight="1">
      <c r="A2810" s="7">
        <v>2797.0</v>
      </c>
      <c r="B2810" s="14">
        <f t="shared" si="1"/>
        <v>0.1188497926</v>
      </c>
      <c r="C2810" s="39">
        <f t="array" ref="C2810">NPV(B2810,FCFF!$C$9:$I$9)+FCFF!$B$9+FCFF!$I$9*(1+Inputs!$B$6)/(B2810-Inputs!$B$6)/(1+B2810)^7</f>
        <v>-1802.087326</v>
      </c>
    </row>
    <row r="2811" ht="14.25" customHeight="1">
      <c r="A2811" s="7">
        <v>2798.0</v>
      </c>
      <c r="B2811" s="14">
        <f t="shared" si="1"/>
        <v>0.09583876052</v>
      </c>
      <c r="C2811" s="39">
        <f t="array" ref="C2811">NPV(B2811,FCFF!$C$9:$I$9)+FCFF!$B$9+FCFF!$I$9*(1+Inputs!$B$6)/(B2811-Inputs!$B$6)/(1+B2811)^7</f>
        <v>-1258.406228</v>
      </c>
    </row>
    <row r="2812" ht="14.25" customHeight="1">
      <c r="A2812" s="7">
        <v>2799.0</v>
      </c>
      <c r="B2812" s="14">
        <f t="shared" si="1"/>
        <v>0.1152624065</v>
      </c>
      <c r="C2812" s="39">
        <f t="array" ref="C2812">NPV(B2812,FCFF!$C$9:$I$9)+FCFF!$B$9+FCFF!$I$9*(1+Inputs!$B$6)/(B2812-Inputs!$B$6)/(1+B2812)^7</f>
        <v>-1737.187563</v>
      </c>
    </row>
    <row r="2813" ht="14.25" customHeight="1">
      <c r="A2813" s="7">
        <v>2800.0</v>
      </c>
      <c r="B2813" s="14">
        <f t="shared" si="1"/>
        <v>0.1157659338</v>
      </c>
      <c r="C2813" s="39">
        <f t="array" ref="C2813">NPV(B2813,FCFF!$C$9:$I$9)+FCFF!$B$9+FCFF!$I$9*(1+Inputs!$B$6)/(B2813-Inputs!$B$6)/(1+B2813)^7</f>
        <v>-1746.640993</v>
      </c>
    </row>
    <row r="2814" ht="14.25" customHeight="1">
      <c r="A2814" s="7">
        <v>2801.0</v>
      </c>
      <c r="B2814" s="14">
        <f t="shared" si="1"/>
        <v>0.1228040389</v>
      </c>
      <c r="C2814" s="39">
        <f t="array" ref="C2814">NPV(B2814,FCFF!$C$9:$I$9)+FCFF!$B$9+FCFF!$I$9*(1+Inputs!$B$6)/(B2814-Inputs!$B$6)/(1+B2814)^7</f>
        <v>-1867.499761</v>
      </c>
    </row>
    <row r="2815" ht="14.25" customHeight="1">
      <c r="A2815" s="7">
        <v>2802.0</v>
      </c>
      <c r="B2815" s="14">
        <f t="shared" si="1"/>
        <v>0.1149067826</v>
      </c>
      <c r="C2815" s="39">
        <f t="array" ref="C2815">NPV(B2815,FCFF!$C$9:$I$9)+FCFF!$B$9+FCFF!$I$9*(1+Inputs!$B$6)/(B2815-Inputs!$B$6)/(1+B2815)^7</f>
        <v>-1730.440214</v>
      </c>
    </row>
    <row r="2816" ht="14.25" customHeight="1">
      <c r="A2816" s="7">
        <v>2803.0</v>
      </c>
      <c r="B2816" s="14">
        <f t="shared" si="1"/>
        <v>0.1101362255</v>
      </c>
      <c r="C2816" s="39">
        <f t="array" ref="C2816">NPV(B2816,FCFF!$C$9:$I$9)+FCFF!$B$9+FCFF!$I$9*(1+Inputs!$B$6)/(B2816-Inputs!$B$6)/(1+B2816)^7</f>
        <v>-1633.886333</v>
      </c>
    </row>
    <row r="2817" ht="14.25" customHeight="1">
      <c r="A2817" s="7">
        <v>2804.0</v>
      </c>
      <c r="B2817" s="14">
        <f t="shared" si="1"/>
        <v>0.113100573</v>
      </c>
      <c r="C2817" s="39">
        <f t="array" ref="C2817">NPV(B2817,FCFF!$C$9:$I$9)+FCFF!$B$9+FCFF!$I$9*(1+Inputs!$B$6)/(B2817-Inputs!$B$6)/(1+B2817)^7</f>
        <v>-1695.238926</v>
      </c>
    </row>
    <row r="2818" ht="14.25" customHeight="1">
      <c r="A2818" s="7">
        <v>2805.0</v>
      </c>
      <c r="B2818" s="14">
        <f t="shared" si="1"/>
        <v>0.1153829107</v>
      </c>
      <c r="C2818" s="39">
        <f t="array" ref="C2818">NPV(B2818,FCFF!$C$9:$I$9)+FCFF!$B$9+FCFF!$I$9*(1+Inputs!$B$6)/(B2818-Inputs!$B$6)/(1+B2818)^7</f>
        <v>-1739.460585</v>
      </c>
    </row>
    <row r="2819" ht="14.25" customHeight="1">
      <c r="A2819" s="7">
        <v>2806.0</v>
      </c>
      <c r="B2819" s="14">
        <f t="shared" si="1"/>
        <v>0.09769016867</v>
      </c>
      <c r="C2819" s="39">
        <f t="array" ref="C2819">NPV(B2819,FCFF!$C$9:$I$9)+FCFF!$B$9+FCFF!$I$9*(1+Inputs!$B$6)/(B2819-Inputs!$B$6)/(1+B2819)^7</f>
        <v>-1316.05186</v>
      </c>
    </row>
    <row r="2820" ht="14.25" customHeight="1">
      <c r="A2820" s="7">
        <v>2807.0</v>
      </c>
      <c r="B2820" s="14">
        <f t="shared" si="1"/>
        <v>0.1312510541</v>
      </c>
      <c r="C2820" s="39">
        <f t="array" ref="C2820">NPV(B2820,FCFF!$C$9:$I$9)+FCFF!$B$9+FCFF!$I$9*(1+Inputs!$B$6)/(B2820-Inputs!$B$6)/(1+B2820)^7</f>
        <v>-1989.015073</v>
      </c>
    </row>
    <row r="2821" ht="14.25" customHeight="1">
      <c r="A2821" s="7">
        <v>2808.0</v>
      </c>
      <c r="B2821" s="14">
        <f t="shared" si="1"/>
        <v>0.1042442557</v>
      </c>
      <c r="C2821" s="39">
        <f t="array" ref="C2821">NPV(B2821,FCFF!$C$9:$I$9)+FCFF!$B$9+FCFF!$I$9*(1+Inputs!$B$6)/(B2821-Inputs!$B$6)/(1+B2821)^7</f>
        <v>-1496.925051</v>
      </c>
    </row>
    <row r="2822" ht="14.25" customHeight="1">
      <c r="A2822" s="7">
        <v>2809.0</v>
      </c>
      <c r="B2822" s="14">
        <f t="shared" si="1"/>
        <v>0.1109286853</v>
      </c>
      <c r="C2822" s="39">
        <f t="array" ref="C2822">NPV(B2822,FCFF!$C$9:$I$9)+FCFF!$B$9+FCFF!$I$9*(1+Inputs!$B$6)/(B2822-Inputs!$B$6)/(1+B2822)^7</f>
        <v>-1650.743971</v>
      </c>
    </row>
    <row r="2823" ht="14.25" customHeight="1">
      <c r="A2823" s="7">
        <v>2810.0</v>
      </c>
      <c r="B2823" s="14">
        <f t="shared" si="1"/>
        <v>0.09791529605</v>
      </c>
      <c r="C2823" s="39">
        <f t="array" ref="C2823">NPV(B2823,FCFF!$C$9:$I$9)+FCFF!$B$9+FCFF!$I$9*(1+Inputs!$B$6)/(B2823-Inputs!$B$6)/(1+B2823)^7</f>
        <v>-1322.847358</v>
      </c>
    </row>
    <row r="2824" ht="14.25" customHeight="1">
      <c r="A2824" s="7">
        <v>2811.0</v>
      </c>
      <c r="B2824" s="14">
        <f t="shared" si="1"/>
        <v>0.1069582453</v>
      </c>
      <c r="C2824" s="39">
        <f t="array" ref="C2824">NPV(B2824,FCFF!$C$9:$I$9)+FCFF!$B$9+FCFF!$I$9*(1+Inputs!$B$6)/(B2824-Inputs!$B$6)/(1+B2824)^7</f>
        <v>-1562.683474</v>
      </c>
    </row>
    <row r="2825" ht="14.25" customHeight="1">
      <c r="A2825" s="7">
        <v>2812.0</v>
      </c>
      <c r="B2825" s="14">
        <f t="shared" si="1"/>
        <v>0.1026964482</v>
      </c>
      <c r="C2825" s="39">
        <f t="array" ref="C2825">NPV(B2825,FCFF!$C$9:$I$9)+FCFF!$B$9+FCFF!$I$9*(1+Inputs!$B$6)/(B2825-Inputs!$B$6)/(1+B2825)^7</f>
        <v>-1457.18192</v>
      </c>
    </row>
    <row r="2826" ht="14.25" customHeight="1">
      <c r="A2826" s="7">
        <v>2813.0</v>
      </c>
      <c r="B2826" s="14">
        <f t="shared" si="1"/>
        <v>0.1195965777</v>
      </c>
      <c r="C2826" s="39">
        <f t="array" ref="C2826">NPV(B2826,FCFF!$C$9:$I$9)+FCFF!$B$9+FCFF!$I$9*(1+Inputs!$B$6)/(B2826-Inputs!$B$6)/(1+B2826)^7</f>
        <v>-1814.909847</v>
      </c>
    </row>
    <row r="2827" ht="14.25" customHeight="1">
      <c r="A2827" s="7">
        <v>2814.0</v>
      </c>
      <c r="B2827" s="14">
        <f t="shared" si="1"/>
        <v>0.1213370462</v>
      </c>
      <c r="C2827" s="39">
        <f t="array" ref="C2827">NPV(B2827,FCFF!$C$9:$I$9)+FCFF!$B$9+FCFF!$I$9*(1+Inputs!$B$6)/(B2827-Inputs!$B$6)/(1+B2827)^7</f>
        <v>-1843.933513</v>
      </c>
    </row>
    <row r="2828" ht="14.25" customHeight="1">
      <c r="A2828" s="7">
        <v>2815.0</v>
      </c>
      <c r="B2828" s="14">
        <f t="shared" si="1"/>
        <v>0.1289947202</v>
      </c>
      <c r="C2828" s="39">
        <f t="array" ref="C2828">NPV(B2828,FCFF!$C$9:$I$9)+FCFF!$B$9+FCFF!$I$9*(1+Inputs!$B$6)/(B2828-Inputs!$B$6)/(1+B2828)^7</f>
        <v>-1958.743802</v>
      </c>
    </row>
    <row r="2829" ht="14.25" customHeight="1">
      <c r="A2829" s="7">
        <v>2816.0</v>
      </c>
      <c r="B2829" s="14">
        <f t="shared" si="1"/>
        <v>0.1237941972</v>
      </c>
      <c r="C2829" s="39">
        <f t="array" ref="C2829">NPV(B2829,FCFF!$C$9:$I$9)+FCFF!$B$9+FCFF!$I$9*(1+Inputs!$B$6)/(B2829-Inputs!$B$6)/(1+B2829)^7</f>
        <v>-1882.96226</v>
      </c>
    </row>
    <row r="2830" ht="14.25" customHeight="1">
      <c r="A2830" s="7">
        <v>2817.0</v>
      </c>
      <c r="B2830" s="14">
        <f t="shared" si="1"/>
        <v>0.1148685937</v>
      </c>
      <c r="C2830" s="39">
        <f t="array" ref="C2830">NPV(B2830,FCFF!$C$9:$I$9)+FCFF!$B$9+FCFF!$I$9*(1+Inputs!$B$6)/(B2830-Inputs!$B$6)/(1+B2830)^7</f>
        <v>-1729.71213</v>
      </c>
    </row>
    <row r="2831" ht="14.25" customHeight="1">
      <c r="A2831" s="7">
        <v>2818.0</v>
      </c>
      <c r="B2831" s="14">
        <f t="shared" si="1"/>
        <v>0.1076578795</v>
      </c>
      <c r="C2831" s="39">
        <f t="array" ref="C2831">NPV(B2831,FCFF!$C$9:$I$9)+FCFF!$B$9+FCFF!$I$9*(1+Inputs!$B$6)/(B2831-Inputs!$B$6)/(1+B2831)^7</f>
        <v>-1578.873254</v>
      </c>
    </row>
    <row r="2832" ht="14.25" customHeight="1">
      <c r="A2832" s="7">
        <v>2819.0</v>
      </c>
      <c r="B2832" s="14">
        <f t="shared" si="1"/>
        <v>0.1243185103</v>
      </c>
      <c r="C2832" s="39">
        <f t="array" ref="C2832">NPV(B2832,FCFF!$C$9:$I$9)+FCFF!$B$9+FCFF!$I$9*(1+Inputs!$B$6)/(B2832-Inputs!$B$6)/(1+B2832)^7</f>
        <v>-1891.009648</v>
      </c>
    </row>
    <row r="2833" ht="14.25" customHeight="1">
      <c r="A2833" s="7">
        <v>2820.0</v>
      </c>
      <c r="B2833" s="14">
        <f t="shared" si="1"/>
        <v>0.1039340052</v>
      </c>
      <c r="C2833" s="39">
        <f t="array" ref="C2833">NPV(B2833,FCFF!$C$9:$I$9)+FCFF!$B$9+FCFF!$I$9*(1+Inputs!$B$6)/(B2833-Inputs!$B$6)/(1+B2833)^7</f>
        <v>-1489.094207</v>
      </c>
    </row>
    <row r="2834" ht="14.25" customHeight="1">
      <c r="A2834" s="7">
        <v>2821.0</v>
      </c>
      <c r="B2834" s="14">
        <f t="shared" si="1"/>
        <v>0.09734901218</v>
      </c>
      <c r="C2834" s="39">
        <f t="array" ref="C2834">NPV(B2834,FCFF!$C$9:$I$9)+FCFF!$B$9+FCFF!$I$9*(1+Inputs!$B$6)/(B2834-Inputs!$B$6)/(1+B2834)^7</f>
        <v>-1305.667397</v>
      </c>
    </row>
    <row r="2835" ht="14.25" customHeight="1">
      <c r="A2835" s="7">
        <v>2822.0</v>
      </c>
      <c r="B2835" s="14">
        <f t="shared" si="1"/>
        <v>0.1029744467</v>
      </c>
      <c r="C2835" s="39">
        <f t="array" ref="C2835">NPV(B2835,FCFF!$C$9:$I$9)+FCFF!$B$9+FCFF!$I$9*(1+Inputs!$B$6)/(B2835-Inputs!$B$6)/(1+B2835)^7</f>
        <v>-1464.446209</v>
      </c>
    </row>
    <row r="2836" ht="14.25" customHeight="1">
      <c r="A2836" s="7">
        <v>2823.0</v>
      </c>
      <c r="B2836" s="14">
        <f t="shared" si="1"/>
        <v>0.1228237061</v>
      </c>
      <c r="C2836" s="39">
        <f t="array" ref="C2836">NPV(B2836,FCFF!$C$9:$I$9)+FCFF!$B$9+FCFF!$I$9*(1+Inputs!$B$6)/(B2836-Inputs!$B$6)/(1+B2836)^7</f>
        <v>-1867.810315</v>
      </c>
    </row>
    <row r="2837" ht="14.25" customHeight="1">
      <c r="A2837" s="7">
        <v>2824.0</v>
      </c>
      <c r="B2837" s="14">
        <f t="shared" si="1"/>
        <v>0.1184004648</v>
      </c>
      <c r="C2837" s="39">
        <f t="array" ref="C2837">NPV(B2837,FCFF!$C$9:$I$9)+FCFF!$B$9+FCFF!$I$9*(1+Inputs!$B$6)/(B2837-Inputs!$B$6)/(1+B2837)^7</f>
        <v>-1794.261956</v>
      </c>
    </row>
    <row r="2838" ht="14.25" customHeight="1">
      <c r="A2838" s="7">
        <v>2825.0</v>
      </c>
      <c r="B2838" s="14">
        <f t="shared" si="1"/>
        <v>0.1055702358</v>
      </c>
      <c r="C2838" s="39">
        <f t="array" ref="C2838">NPV(B2838,FCFF!$C$9:$I$9)+FCFF!$B$9+FCFF!$I$9*(1+Inputs!$B$6)/(B2838-Inputs!$B$6)/(1+B2838)^7</f>
        <v>-1529.655387</v>
      </c>
    </row>
    <row r="2839" ht="14.25" customHeight="1">
      <c r="A2839" s="7">
        <v>2826.0</v>
      </c>
      <c r="B2839" s="14">
        <f t="shared" si="1"/>
        <v>0.094896505</v>
      </c>
      <c r="C2839" s="39">
        <f t="array" ref="C2839">NPV(B2839,FCFF!$C$9:$I$9)+FCFF!$B$9+FCFF!$I$9*(1+Inputs!$B$6)/(B2839-Inputs!$B$6)/(1+B2839)^7</f>
        <v>-1227.809996</v>
      </c>
    </row>
    <row r="2840" ht="14.25" customHeight="1">
      <c r="A2840" s="7">
        <v>2827.0</v>
      </c>
      <c r="B2840" s="14">
        <f t="shared" si="1"/>
        <v>0.1067612163</v>
      </c>
      <c r="C2840" s="39">
        <f t="array" ref="C2840">NPV(B2840,FCFF!$C$9:$I$9)+FCFF!$B$9+FCFF!$I$9*(1+Inputs!$B$6)/(B2840-Inputs!$B$6)/(1+B2840)^7</f>
        <v>-1558.069549</v>
      </c>
    </row>
    <row r="2841" ht="14.25" customHeight="1">
      <c r="A2841" s="7">
        <v>2828.0</v>
      </c>
      <c r="B2841" s="14">
        <f t="shared" si="1"/>
        <v>0.1252003289</v>
      </c>
      <c r="C2841" s="39">
        <f t="array" ref="C2841">NPV(B2841,FCFF!$C$9:$I$9)+FCFF!$B$9+FCFF!$I$9*(1+Inputs!$B$6)/(B2841-Inputs!$B$6)/(1+B2841)^7</f>
        <v>-1904.330315</v>
      </c>
    </row>
    <row r="2842" ht="14.25" customHeight="1">
      <c r="A2842" s="7">
        <v>2829.0</v>
      </c>
      <c r="B2842" s="14">
        <f t="shared" si="1"/>
        <v>0.1112956203</v>
      </c>
      <c r="C2842" s="39">
        <f t="array" ref="C2842">NPV(B2842,FCFF!$C$9:$I$9)+FCFF!$B$9+FCFF!$I$9*(1+Inputs!$B$6)/(B2842-Inputs!$B$6)/(1+B2842)^7</f>
        <v>-1658.434448</v>
      </c>
    </row>
    <row r="2843" ht="14.25" customHeight="1">
      <c r="A2843" s="7">
        <v>2830.0</v>
      </c>
      <c r="B2843" s="14">
        <f t="shared" si="1"/>
        <v>0.1120532415</v>
      </c>
      <c r="C2843" s="39">
        <f t="array" ref="C2843">NPV(B2843,FCFF!$C$9:$I$9)+FCFF!$B$9+FCFF!$I$9*(1+Inputs!$B$6)/(B2843-Inputs!$B$6)/(1+B2843)^7</f>
        <v>-1674.087718</v>
      </c>
    </row>
    <row r="2844" ht="14.25" customHeight="1">
      <c r="A2844" s="7">
        <v>2831.0</v>
      </c>
      <c r="B2844" s="14">
        <f t="shared" si="1"/>
        <v>0.13257458</v>
      </c>
      <c r="C2844" s="39">
        <f t="array" ref="C2844">NPV(B2844,FCFF!$C$9:$I$9)+FCFF!$B$9+FCFF!$I$9*(1+Inputs!$B$6)/(B2844-Inputs!$B$6)/(1+B2844)^7</f>
        <v>-2006.098579</v>
      </c>
    </row>
    <row r="2845" ht="14.25" customHeight="1">
      <c r="A2845" s="7">
        <v>2832.0</v>
      </c>
      <c r="B2845" s="14">
        <f t="shared" si="1"/>
        <v>0.09499601731</v>
      </c>
      <c r="C2845" s="39">
        <f t="array" ref="C2845">NPV(B2845,FCFF!$C$9:$I$9)+FCFF!$B$9+FCFF!$I$9*(1+Inputs!$B$6)/(B2845-Inputs!$B$6)/(1+B2845)^7</f>
        <v>-1231.082924</v>
      </c>
    </row>
    <row r="2846" ht="14.25" customHeight="1">
      <c r="A2846" s="7">
        <v>2833.0</v>
      </c>
      <c r="B2846" s="14">
        <f t="shared" si="1"/>
        <v>0.1098136199</v>
      </c>
      <c r="C2846" s="39">
        <f t="array" ref="C2846">NPV(B2846,FCFF!$C$9:$I$9)+FCFF!$B$9+FCFF!$I$9*(1+Inputs!$B$6)/(B2846-Inputs!$B$6)/(1+B2846)^7</f>
        <v>-1626.924586</v>
      </c>
    </row>
    <row r="2847" ht="14.25" customHeight="1">
      <c r="A2847" s="7">
        <v>2834.0</v>
      </c>
      <c r="B2847" s="14">
        <f t="shared" si="1"/>
        <v>0.09552238186</v>
      </c>
      <c r="C2847" s="39">
        <f t="array" ref="C2847">NPV(B2847,FCFF!$C$9:$I$9)+FCFF!$B$9+FCFF!$I$9*(1+Inputs!$B$6)/(B2847-Inputs!$B$6)/(1+B2847)^7</f>
        <v>-1248.230583</v>
      </c>
    </row>
    <row r="2848" ht="14.25" customHeight="1">
      <c r="A2848" s="7">
        <v>2835.0</v>
      </c>
      <c r="B2848" s="14">
        <f t="shared" si="1"/>
        <v>0.1069928644</v>
      </c>
      <c r="C2848" s="39">
        <f t="array" ref="C2848">NPV(B2848,FCFF!$C$9:$I$9)+FCFF!$B$9+FCFF!$I$9*(1+Inputs!$B$6)/(B2848-Inputs!$B$6)/(1+B2848)^7</f>
        <v>-1563.491669</v>
      </c>
    </row>
    <row r="2849" ht="14.25" customHeight="1">
      <c r="A2849" s="7">
        <v>2836.0</v>
      </c>
      <c r="B2849" s="14">
        <f t="shared" si="1"/>
        <v>0.09617786405</v>
      </c>
      <c r="C2849" s="39">
        <f t="array" ref="C2849">NPV(B2849,FCFF!$C$9:$I$9)+FCFF!$B$9+FCFF!$I$9*(1+Inputs!$B$6)/(B2849-Inputs!$B$6)/(1+B2849)^7</f>
        <v>-1269.205232</v>
      </c>
    </row>
    <row r="2850" ht="14.25" customHeight="1">
      <c r="A2850" s="7">
        <v>2837.0</v>
      </c>
      <c r="B2850" s="14">
        <f t="shared" si="1"/>
        <v>0.09497549067</v>
      </c>
      <c r="C2850" s="39">
        <f t="array" ref="C2850">NPV(B2850,FCFF!$C$9:$I$9)+FCFF!$B$9+FCFF!$I$9*(1+Inputs!$B$6)/(B2850-Inputs!$B$6)/(1+B2850)^7</f>
        <v>-1230.408624</v>
      </c>
    </row>
    <row r="2851" ht="14.25" customHeight="1">
      <c r="A2851" s="7">
        <v>2838.0</v>
      </c>
      <c r="B2851" s="14">
        <f t="shared" si="1"/>
        <v>0.1317878207</v>
      </c>
      <c r="C2851" s="39">
        <f t="array" ref="C2851">NPV(B2851,FCFF!$C$9:$I$9)+FCFF!$B$9+FCFF!$I$9*(1+Inputs!$B$6)/(B2851-Inputs!$B$6)/(1+B2851)^7</f>
        <v>-1996.001813</v>
      </c>
    </row>
    <row r="2852" ht="14.25" customHeight="1">
      <c r="A2852" s="7">
        <v>2839.0</v>
      </c>
      <c r="B2852" s="14">
        <f t="shared" si="1"/>
        <v>0.1166055028</v>
      </c>
      <c r="C2852" s="39">
        <f t="array" ref="C2852">NPV(B2852,FCFF!$C$9:$I$9)+FCFF!$B$9+FCFF!$I$9*(1+Inputs!$B$6)/(B2852-Inputs!$B$6)/(1+B2852)^7</f>
        <v>-1762.147327</v>
      </c>
    </row>
    <row r="2853" ht="14.25" customHeight="1">
      <c r="A2853" s="7">
        <v>2840.0</v>
      </c>
      <c r="B2853" s="14">
        <f t="shared" si="1"/>
        <v>0.129309724</v>
      </c>
      <c r="C2853" s="39">
        <f t="array" ref="C2853">NPV(B2853,FCFF!$C$9:$I$9)+FCFF!$B$9+FCFF!$I$9*(1+Inputs!$B$6)/(B2853-Inputs!$B$6)/(1+B2853)^7</f>
        <v>-1963.059594</v>
      </c>
    </row>
    <row r="2854" ht="14.25" customHeight="1">
      <c r="A2854" s="7">
        <v>2841.0</v>
      </c>
      <c r="B2854" s="14">
        <f t="shared" si="1"/>
        <v>0.1142365308</v>
      </c>
      <c r="C2854" s="39">
        <f t="array" ref="C2854">NPV(B2854,FCFF!$C$9:$I$9)+FCFF!$B$9+FCFF!$I$9*(1+Inputs!$B$6)/(B2854-Inputs!$B$6)/(1+B2854)^7</f>
        <v>-1717.561421</v>
      </c>
    </row>
    <row r="2855" ht="14.25" customHeight="1">
      <c r="A2855" s="7">
        <v>2842.0</v>
      </c>
      <c r="B2855" s="14">
        <f t="shared" si="1"/>
        <v>0.09515178463</v>
      </c>
      <c r="C2855" s="39">
        <f t="array" ref="C2855">NPV(B2855,FCFF!$C$9:$I$9)+FCFF!$B$9+FCFF!$I$9*(1+Inputs!$B$6)/(B2855-Inputs!$B$6)/(1+B2855)^7</f>
        <v>-1236.186124</v>
      </c>
    </row>
    <row r="2856" ht="14.25" customHeight="1">
      <c r="A2856" s="7">
        <v>2843.0</v>
      </c>
      <c r="B2856" s="14">
        <f t="shared" si="1"/>
        <v>0.1137767402</v>
      </c>
      <c r="C2856" s="39">
        <f t="array" ref="C2856">NPV(B2856,FCFF!$C$9:$I$9)+FCFF!$B$9+FCFF!$I$9*(1+Inputs!$B$6)/(B2856-Inputs!$B$6)/(1+B2856)^7</f>
        <v>-1708.602172</v>
      </c>
    </row>
    <row r="2857" ht="14.25" customHeight="1">
      <c r="A2857" s="7">
        <v>2844.0</v>
      </c>
      <c r="B2857" s="14">
        <f t="shared" si="1"/>
        <v>0.1266278696</v>
      </c>
      <c r="C2857" s="39">
        <f t="array" ref="C2857">NPV(B2857,FCFF!$C$9:$I$9)+FCFF!$B$9+FCFF!$I$9*(1+Inputs!$B$6)/(B2857-Inputs!$B$6)/(1+B2857)^7</f>
        <v>-1925.342167</v>
      </c>
    </row>
    <row r="2858" ht="14.25" customHeight="1">
      <c r="A2858" s="7">
        <v>2845.0</v>
      </c>
      <c r="B2858" s="14">
        <f t="shared" si="1"/>
        <v>0.1107186911</v>
      </c>
      <c r="C2858" s="39">
        <f t="array" ref="C2858">NPV(B2858,FCFF!$C$9:$I$9)+FCFF!$B$9+FCFF!$I$9*(1+Inputs!$B$6)/(B2858-Inputs!$B$6)/(1+B2858)^7</f>
        <v>-1646.310195</v>
      </c>
    </row>
    <row r="2859" ht="14.25" customHeight="1">
      <c r="A2859" s="7">
        <v>2846.0</v>
      </c>
      <c r="B2859" s="14">
        <f t="shared" si="1"/>
        <v>0.1020978691</v>
      </c>
      <c r="C2859" s="39">
        <f t="array" ref="C2859">NPV(B2859,FCFF!$C$9:$I$9)+FCFF!$B$9+FCFF!$I$9*(1+Inputs!$B$6)/(B2859-Inputs!$B$6)/(1+B2859)^7</f>
        <v>-1441.347925</v>
      </c>
    </row>
    <row r="2860" ht="14.25" customHeight="1">
      <c r="A2860" s="7">
        <v>2847.0</v>
      </c>
      <c r="B2860" s="14">
        <f t="shared" si="1"/>
        <v>0.1316401683</v>
      </c>
      <c r="C2860" s="39">
        <f t="array" ref="C2860">NPV(B2860,FCFF!$C$9:$I$9)+FCFF!$B$9+FCFF!$I$9*(1+Inputs!$B$6)/(B2860-Inputs!$B$6)/(1+B2860)^7</f>
        <v>-1994.087932</v>
      </c>
    </row>
    <row r="2861" ht="14.25" customHeight="1">
      <c r="A2861" s="7">
        <v>2848.0</v>
      </c>
      <c r="B2861" s="14">
        <f t="shared" si="1"/>
        <v>0.109968426</v>
      </c>
      <c r="C2861" s="39">
        <f t="array" ref="C2861">NPV(B2861,FCFF!$C$9:$I$9)+FCFF!$B$9+FCFF!$I$9*(1+Inputs!$B$6)/(B2861-Inputs!$B$6)/(1+B2861)^7</f>
        <v>-1630.272501</v>
      </c>
    </row>
    <row r="2862" ht="14.25" customHeight="1">
      <c r="A2862" s="7">
        <v>2849.0</v>
      </c>
      <c r="B2862" s="14">
        <f t="shared" si="1"/>
        <v>0.09732019554</v>
      </c>
      <c r="C2862" s="39">
        <f t="array" ref="C2862">NPV(B2862,FCFF!$C$9:$I$9)+FCFF!$B$9+FCFF!$I$9*(1+Inputs!$B$6)/(B2862-Inputs!$B$6)/(1+B2862)^7</f>
        <v>-1304.785428</v>
      </c>
    </row>
    <row r="2863" ht="14.25" customHeight="1">
      <c r="A2863" s="7">
        <v>2850.0</v>
      </c>
      <c r="B2863" s="14">
        <f t="shared" si="1"/>
        <v>0.1109215993</v>
      </c>
      <c r="C2863" s="39">
        <f t="array" ref="C2863">NPV(B2863,FCFF!$C$9:$I$9)+FCFF!$B$9+FCFF!$I$9*(1+Inputs!$B$6)/(B2863-Inputs!$B$6)/(1+B2863)^7</f>
        <v>-1650.594747</v>
      </c>
    </row>
    <row r="2864" ht="14.25" customHeight="1">
      <c r="A2864" s="7">
        <v>2851.0</v>
      </c>
      <c r="B2864" s="14">
        <f t="shared" si="1"/>
        <v>0.1170466292</v>
      </c>
      <c r="C2864" s="39">
        <f t="array" ref="C2864">NPV(B2864,FCFF!$C$9:$I$9)+FCFF!$B$9+FCFF!$I$9*(1+Inputs!$B$6)/(B2864-Inputs!$B$6)/(1+B2864)^7</f>
        <v>-1770.168895</v>
      </c>
    </row>
    <row r="2865" ht="14.25" customHeight="1">
      <c r="A2865" s="7">
        <v>2852.0</v>
      </c>
      <c r="B2865" s="14">
        <f t="shared" si="1"/>
        <v>0.1144438939</v>
      </c>
      <c r="C2865" s="39">
        <f t="array" ref="C2865">NPV(B2865,FCFF!$C$9:$I$9)+FCFF!$B$9+FCFF!$I$9*(1+Inputs!$B$6)/(B2865-Inputs!$B$6)/(1+B2865)^7</f>
        <v>-1721.568689</v>
      </c>
    </row>
    <row r="2866" ht="14.25" customHeight="1">
      <c r="A2866" s="7">
        <v>2853.0</v>
      </c>
      <c r="B2866" s="14">
        <f t="shared" si="1"/>
        <v>0.1321556092</v>
      </c>
      <c r="C2866" s="39">
        <f t="array" ref="C2866">NPV(B2866,FCFF!$C$9:$I$9)+FCFF!$B$9+FCFF!$I$9*(1+Inputs!$B$6)/(B2866-Inputs!$B$6)/(1+B2866)^7</f>
        <v>-2000.742895</v>
      </c>
    </row>
    <row r="2867" ht="14.25" customHeight="1">
      <c r="A2867" s="7">
        <v>2854.0</v>
      </c>
      <c r="B2867" s="14">
        <f t="shared" si="1"/>
        <v>0.1070154812</v>
      </c>
      <c r="C2867" s="39">
        <f t="array" ref="C2867">NPV(B2867,FCFF!$C$9:$I$9)+FCFF!$B$9+FCFF!$I$9*(1+Inputs!$B$6)/(B2867-Inputs!$B$6)/(1+B2867)^7</f>
        <v>-1564.019263</v>
      </c>
    </row>
    <row r="2868" ht="14.25" customHeight="1">
      <c r="A2868" s="7">
        <v>2855.0</v>
      </c>
      <c r="B2868" s="14">
        <f t="shared" si="1"/>
        <v>0.1327216091</v>
      </c>
      <c r="C2868" s="39">
        <f t="array" ref="C2868">NPV(B2868,FCFF!$C$9:$I$9)+FCFF!$B$9+FCFF!$I$9*(1+Inputs!$B$6)/(B2868-Inputs!$B$6)/(1+B2868)^7</f>
        <v>-2007.966739</v>
      </c>
    </row>
    <row r="2869" ht="14.25" customHeight="1">
      <c r="A2869" s="7">
        <v>2856.0</v>
      </c>
      <c r="B2869" s="14">
        <f t="shared" si="1"/>
        <v>0.09538463933</v>
      </c>
      <c r="C2869" s="39">
        <f t="array" ref="C2869">NPV(B2869,FCFF!$C$9:$I$9)+FCFF!$B$9+FCFF!$I$9*(1+Inputs!$B$6)/(B2869-Inputs!$B$6)/(1+B2869)^7</f>
        <v>-1243.769782</v>
      </c>
    </row>
    <row r="2870" ht="14.25" customHeight="1">
      <c r="A2870" s="7">
        <v>2857.0</v>
      </c>
      <c r="B2870" s="14">
        <f t="shared" si="1"/>
        <v>0.09511762155</v>
      </c>
      <c r="C2870" s="39">
        <f t="array" ref="C2870">NPV(B2870,FCFF!$C$9:$I$9)+FCFF!$B$9+FCFF!$I$9*(1+Inputs!$B$6)/(B2870-Inputs!$B$6)/(1+B2870)^7</f>
        <v>-1235.068961</v>
      </c>
    </row>
    <row r="2871" ht="14.25" customHeight="1">
      <c r="A2871" s="7">
        <v>2858.0</v>
      </c>
      <c r="B2871" s="14">
        <f t="shared" si="1"/>
        <v>0.1175158145</v>
      </c>
      <c r="C2871" s="39">
        <f t="array" ref="C2871">NPV(B2871,FCFF!$C$9:$I$9)+FCFF!$B$9+FCFF!$I$9*(1+Inputs!$B$6)/(B2871-Inputs!$B$6)/(1+B2871)^7</f>
        <v>-1778.607441</v>
      </c>
    </row>
    <row r="2872" ht="14.25" customHeight="1">
      <c r="A2872" s="7">
        <v>2859.0</v>
      </c>
      <c r="B2872" s="14">
        <f t="shared" si="1"/>
        <v>0.1285210214</v>
      </c>
      <c r="C2872" s="39">
        <f t="array" ref="C2872">NPV(B2872,FCFF!$C$9:$I$9)+FCFF!$B$9+FCFF!$I$9*(1+Inputs!$B$6)/(B2872-Inputs!$B$6)/(1+B2872)^7</f>
        <v>-1952.197514</v>
      </c>
    </row>
    <row r="2873" ht="14.25" customHeight="1">
      <c r="A2873" s="7">
        <v>2860.0</v>
      </c>
      <c r="B2873" s="14">
        <f t="shared" si="1"/>
        <v>0.1225065185</v>
      </c>
      <c r="C2873" s="39">
        <f t="array" ref="C2873">NPV(B2873,FCFF!$C$9:$I$9)+FCFF!$B$9+FCFF!$I$9*(1+Inputs!$B$6)/(B2873-Inputs!$B$6)/(1+B2873)^7</f>
        <v>-1862.784607</v>
      </c>
    </row>
    <row r="2874" ht="14.25" customHeight="1">
      <c r="A2874" s="7">
        <v>2861.0</v>
      </c>
      <c r="B2874" s="14">
        <f t="shared" si="1"/>
        <v>0.1221096074</v>
      </c>
      <c r="C2874" s="39">
        <f t="array" ref="C2874">NPV(B2874,FCFF!$C$9:$I$9)+FCFF!$B$9+FCFF!$I$9*(1+Inputs!$B$6)/(B2874-Inputs!$B$6)/(1+B2874)^7</f>
        <v>-1856.443763</v>
      </c>
    </row>
    <row r="2875" ht="14.25" customHeight="1">
      <c r="A2875" s="7">
        <v>2862.0</v>
      </c>
      <c r="B2875" s="14">
        <f t="shared" si="1"/>
        <v>0.1185888542</v>
      </c>
      <c r="C2875" s="39">
        <f t="array" ref="C2875">NPV(B2875,FCFF!$C$9:$I$9)+FCFF!$B$9+FCFF!$I$9*(1+Inputs!$B$6)/(B2875-Inputs!$B$6)/(1+B2875)^7</f>
        <v>-1797.553091</v>
      </c>
    </row>
    <row r="2876" ht="14.25" customHeight="1">
      <c r="A2876" s="7">
        <v>2863.0</v>
      </c>
      <c r="B2876" s="14">
        <f t="shared" si="1"/>
        <v>0.1165571149</v>
      </c>
      <c r="C2876" s="39">
        <f t="array" ref="C2876">NPV(B2876,FCFF!$C$9:$I$9)+FCFF!$B$9+FCFF!$I$9*(1+Inputs!$B$6)/(B2876-Inputs!$B$6)/(1+B2876)^7</f>
        <v>-1761.2622</v>
      </c>
    </row>
    <row r="2877" ht="14.25" customHeight="1">
      <c r="A2877" s="7">
        <v>2864.0</v>
      </c>
      <c r="B2877" s="14">
        <f t="shared" si="1"/>
        <v>0.1279611501</v>
      </c>
      <c r="C2877" s="39">
        <f t="array" ref="C2877">NPV(B2877,FCFF!$C$9:$I$9)+FCFF!$B$9+FCFF!$I$9*(1+Inputs!$B$6)/(B2877-Inputs!$B$6)/(1+B2877)^7</f>
        <v>-1944.372065</v>
      </c>
    </row>
    <row r="2878" ht="14.25" customHeight="1">
      <c r="A2878" s="7">
        <v>2865.0</v>
      </c>
      <c r="B2878" s="14">
        <f t="shared" si="1"/>
        <v>0.09650586444</v>
      </c>
      <c r="C2878" s="39">
        <f t="array" ref="C2878">NPV(B2878,FCFF!$C$9:$I$9)+FCFF!$B$9+FCFF!$I$9*(1+Inputs!$B$6)/(B2878-Inputs!$B$6)/(1+B2878)^7</f>
        <v>-1279.546256</v>
      </c>
    </row>
    <row r="2879" ht="14.25" customHeight="1">
      <c r="A2879" s="7">
        <v>2866.0</v>
      </c>
      <c r="B2879" s="14">
        <f t="shared" si="1"/>
        <v>0.09445422839</v>
      </c>
      <c r="C2879" s="39">
        <f t="array" ref="C2879">NPV(B2879,FCFF!$C$9:$I$9)+FCFF!$B$9+FCFF!$I$9*(1+Inputs!$B$6)/(B2879-Inputs!$B$6)/(1+B2879)^7</f>
        <v>-1213.142298</v>
      </c>
    </row>
    <row r="2880" ht="14.25" customHeight="1">
      <c r="A2880" s="7">
        <v>2867.0</v>
      </c>
      <c r="B2880" s="14">
        <f t="shared" si="1"/>
        <v>0.1260990525</v>
      </c>
      <c r="C2880" s="39">
        <f t="array" ref="C2880">NPV(B2880,FCFF!$C$9:$I$9)+FCFF!$B$9+FCFF!$I$9*(1+Inputs!$B$6)/(B2880-Inputs!$B$6)/(1+B2880)^7</f>
        <v>-1917.636761</v>
      </c>
    </row>
    <row r="2881" ht="14.25" customHeight="1">
      <c r="A2881" s="7">
        <v>2868.0</v>
      </c>
      <c r="B2881" s="14">
        <f t="shared" si="1"/>
        <v>0.1138706211</v>
      </c>
      <c r="C2881" s="39">
        <f t="array" ref="C2881">NPV(B2881,FCFF!$C$9:$I$9)+FCFF!$B$9+FCFF!$I$9*(1+Inputs!$B$6)/(B2881-Inputs!$B$6)/(1+B2881)^7</f>
        <v>-1710.439813</v>
      </c>
    </row>
    <row r="2882" ht="14.25" customHeight="1">
      <c r="A2882" s="7">
        <v>2869.0</v>
      </c>
      <c r="B2882" s="14">
        <f t="shared" si="1"/>
        <v>0.1066542124</v>
      </c>
      <c r="C2882" s="39">
        <f t="array" ref="C2882">NPV(B2882,FCFF!$C$9:$I$9)+FCFF!$B$9+FCFF!$I$9*(1+Inputs!$B$6)/(B2882-Inputs!$B$6)/(1+B2882)^7</f>
        <v>-1555.553604</v>
      </c>
    </row>
    <row r="2883" ht="14.25" customHeight="1">
      <c r="A2883" s="7">
        <v>2870.0</v>
      </c>
      <c r="B2883" s="14">
        <f t="shared" si="1"/>
        <v>0.119313815</v>
      </c>
      <c r="C2883" s="39">
        <f t="array" ref="C2883">NPV(B2883,FCFF!$C$9:$I$9)+FCFF!$B$9+FCFF!$I$9*(1+Inputs!$B$6)/(B2883-Inputs!$B$6)/(1+B2883)^7</f>
        <v>-1810.081385</v>
      </c>
    </row>
    <row r="2884" ht="14.25" customHeight="1">
      <c r="A2884" s="7">
        <v>2871.0</v>
      </c>
      <c r="B2884" s="14">
        <f t="shared" si="1"/>
        <v>0.1215355076</v>
      </c>
      <c r="C2884" s="39">
        <f t="array" ref="C2884">NPV(B2884,FCFF!$C$9:$I$9)+FCFF!$B$9+FCFF!$I$9*(1+Inputs!$B$6)/(B2884-Inputs!$B$6)/(1+B2884)^7</f>
        <v>-1847.168671</v>
      </c>
    </row>
    <row r="2885" ht="14.25" customHeight="1">
      <c r="A2885" s="7">
        <v>2872.0</v>
      </c>
      <c r="B2885" s="14">
        <f t="shared" si="1"/>
        <v>0.1201437604</v>
      </c>
      <c r="C2885" s="39">
        <f t="array" ref="C2885">NPV(B2885,FCFF!$C$9:$I$9)+FCFF!$B$9+FCFF!$I$9*(1+Inputs!$B$6)/(B2885-Inputs!$B$6)/(1+B2885)^7</f>
        <v>-1824.162565</v>
      </c>
    </row>
    <row r="2886" ht="14.25" customHeight="1">
      <c r="A2886" s="7">
        <v>2873.0</v>
      </c>
      <c r="B2886" s="14">
        <f t="shared" si="1"/>
        <v>0.0937434681</v>
      </c>
      <c r="C2886" s="39">
        <f t="array" ref="C2886">NPV(B2886,FCFF!$C$9:$I$9)+FCFF!$B$9+FCFF!$I$9*(1+Inputs!$B$6)/(B2886-Inputs!$B$6)/(1+B2886)^7</f>
        <v>-1189.147883</v>
      </c>
    </row>
    <row r="2887" ht="14.25" customHeight="1">
      <c r="A2887" s="7">
        <v>2874.0</v>
      </c>
      <c r="B2887" s="14">
        <f t="shared" si="1"/>
        <v>0.12167461</v>
      </c>
      <c r="C2887" s="39">
        <f t="array" ref="C2887">NPV(B2887,FCFF!$C$9:$I$9)+FCFF!$B$9+FCFF!$I$9*(1+Inputs!$B$6)/(B2887-Inputs!$B$6)/(1+B2887)^7</f>
        <v>-1849.427335</v>
      </c>
    </row>
    <row r="2888" ht="14.25" customHeight="1">
      <c r="A2888" s="7">
        <v>2875.0</v>
      </c>
      <c r="B2888" s="14">
        <f t="shared" si="1"/>
        <v>0.1003194386</v>
      </c>
      <c r="C2888" s="39">
        <f t="array" ref="C2888">NPV(B2888,FCFF!$C$9:$I$9)+FCFF!$B$9+FCFF!$I$9*(1+Inputs!$B$6)/(B2888-Inputs!$B$6)/(1+B2888)^7</f>
        <v>-1392.6957</v>
      </c>
    </row>
    <row r="2889" ht="14.25" customHeight="1">
      <c r="A2889" s="7">
        <v>2876.0</v>
      </c>
      <c r="B2889" s="14">
        <f t="shared" si="1"/>
        <v>0.1248164083</v>
      </c>
      <c r="C2889" s="39">
        <f t="array" ref="C2889">NPV(B2889,FCFF!$C$9:$I$9)+FCFF!$B$9+FCFF!$I$9*(1+Inputs!$B$6)/(B2889-Inputs!$B$6)/(1+B2889)^7</f>
        <v>-1898.563472</v>
      </c>
    </row>
    <row r="2890" ht="14.25" customHeight="1">
      <c r="A2890" s="7">
        <v>2877.0</v>
      </c>
      <c r="B2890" s="14">
        <f t="shared" si="1"/>
        <v>0.1161161197</v>
      </c>
      <c r="C2890" s="39">
        <f t="array" ref="C2890">NPV(B2890,FCFF!$C$9:$I$9)+FCFF!$B$9+FCFF!$I$9*(1+Inputs!$B$6)/(B2890-Inputs!$B$6)/(1+B2890)^7</f>
        <v>-1753.147264</v>
      </c>
    </row>
    <row r="2891" ht="14.25" customHeight="1">
      <c r="A2891" s="7">
        <v>2878.0</v>
      </c>
      <c r="B2891" s="14">
        <f t="shared" si="1"/>
        <v>0.1151244266</v>
      </c>
      <c r="C2891" s="39">
        <f t="array" ref="C2891">NPV(B2891,FCFF!$C$9:$I$9)+FCFF!$B$9+FCFF!$I$9*(1+Inputs!$B$6)/(B2891-Inputs!$B$6)/(1+B2891)^7</f>
        <v>-1734.576634</v>
      </c>
    </row>
    <row r="2892" ht="14.25" customHeight="1">
      <c r="A2892" s="7">
        <v>2879.0</v>
      </c>
      <c r="B2892" s="14">
        <f t="shared" si="1"/>
        <v>0.1276980412</v>
      </c>
      <c r="C2892" s="39">
        <f t="array" ref="C2892">NPV(B2892,FCFF!$C$9:$I$9)+FCFF!$B$9+FCFF!$I$9*(1+Inputs!$B$6)/(B2892-Inputs!$B$6)/(1+B2892)^7</f>
        <v>-1940.661064</v>
      </c>
    </row>
    <row r="2893" ht="14.25" customHeight="1">
      <c r="A2893" s="7">
        <v>2880.0</v>
      </c>
      <c r="B2893" s="14">
        <f t="shared" si="1"/>
        <v>0.1168534208</v>
      </c>
      <c r="C2893" s="39">
        <f t="array" ref="C2893">NPV(B2893,FCFF!$C$9:$I$9)+FCFF!$B$9+FCFF!$I$9*(1+Inputs!$B$6)/(B2893-Inputs!$B$6)/(1+B2893)^7</f>
        <v>-1766.666073</v>
      </c>
    </row>
    <row r="2894" ht="14.25" customHeight="1">
      <c r="A2894" s="7">
        <v>2881.0</v>
      </c>
      <c r="B2894" s="14">
        <f t="shared" si="1"/>
        <v>0.1041143337</v>
      </c>
      <c r="C2894" s="39">
        <f t="array" ref="C2894">NPV(B2894,FCFF!$C$9:$I$9)+FCFF!$B$9+FCFF!$I$9*(1+Inputs!$B$6)/(B2894-Inputs!$B$6)/(1+B2894)^7</f>
        <v>-1493.653885</v>
      </c>
    </row>
    <row r="2895" ht="14.25" customHeight="1">
      <c r="A2895" s="7">
        <v>2882.0</v>
      </c>
      <c r="B2895" s="14">
        <f t="shared" si="1"/>
        <v>0.1004395649</v>
      </c>
      <c r="C2895" s="39">
        <f t="array" ref="C2895">NPV(B2895,FCFF!$C$9:$I$9)+FCFF!$B$9+FCFF!$I$9*(1+Inputs!$B$6)/(B2895-Inputs!$B$6)/(1+B2895)^7</f>
        <v>-1396.060042</v>
      </c>
    </row>
    <row r="2896" ht="14.25" customHeight="1">
      <c r="A2896" s="7">
        <v>2883.0</v>
      </c>
      <c r="B2896" s="14">
        <f t="shared" si="1"/>
        <v>0.1111636412</v>
      </c>
      <c r="C2896" s="39">
        <f t="array" ref="C2896">NPV(B2896,FCFF!$C$9:$I$9)+FCFF!$B$9+FCFF!$I$9*(1+Inputs!$B$6)/(B2896-Inputs!$B$6)/(1+B2896)^7</f>
        <v>-1655.676632</v>
      </c>
    </row>
    <row r="2897" ht="14.25" customHeight="1">
      <c r="A2897" s="7">
        <v>2884.0</v>
      </c>
      <c r="B2897" s="14">
        <f t="shared" si="1"/>
        <v>0.1252954705</v>
      </c>
      <c r="C2897" s="39">
        <f t="array" ref="C2897">NPV(B2897,FCFF!$C$9:$I$9)+FCFF!$B$9+FCFF!$I$9*(1+Inputs!$B$6)/(B2897-Inputs!$B$6)/(1+B2897)^7</f>
        <v>-1905.751728</v>
      </c>
    </row>
    <row r="2898" ht="14.25" customHeight="1">
      <c r="A2898" s="7">
        <v>2885.0</v>
      </c>
      <c r="B2898" s="14">
        <f t="shared" si="1"/>
        <v>0.1138052394</v>
      </c>
      <c r="C2898" s="39">
        <f t="array" ref="C2898">NPV(B2898,FCFF!$C$9:$I$9)+FCFF!$B$9+FCFF!$I$9*(1+Inputs!$B$6)/(B2898-Inputs!$B$6)/(1+B2898)^7</f>
        <v>-1709.160474</v>
      </c>
    </row>
    <row r="2899" ht="14.25" customHeight="1">
      <c r="A2899" s="7">
        <v>2886.0</v>
      </c>
      <c r="B2899" s="14">
        <f t="shared" si="1"/>
        <v>0.12097393</v>
      </c>
      <c r="C2899" s="39">
        <f t="array" ref="C2899">NPV(B2899,FCFF!$C$9:$I$9)+FCFF!$B$9+FCFF!$I$9*(1+Inputs!$B$6)/(B2899-Inputs!$B$6)/(1+B2899)^7</f>
        <v>-1837.975463</v>
      </c>
    </row>
    <row r="2900" ht="14.25" customHeight="1">
      <c r="A2900" s="7">
        <v>2887.0</v>
      </c>
      <c r="B2900" s="14">
        <f t="shared" si="1"/>
        <v>0.1099441568</v>
      </c>
      <c r="C2900" s="39">
        <f t="array" ref="C2900">NPV(B2900,FCFF!$C$9:$I$9)+FCFF!$B$9+FCFF!$I$9*(1+Inputs!$B$6)/(B2900-Inputs!$B$6)/(1+B2900)^7</f>
        <v>-1629.748527</v>
      </c>
    </row>
    <row r="2901" ht="14.25" customHeight="1">
      <c r="A2901" s="7">
        <v>2888.0</v>
      </c>
      <c r="B2901" s="14">
        <f t="shared" si="1"/>
        <v>0.1288290136</v>
      </c>
      <c r="C2901" s="39">
        <f t="array" ref="C2901">NPV(B2901,FCFF!$C$9:$I$9)+FCFF!$B$9+FCFF!$I$9*(1+Inputs!$B$6)/(B2901-Inputs!$B$6)/(1+B2901)^7</f>
        <v>-1956.461538</v>
      </c>
    </row>
    <row r="2902" ht="14.25" customHeight="1">
      <c r="A2902" s="7">
        <v>2889.0</v>
      </c>
      <c r="B2902" s="14">
        <f t="shared" si="1"/>
        <v>0.1084392599</v>
      </c>
      <c r="C2902" s="39">
        <f t="array" ref="C2902">NPV(B2902,FCFF!$C$9:$I$9)+FCFF!$B$9+FCFF!$I$9*(1+Inputs!$B$6)/(B2902-Inputs!$B$6)/(1+B2902)^7</f>
        <v>-1596.60426</v>
      </c>
    </row>
    <row r="2903" ht="14.25" customHeight="1">
      <c r="A2903" s="7">
        <v>2890.0</v>
      </c>
      <c r="B2903" s="14">
        <f t="shared" si="1"/>
        <v>0.126599361</v>
      </c>
      <c r="C2903" s="39">
        <f t="array" ref="C2903">NPV(B2903,FCFF!$C$9:$I$9)+FCFF!$B$9+FCFF!$I$9*(1+Inputs!$B$6)/(B2903-Inputs!$B$6)/(1+B2903)^7</f>
        <v>-1924.929081</v>
      </c>
    </row>
    <row r="2904" ht="14.25" customHeight="1">
      <c r="A2904" s="7">
        <v>2891.0</v>
      </c>
      <c r="B2904" s="14">
        <f t="shared" si="1"/>
        <v>0.1134845268</v>
      </c>
      <c r="C2904" s="39">
        <f t="array" ref="C2904">NPV(B2904,FCFF!$C$9:$I$9)+FCFF!$B$9+FCFF!$I$9*(1+Inputs!$B$6)/(B2904-Inputs!$B$6)/(1+B2904)^7</f>
        <v>-1702.854761</v>
      </c>
    </row>
    <row r="2905" ht="14.25" customHeight="1">
      <c r="A2905" s="7">
        <v>2892.0</v>
      </c>
      <c r="B2905" s="14">
        <f t="shared" si="1"/>
        <v>0.1063031011</v>
      </c>
      <c r="C2905" s="39">
        <f t="array" ref="C2905">NPV(B2905,FCFF!$C$9:$I$9)+FCFF!$B$9+FCFF!$I$9*(1+Inputs!$B$6)/(B2905-Inputs!$B$6)/(1+B2905)^7</f>
        <v>-1547.247299</v>
      </c>
    </row>
    <row r="2906" ht="14.25" customHeight="1">
      <c r="A2906" s="7">
        <v>2893.0</v>
      </c>
      <c r="B2906" s="14">
        <f t="shared" si="1"/>
        <v>0.123253046</v>
      </c>
      <c r="C2906" s="39">
        <f t="array" ref="C2906">NPV(B2906,FCFF!$C$9:$I$9)+FCFF!$B$9+FCFF!$I$9*(1+Inputs!$B$6)/(B2906-Inputs!$B$6)/(1+B2906)^7</f>
        <v>-1874.554974</v>
      </c>
    </row>
    <row r="2907" ht="14.25" customHeight="1">
      <c r="A2907" s="7">
        <v>2894.0</v>
      </c>
      <c r="B2907" s="14">
        <f t="shared" si="1"/>
        <v>0.1310372666</v>
      </c>
      <c r="C2907" s="39">
        <f t="array" ref="C2907">NPV(B2907,FCFF!$C$9:$I$9)+FCFF!$B$9+FCFF!$I$9*(1+Inputs!$B$6)/(B2907-Inputs!$B$6)/(1+B2907)^7</f>
        <v>-1986.209826</v>
      </c>
    </row>
    <row r="2908" ht="14.25" customHeight="1">
      <c r="A2908" s="7">
        <v>2895.0</v>
      </c>
      <c r="B2908" s="14">
        <f t="shared" si="1"/>
        <v>0.1077533509</v>
      </c>
      <c r="C2908" s="39">
        <f t="array" ref="C2908">NPV(B2908,FCFF!$C$9:$I$9)+FCFF!$B$9+FCFF!$I$9*(1+Inputs!$B$6)/(B2908-Inputs!$B$6)/(1+B2908)^7</f>
        <v>-1581.059316</v>
      </c>
    </row>
    <row r="2909" ht="14.25" customHeight="1">
      <c r="A2909" s="7">
        <v>2896.0</v>
      </c>
      <c r="B2909" s="14">
        <f t="shared" si="1"/>
        <v>0.1014120288</v>
      </c>
      <c r="C2909" s="39">
        <f t="array" ref="C2909">NPV(B2909,FCFF!$C$9:$I$9)+FCFF!$B$9+FCFF!$I$9*(1+Inputs!$B$6)/(B2909-Inputs!$B$6)/(1+B2909)^7</f>
        <v>-1422.875395</v>
      </c>
    </row>
    <row r="2910" ht="14.25" customHeight="1">
      <c r="A2910" s="7">
        <v>2897.0</v>
      </c>
      <c r="B2910" s="14">
        <f t="shared" si="1"/>
        <v>0.1022364161</v>
      </c>
      <c r="C2910" s="39">
        <f t="array" ref="C2910">NPV(B2910,FCFF!$C$9:$I$9)+FCFF!$B$9+FCFF!$I$9*(1+Inputs!$B$6)/(B2910-Inputs!$B$6)/(1+B2910)^7</f>
        <v>-1445.036493</v>
      </c>
    </row>
    <row r="2911" ht="14.25" customHeight="1">
      <c r="A2911" s="7">
        <v>2898.0</v>
      </c>
      <c r="B2911" s="14">
        <f t="shared" si="1"/>
        <v>0.1132419629</v>
      </c>
      <c r="C2911" s="39">
        <f t="array" ref="C2911">NPV(B2911,FCFF!$C$9:$I$9)+FCFF!$B$9+FCFF!$I$9*(1+Inputs!$B$6)/(B2911-Inputs!$B$6)/(1+B2911)^7</f>
        <v>-1698.051944</v>
      </c>
    </row>
    <row r="2912" ht="14.25" customHeight="1">
      <c r="A2912" s="7">
        <v>2899.0</v>
      </c>
      <c r="B2912" s="14">
        <f t="shared" si="1"/>
        <v>0.1193417626</v>
      </c>
      <c r="C2912" s="39">
        <f t="array" ref="C2912">NPV(B2912,FCFF!$C$9:$I$9)+FCFF!$B$9+FCFF!$I$9*(1+Inputs!$B$6)/(B2912-Inputs!$B$6)/(1+B2912)^7</f>
        <v>-1810.560057</v>
      </c>
    </row>
    <row r="2913" ht="14.25" customHeight="1">
      <c r="A2913" s="7">
        <v>2900.0</v>
      </c>
      <c r="B2913" s="14">
        <f t="shared" si="1"/>
        <v>0.1037081384</v>
      </c>
      <c r="C2913" s="39">
        <f t="array" ref="C2913">NPV(B2913,FCFF!$C$9:$I$9)+FCFF!$B$9+FCFF!$I$9*(1+Inputs!$B$6)/(B2913-Inputs!$B$6)/(1+B2913)^7</f>
        <v>-1483.351073</v>
      </c>
    </row>
    <row r="2914" ht="14.25" customHeight="1">
      <c r="A2914" s="7">
        <v>2901.0</v>
      </c>
      <c r="B2914" s="14">
        <f t="shared" si="1"/>
        <v>0.09474048145</v>
      </c>
      <c r="C2914" s="39">
        <f t="array" ref="C2914">NPV(B2914,FCFF!$C$9:$I$9)+FCFF!$B$9+FCFF!$I$9*(1+Inputs!$B$6)/(B2914-Inputs!$B$6)/(1+B2914)^7</f>
        <v>-1222.658322</v>
      </c>
    </row>
    <row r="2915" ht="14.25" customHeight="1">
      <c r="A2915" s="7">
        <v>2902.0</v>
      </c>
      <c r="B2915" s="14">
        <f t="shared" si="1"/>
        <v>0.09556643167</v>
      </c>
      <c r="C2915" s="39">
        <f t="array" ref="C2915">NPV(B2915,FCFF!$C$9:$I$9)+FCFF!$B$9+FCFF!$I$9*(1+Inputs!$B$6)/(B2915-Inputs!$B$6)/(1+B2915)^7</f>
        <v>-1249.653206</v>
      </c>
    </row>
    <row r="2916" ht="14.25" customHeight="1">
      <c r="A2916" s="7">
        <v>2903.0</v>
      </c>
      <c r="B2916" s="14">
        <f t="shared" si="1"/>
        <v>0.1047044121</v>
      </c>
      <c r="C2916" s="39">
        <f t="array" ref="C2916">NPV(B2916,FCFF!$C$9:$I$9)+FCFF!$B$9+FCFF!$I$9*(1+Inputs!$B$6)/(B2916-Inputs!$B$6)/(1+B2916)^7</f>
        <v>-1508.417678</v>
      </c>
    </row>
    <row r="2917" ht="14.25" customHeight="1">
      <c r="A2917" s="7">
        <v>2904.0</v>
      </c>
      <c r="B2917" s="14">
        <f t="shared" si="1"/>
        <v>0.1133043814</v>
      </c>
      <c r="C2917" s="39">
        <f t="array" ref="C2917">NPV(B2917,FCFF!$C$9:$I$9)+FCFF!$B$9+FCFF!$I$9*(1+Inputs!$B$6)/(B2917-Inputs!$B$6)/(1+B2917)^7</f>
        <v>-1699.290627</v>
      </c>
    </row>
    <row r="2918" ht="14.25" customHeight="1">
      <c r="A2918" s="7">
        <v>2905.0</v>
      </c>
      <c r="B2918" s="14">
        <f t="shared" si="1"/>
        <v>0.1053119852</v>
      </c>
      <c r="C2918" s="39">
        <f t="array" ref="C2918">NPV(B2918,FCFF!$C$9:$I$9)+FCFF!$B$9+FCFF!$I$9*(1+Inputs!$B$6)/(B2918-Inputs!$B$6)/(1+B2918)^7</f>
        <v>-1523.372914</v>
      </c>
    </row>
    <row r="2919" ht="14.25" customHeight="1">
      <c r="A2919" s="7">
        <v>2906.0</v>
      </c>
      <c r="B2919" s="14">
        <f t="shared" si="1"/>
        <v>0.1097615172</v>
      </c>
      <c r="C2919" s="39">
        <f t="array" ref="C2919">NPV(B2919,FCFF!$C$9:$I$9)+FCFF!$B$9+FCFF!$I$9*(1+Inputs!$B$6)/(B2919-Inputs!$B$6)/(1+B2919)^7</f>
        <v>-1625.794768</v>
      </c>
    </row>
    <row r="2920" ht="14.25" customHeight="1">
      <c r="A2920" s="7">
        <v>2907.0</v>
      </c>
      <c r="B2920" s="14">
        <f t="shared" si="1"/>
        <v>0.1155252013</v>
      </c>
      <c r="C2920" s="39">
        <f t="array" ref="C2920">NPV(B2920,FCFF!$C$9:$I$9)+FCFF!$B$9+FCFF!$I$9*(1+Inputs!$B$6)/(B2920-Inputs!$B$6)/(1+B2920)^7</f>
        <v>-1742.135922</v>
      </c>
    </row>
    <row r="2921" ht="14.25" customHeight="1">
      <c r="A2921" s="7">
        <v>2908.0</v>
      </c>
      <c r="B2921" s="14">
        <f t="shared" si="1"/>
        <v>0.1180715798</v>
      </c>
      <c r="C2921" s="39">
        <f t="array" ref="C2921">NPV(B2921,FCFF!$C$9:$I$9)+FCFF!$B$9+FCFF!$I$9*(1+Inputs!$B$6)/(B2921-Inputs!$B$6)/(1+B2921)^7</f>
        <v>-1788.480792</v>
      </c>
    </row>
    <row r="2922" ht="14.25" customHeight="1">
      <c r="A2922" s="7">
        <v>2909.0</v>
      </c>
      <c r="B2922" s="14">
        <f t="shared" si="1"/>
        <v>0.101896656</v>
      </c>
      <c r="C2922" s="39">
        <f t="array" ref="C2922">NPV(B2922,FCFF!$C$9:$I$9)+FCFF!$B$9+FCFF!$I$9*(1+Inputs!$B$6)/(B2922-Inputs!$B$6)/(1+B2922)^7</f>
        <v>-1435.965361</v>
      </c>
    </row>
    <row r="2923" ht="14.25" customHeight="1">
      <c r="A2923" s="7">
        <v>2910.0</v>
      </c>
      <c r="B2923" s="14">
        <f t="shared" si="1"/>
        <v>0.0964299097</v>
      </c>
      <c r="C2923" s="39">
        <f t="array" ref="C2923">NPV(B2923,FCFF!$C$9:$I$9)+FCFF!$B$9+FCFF!$I$9*(1+Inputs!$B$6)/(B2923-Inputs!$B$6)/(1+B2923)^7</f>
        <v>-1277.160652</v>
      </c>
    </row>
    <row r="2924" ht="14.25" customHeight="1">
      <c r="A2924" s="7">
        <v>2911.0</v>
      </c>
      <c r="B2924" s="14">
        <f t="shared" si="1"/>
        <v>0.1210732674</v>
      </c>
      <c r="C2924" s="39">
        <f t="array" ref="C2924">NPV(B2924,FCFF!$C$9:$I$9)+FCFF!$B$9+FCFF!$I$9*(1+Inputs!$B$6)/(B2924-Inputs!$B$6)/(1+B2924)^7</f>
        <v>-1839.610415</v>
      </c>
    </row>
    <row r="2925" ht="14.25" customHeight="1">
      <c r="A2925" s="7">
        <v>2912.0</v>
      </c>
      <c r="B2925" s="14">
        <f t="shared" si="1"/>
        <v>0.1098306307</v>
      </c>
      <c r="C2925" s="39">
        <f t="array" ref="C2925">NPV(B2925,FCFF!$C$9:$I$9)+FCFF!$B$9+FCFF!$I$9*(1+Inputs!$B$6)/(B2925-Inputs!$B$6)/(1+B2925)^7</f>
        <v>-1627.293125</v>
      </c>
    </row>
    <row r="2926" ht="14.25" customHeight="1">
      <c r="A2926" s="7">
        <v>2913.0</v>
      </c>
      <c r="B2926" s="14">
        <f t="shared" si="1"/>
        <v>0.1055622336</v>
      </c>
      <c r="C2926" s="39">
        <f t="array" ref="C2926">NPV(B2926,FCFF!$C$9:$I$9)+FCFF!$B$9+FCFF!$I$9*(1+Inputs!$B$6)/(B2926-Inputs!$B$6)/(1+B2926)^7</f>
        <v>-1529.461374</v>
      </c>
    </row>
    <row r="2927" ht="14.25" customHeight="1">
      <c r="A2927" s="7">
        <v>2914.0</v>
      </c>
      <c r="B2927" s="14">
        <f t="shared" si="1"/>
        <v>0.09437655232</v>
      </c>
      <c r="C2927" s="39">
        <f t="array" ref="C2927">NPV(B2927,FCFF!$C$9:$I$9)+FCFF!$B$9+FCFF!$I$9*(1+Inputs!$B$6)/(B2927-Inputs!$B$6)/(1+B2927)^7</f>
        <v>-1210.545602</v>
      </c>
    </row>
    <row r="2928" ht="14.25" customHeight="1">
      <c r="A2928" s="7">
        <v>2915.0</v>
      </c>
      <c r="B2928" s="14">
        <f t="shared" si="1"/>
        <v>0.1245475005</v>
      </c>
      <c r="C2928" s="39">
        <f t="array" ref="C2928">NPV(B2928,FCFF!$C$9:$I$9)+FCFF!$B$9+FCFF!$I$9*(1+Inputs!$B$6)/(B2928-Inputs!$B$6)/(1+B2928)^7</f>
        <v>-1894.494337</v>
      </c>
    </row>
    <row r="2929" ht="14.25" customHeight="1">
      <c r="A2929" s="7">
        <v>2916.0</v>
      </c>
      <c r="B2929" s="14">
        <f t="shared" si="1"/>
        <v>0.09998520882</v>
      </c>
      <c r="C2929" s="39">
        <f t="array" ref="C2929">NPV(B2929,FCFF!$C$9:$I$9)+FCFF!$B$9+FCFF!$I$9*(1+Inputs!$B$6)/(B2929-Inputs!$B$6)/(1+B2929)^7</f>
        <v>-1383.273812</v>
      </c>
    </row>
    <row r="2930" ht="14.25" customHeight="1">
      <c r="A2930" s="7">
        <v>2917.0</v>
      </c>
      <c r="B2930" s="14">
        <f t="shared" si="1"/>
        <v>0.1091495963</v>
      </c>
      <c r="C2930" s="39">
        <f t="array" ref="C2930">NPV(B2930,FCFF!$C$9:$I$9)+FCFF!$B$9+FCFF!$I$9*(1+Inputs!$B$6)/(B2930-Inputs!$B$6)/(1+B2930)^7</f>
        <v>-1612.410759</v>
      </c>
    </row>
    <row r="2931" ht="14.25" customHeight="1">
      <c r="A2931" s="7">
        <v>2918.0</v>
      </c>
      <c r="B2931" s="14">
        <f t="shared" si="1"/>
        <v>0.1233674468</v>
      </c>
      <c r="C2931" s="39">
        <f t="array" ref="C2931">NPV(B2931,FCFF!$C$9:$I$9)+FCFF!$B$9+FCFF!$I$9*(1+Inputs!$B$6)/(B2931-Inputs!$B$6)/(1+B2931)^7</f>
        <v>-1876.340972</v>
      </c>
    </row>
    <row r="2932" ht="14.25" customHeight="1">
      <c r="A2932" s="7">
        <v>2919.0</v>
      </c>
      <c r="B2932" s="14">
        <f t="shared" si="1"/>
        <v>0.1327906921</v>
      </c>
      <c r="C2932" s="39">
        <f t="array" ref="C2932">NPV(B2932,FCFF!$C$9:$I$9)+FCFF!$B$9+FCFF!$I$9*(1+Inputs!$B$6)/(B2932-Inputs!$B$6)/(1+B2932)^7</f>
        <v>-2008.842497</v>
      </c>
    </row>
    <row r="2933" ht="14.25" customHeight="1">
      <c r="A2933" s="7">
        <v>2920.0</v>
      </c>
      <c r="B2933" s="14">
        <f t="shared" si="1"/>
        <v>0.1252358348</v>
      </c>
      <c r="C2933" s="39">
        <f t="array" ref="C2933">NPV(B2933,FCFF!$C$9:$I$9)+FCFF!$B$9+FCFF!$I$9*(1+Inputs!$B$6)/(B2933-Inputs!$B$6)/(1+B2933)^7</f>
        <v>-1904.861129</v>
      </c>
    </row>
    <row r="2934" ht="14.25" customHeight="1">
      <c r="A2934" s="7">
        <v>2921.0</v>
      </c>
      <c r="B2934" s="14">
        <f t="shared" si="1"/>
        <v>0.1227682581</v>
      </c>
      <c r="C2934" s="39">
        <f t="array" ref="C2934">NPV(B2934,FCFF!$C$9:$I$9)+FCFF!$B$9+FCFF!$I$9*(1+Inputs!$B$6)/(B2934-Inputs!$B$6)/(1+B2934)^7</f>
        <v>-1866.934406</v>
      </c>
    </row>
    <row r="2935" ht="14.25" customHeight="1">
      <c r="A2935" s="7">
        <v>2922.0</v>
      </c>
      <c r="B2935" s="14">
        <f t="shared" si="1"/>
        <v>0.1071291281</v>
      </c>
      <c r="C2935" s="39">
        <f t="array" ref="C2935">NPV(B2935,FCFF!$C$9:$I$9)+FCFF!$B$9+FCFF!$I$9*(1+Inputs!$B$6)/(B2935-Inputs!$B$6)/(1+B2935)^7</f>
        <v>-1566.665564</v>
      </c>
    </row>
    <row r="2936" ht="14.25" customHeight="1">
      <c r="A2936" s="7">
        <v>2923.0</v>
      </c>
      <c r="B2936" s="14">
        <f t="shared" si="1"/>
        <v>0.1273872382</v>
      </c>
      <c r="C2936" s="39">
        <f t="array" ref="C2936">NPV(B2936,FCFF!$C$9:$I$9)+FCFF!$B$9+FCFF!$I$9*(1+Inputs!$B$6)/(B2936-Inputs!$B$6)/(1+B2936)^7</f>
        <v>-1936.249482</v>
      </c>
    </row>
    <row r="2937" ht="14.25" customHeight="1">
      <c r="A2937" s="7">
        <v>2924.0</v>
      </c>
      <c r="B2937" s="14">
        <f t="shared" si="1"/>
        <v>0.100461496</v>
      </c>
      <c r="C2937" s="39">
        <f t="array" ref="C2937">NPV(B2937,FCFF!$C$9:$I$9)+FCFF!$B$9+FCFF!$I$9*(1+Inputs!$B$6)/(B2937-Inputs!$B$6)/(1+B2937)^7</f>
        <v>-1396.673014</v>
      </c>
    </row>
    <row r="2938" ht="14.25" customHeight="1">
      <c r="A2938" s="7">
        <v>2925.0</v>
      </c>
      <c r="B2938" s="14">
        <f t="shared" si="1"/>
        <v>0.1208103048</v>
      </c>
      <c r="C2938" s="39">
        <f t="array" ref="C2938">NPV(B2938,FCFF!$C$9:$I$9)+FCFF!$B$9+FCFF!$I$9*(1+Inputs!$B$6)/(B2938-Inputs!$B$6)/(1+B2938)^7</f>
        <v>-1835.274152</v>
      </c>
    </row>
    <row r="2939" ht="14.25" customHeight="1">
      <c r="A2939" s="7">
        <v>2926.0</v>
      </c>
      <c r="B2939" s="14">
        <f t="shared" si="1"/>
        <v>0.1029913956</v>
      </c>
      <c r="C2939" s="39">
        <f t="array" ref="C2939">NPV(B2939,FCFF!$C$9:$I$9)+FCFF!$B$9+FCFF!$I$9*(1+Inputs!$B$6)/(B2939-Inputs!$B$6)/(1+B2939)^7</f>
        <v>-1464.88728</v>
      </c>
    </row>
    <row r="2940" ht="14.25" customHeight="1">
      <c r="A2940" s="7">
        <v>2927.0</v>
      </c>
      <c r="B2940" s="14">
        <f t="shared" si="1"/>
        <v>0.1200411313</v>
      </c>
      <c r="C2940" s="39">
        <f t="array" ref="C2940">NPV(B2940,FCFF!$C$9:$I$9)+FCFF!$B$9+FCFF!$I$9*(1+Inputs!$B$6)/(B2940-Inputs!$B$6)/(1+B2940)^7</f>
        <v>-1822.436202</v>
      </c>
    </row>
    <row r="2941" ht="14.25" customHeight="1">
      <c r="A2941" s="7">
        <v>2928.0</v>
      </c>
      <c r="B2941" s="14">
        <f t="shared" si="1"/>
        <v>0.1185503074</v>
      </c>
      <c r="C2941" s="39">
        <f t="array" ref="C2941">NPV(B2941,FCFF!$C$9:$I$9)+FCFF!$B$9+FCFF!$I$9*(1+Inputs!$B$6)/(B2941-Inputs!$B$6)/(1+B2941)^7</f>
        <v>-1796.880885</v>
      </c>
    </row>
    <row r="2942" ht="14.25" customHeight="1">
      <c r="A2942" s="7">
        <v>2929.0</v>
      </c>
      <c r="B2942" s="14">
        <f t="shared" si="1"/>
        <v>0.1081646586</v>
      </c>
      <c r="C2942" s="39">
        <f t="array" ref="C2942">NPV(B2942,FCFF!$C$9:$I$9)+FCFF!$B$9+FCFF!$I$9*(1+Inputs!$B$6)/(B2942-Inputs!$B$6)/(1+B2942)^7</f>
        <v>-1590.414554</v>
      </c>
    </row>
    <row r="2943" ht="14.25" customHeight="1">
      <c r="A2943" s="7">
        <v>2930.0</v>
      </c>
      <c r="B2943" s="14">
        <f t="shared" si="1"/>
        <v>0.1203961997</v>
      </c>
      <c r="C2943" s="39">
        <f t="array" ref="C2943">NPV(B2943,FCFF!$C$9:$I$9)+FCFF!$B$9+FCFF!$I$9*(1+Inputs!$B$6)/(B2943-Inputs!$B$6)/(1+B2943)^7</f>
        <v>-1828.391274</v>
      </c>
    </row>
    <row r="2944" ht="14.25" customHeight="1">
      <c r="A2944" s="7">
        <v>2931.0</v>
      </c>
      <c r="B2944" s="14">
        <f t="shared" si="1"/>
        <v>0.09626375808</v>
      </c>
      <c r="C2944" s="39">
        <f t="array" ref="C2944">NPV(B2944,FCFF!$C$9:$I$9)+FCFF!$B$9+FCFF!$I$9*(1+Inputs!$B$6)/(B2944-Inputs!$B$6)/(1+B2944)^7</f>
        <v>-1271.923115</v>
      </c>
    </row>
    <row r="2945" ht="14.25" customHeight="1">
      <c r="A2945" s="7">
        <v>2932.0</v>
      </c>
      <c r="B2945" s="14">
        <f t="shared" si="1"/>
        <v>0.0959060218</v>
      </c>
      <c r="C2945" s="39">
        <f t="array" ref="C2945">NPV(B2945,FCFF!$C$9:$I$9)+FCFF!$B$9+FCFF!$I$9*(1+Inputs!$B$6)/(B2945-Inputs!$B$6)/(1+B2945)^7</f>
        <v>-1260.557011</v>
      </c>
    </row>
    <row r="2946" ht="14.25" customHeight="1">
      <c r="A2946" s="7">
        <v>2933.0</v>
      </c>
      <c r="B2946" s="14">
        <f t="shared" si="1"/>
        <v>0.1325713609</v>
      </c>
      <c r="C2946" s="39">
        <f t="array" ref="C2946">NPV(B2946,FCFF!$C$9:$I$9)+FCFF!$B$9+FCFF!$I$9*(1+Inputs!$B$6)/(B2946-Inputs!$B$6)/(1+B2946)^7</f>
        <v>-2006.05761</v>
      </c>
    </row>
    <row r="2947" ht="14.25" customHeight="1">
      <c r="A2947" s="7">
        <v>2934.0</v>
      </c>
      <c r="B2947" s="14">
        <f t="shared" si="1"/>
        <v>0.1225659025</v>
      </c>
      <c r="C2947" s="39">
        <f t="array" ref="C2947">NPV(B2947,FCFF!$C$9:$I$9)+FCFF!$B$9+FCFF!$I$9*(1+Inputs!$B$6)/(B2947-Inputs!$B$6)/(1+B2947)^7</f>
        <v>-1863.728315</v>
      </c>
    </row>
    <row r="2948" ht="14.25" customHeight="1">
      <c r="A2948" s="7">
        <v>2935.0</v>
      </c>
      <c r="B2948" s="14">
        <f t="shared" si="1"/>
        <v>0.1187838902</v>
      </c>
      <c r="C2948" s="39">
        <f t="array" ref="C2948">NPV(B2948,FCFF!$C$9:$I$9)+FCFF!$B$9+FCFF!$I$9*(1+Inputs!$B$6)/(B2948-Inputs!$B$6)/(1+B2948)^7</f>
        <v>-1800.944818</v>
      </c>
    </row>
    <row r="2949" ht="14.25" customHeight="1">
      <c r="A2949" s="7">
        <v>2936.0</v>
      </c>
      <c r="B2949" s="14">
        <f t="shared" si="1"/>
        <v>0.117552514</v>
      </c>
      <c r="C2949" s="39">
        <f t="array" ref="C2949">NPV(B2949,FCFF!$C$9:$I$9)+FCFF!$B$9+FCFF!$I$9*(1+Inputs!$B$6)/(B2949-Inputs!$B$6)/(1+B2949)^7</f>
        <v>-1779.263489</v>
      </c>
    </row>
    <row r="2950" ht="14.25" customHeight="1">
      <c r="A2950" s="7">
        <v>2937.0</v>
      </c>
      <c r="B2950" s="14">
        <f t="shared" si="1"/>
        <v>0.1255633877</v>
      </c>
      <c r="C2950" s="39">
        <f t="array" ref="C2950">NPV(B2950,FCFF!$C$9:$I$9)+FCFF!$B$9+FCFF!$I$9*(1+Inputs!$B$6)/(B2950-Inputs!$B$6)/(1+B2950)^7</f>
        <v>-1909.738091</v>
      </c>
    </row>
    <row r="2951" ht="14.25" customHeight="1">
      <c r="A2951" s="7">
        <v>2938.0</v>
      </c>
      <c r="B2951" s="14">
        <f t="shared" si="1"/>
        <v>0.09394443124</v>
      </c>
      <c r="C2951" s="39">
        <f t="array" ref="C2951">NPV(B2951,FCFF!$C$9:$I$9)+FCFF!$B$9+FCFF!$I$9*(1+Inputs!$B$6)/(B2951-Inputs!$B$6)/(1+B2951)^7</f>
        <v>-1195.985736</v>
      </c>
    </row>
    <row r="2952" ht="14.25" customHeight="1">
      <c r="A2952" s="7">
        <v>2939.0</v>
      </c>
      <c r="B2952" s="14">
        <f t="shared" si="1"/>
        <v>0.115725006</v>
      </c>
      <c r="C2952" s="39">
        <f t="array" ref="C2952">NPV(B2952,FCFF!$C$9:$I$9)+FCFF!$B$9+FCFF!$I$9*(1+Inputs!$B$6)/(B2952-Inputs!$B$6)/(1+B2952)^7</f>
        <v>-1745.876939</v>
      </c>
    </row>
    <row r="2953" ht="14.25" customHeight="1">
      <c r="A2953" s="7">
        <v>2940.0</v>
      </c>
      <c r="B2953" s="14">
        <f t="shared" si="1"/>
        <v>0.1272036616</v>
      </c>
      <c r="C2953" s="39">
        <f t="array" ref="C2953">NPV(B2953,FCFF!$C$9:$I$9)+FCFF!$B$9+FCFF!$I$9*(1+Inputs!$B$6)/(B2953-Inputs!$B$6)/(1+B2953)^7</f>
        <v>-1933.629477</v>
      </c>
    </row>
    <row r="2954" ht="14.25" customHeight="1">
      <c r="A2954" s="7">
        <v>2941.0</v>
      </c>
      <c r="B2954" s="14">
        <f t="shared" si="1"/>
        <v>0.116201323</v>
      </c>
      <c r="C2954" s="39">
        <f t="array" ref="C2954">NPV(B2954,FCFF!$C$9:$I$9)+FCFF!$B$9+FCFF!$I$9*(1+Inputs!$B$6)/(B2954-Inputs!$B$6)/(1+B2954)^7</f>
        <v>-1754.721915</v>
      </c>
    </row>
    <row r="2955" ht="14.25" customHeight="1">
      <c r="A2955" s="7">
        <v>2942.0</v>
      </c>
      <c r="B2955" s="14">
        <f t="shared" si="1"/>
        <v>0.1205951683</v>
      </c>
      <c r="C2955" s="39">
        <f t="array" ref="C2955">NPV(B2955,FCFF!$C$9:$I$9)+FCFF!$B$9+FCFF!$I$9*(1+Inputs!$B$6)/(B2955-Inputs!$B$6)/(1+B2955)^7</f>
        <v>-1831.706676</v>
      </c>
    </row>
    <row r="2956" ht="14.25" customHeight="1">
      <c r="A2956" s="7">
        <v>2943.0</v>
      </c>
      <c r="B2956" s="14">
        <f t="shared" si="1"/>
        <v>0.1184779334</v>
      </c>
      <c r="C2956" s="39">
        <f t="array" ref="C2956">NPV(B2956,FCFF!$C$9:$I$9)+FCFF!$B$9+FCFF!$I$9*(1+Inputs!$B$6)/(B2956-Inputs!$B$6)/(1+B2956)^7</f>
        <v>-1795.617111</v>
      </c>
    </row>
    <row r="2957" ht="14.25" customHeight="1">
      <c r="A2957" s="7">
        <v>2944.0</v>
      </c>
      <c r="B2957" s="14">
        <f t="shared" si="1"/>
        <v>0.09536136853</v>
      </c>
      <c r="C2957" s="39">
        <f t="array" ref="C2957">NPV(B2957,FCFF!$C$9:$I$9)+FCFF!$B$9+FCFF!$I$9*(1+Inputs!$B$6)/(B2957-Inputs!$B$6)/(1+B2957)^7</f>
        <v>-1243.014309</v>
      </c>
    </row>
    <row r="2958" ht="14.25" customHeight="1">
      <c r="A2958" s="7">
        <v>2945.0</v>
      </c>
      <c r="B2958" s="14">
        <f t="shared" si="1"/>
        <v>0.1098140179</v>
      </c>
      <c r="C2958" s="39">
        <f t="array" ref="C2958">NPV(B2958,FCFF!$C$9:$I$9)+FCFF!$B$9+FCFF!$I$9*(1+Inputs!$B$6)/(B2958-Inputs!$B$6)/(1+B2958)^7</f>
        <v>-1626.933209</v>
      </c>
    </row>
    <row r="2959" ht="14.25" customHeight="1">
      <c r="A2959" s="7">
        <v>2946.0</v>
      </c>
      <c r="B2959" s="14">
        <f t="shared" si="1"/>
        <v>0.1115597218</v>
      </c>
      <c r="C2959" s="39">
        <f t="array" ref="C2959">NPV(B2959,FCFF!$C$9:$I$9)+FCFF!$B$9+FCFF!$I$9*(1+Inputs!$B$6)/(B2959-Inputs!$B$6)/(1+B2959)^7</f>
        <v>-1663.92531</v>
      </c>
    </row>
    <row r="2960" ht="14.25" customHeight="1">
      <c r="A2960" s="7">
        <v>2947.0</v>
      </c>
      <c r="B2960" s="14">
        <f t="shared" si="1"/>
        <v>0.1003296095</v>
      </c>
      <c r="C2960" s="39">
        <f t="array" ref="C2960">NPV(B2960,FCFF!$C$9:$I$9)+FCFF!$B$9+FCFF!$I$9*(1+Inputs!$B$6)/(B2960-Inputs!$B$6)/(1+B2960)^7</f>
        <v>-1392.981003</v>
      </c>
    </row>
    <row r="2961" ht="14.25" customHeight="1">
      <c r="A2961" s="7">
        <v>2948.0</v>
      </c>
      <c r="B2961" s="14">
        <f t="shared" si="1"/>
        <v>0.122449797</v>
      </c>
      <c r="C2961" s="39">
        <f t="array" ref="C2961">NPV(B2961,FCFF!$C$9:$I$9)+FCFF!$B$9+FCFF!$I$9*(1+Inputs!$B$6)/(B2961-Inputs!$B$6)/(1+B2961)^7</f>
        <v>-1861.882005</v>
      </c>
    </row>
    <row r="2962" ht="14.25" customHeight="1">
      <c r="A2962" s="7">
        <v>2949.0</v>
      </c>
      <c r="B2962" s="14">
        <f t="shared" si="1"/>
        <v>0.1182161869</v>
      </c>
      <c r="C2962" s="39">
        <f t="array" ref="C2962">NPV(B2962,FCFF!$C$9:$I$9)+FCFF!$B$9+FCFF!$I$9*(1+Inputs!$B$6)/(B2962-Inputs!$B$6)/(1+B2962)^7</f>
        <v>-1791.028304</v>
      </c>
    </row>
    <row r="2963" ht="14.25" customHeight="1">
      <c r="A2963" s="7">
        <v>2950.0</v>
      </c>
      <c r="B2963" s="14">
        <f t="shared" si="1"/>
        <v>0.1262520471</v>
      </c>
      <c r="C2963" s="39">
        <f t="array" ref="C2963">NPV(B2963,FCFF!$C$9:$I$9)+FCFF!$B$9+FCFF!$I$9*(1+Inputs!$B$6)/(B2963-Inputs!$B$6)/(1+B2963)^7</f>
        <v>-1919.875411</v>
      </c>
    </row>
    <row r="2964" ht="14.25" customHeight="1">
      <c r="A2964" s="7">
        <v>2951.0</v>
      </c>
      <c r="B2964" s="14">
        <f t="shared" si="1"/>
        <v>0.09929154712</v>
      </c>
      <c r="C2964" s="39">
        <f t="array" ref="C2964">NPV(B2964,FCFF!$C$9:$I$9)+FCFF!$B$9+FCFF!$I$9*(1+Inputs!$B$6)/(B2964-Inputs!$B$6)/(1+B2964)^7</f>
        <v>-1363.427723</v>
      </c>
    </row>
    <row r="2965" ht="14.25" customHeight="1">
      <c r="A2965" s="7">
        <v>2952.0</v>
      </c>
      <c r="B2965" s="14">
        <f t="shared" si="1"/>
        <v>0.09418916401</v>
      </c>
      <c r="C2965" s="39">
        <f t="array" ref="C2965">NPV(B2965,FCFF!$C$9:$I$9)+FCFF!$B$9+FCFF!$I$9*(1+Inputs!$B$6)/(B2965-Inputs!$B$6)/(1+B2965)^7</f>
        <v>-1204.255604</v>
      </c>
    </row>
    <row r="2966" ht="14.25" customHeight="1">
      <c r="A2966" s="7">
        <v>2953.0</v>
      </c>
      <c r="B2966" s="14">
        <f t="shared" si="1"/>
        <v>0.1083816999</v>
      </c>
      <c r="C2966" s="39">
        <f t="array" ref="C2966">NPV(B2966,FCFF!$C$9:$I$9)+FCFF!$B$9+FCFF!$I$9*(1+Inputs!$B$6)/(B2966-Inputs!$B$6)/(1+B2966)^7</f>
        <v>-1595.310511</v>
      </c>
    </row>
    <row r="2967" ht="14.25" customHeight="1">
      <c r="A2967" s="7">
        <v>2954.0</v>
      </c>
      <c r="B2967" s="14">
        <f t="shared" si="1"/>
        <v>0.1062826876</v>
      </c>
      <c r="C2967" s="39">
        <f t="array" ref="C2967">NPV(B2967,FCFF!$C$9:$I$9)+FCFF!$B$9+FCFF!$I$9*(1+Inputs!$B$6)/(B2967-Inputs!$B$6)/(1+B2967)^7</f>
        <v>-1546.761966</v>
      </c>
    </row>
    <row r="2968" ht="14.25" customHeight="1">
      <c r="A2968" s="7">
        <v>2955.0</v>
      </c>
      <c r="B2968" s="14">
        <f t="shared" si="1"/>
        <v>0.1072044382</v>
      </c>
      <c r="C2968" s="39">
        <f t="array" ref="C2968">NPV(B2968,FCFF!$C$9:$I$9)+FCFF!$B$9+FCFF!$I$9*(1+Inputs!$B$6)/(B2968-Inputs!$B$6)/(1+B2968)^7</f>
        <v>-1568.414782</v>
      </c>
    </row>
    <row r="2969" ht="14.25" customHeight="1">
      <c r="A2969" s="7">
        <v>2956.0</v>
      </c>
      <c r="B2969" s="14">
        <f t="shared" si="1"/>
        <v>0.1028577932</v>
      </c>
      <c r="C2969" s="39">
        <f t="array" ref="C2969">NPV(B2969,FCFF!$C$9:$I$9)+FCFF!$B$9+FCFF!$I$9*(1+Inputs!$B$6)/(B2969-Inputs!$B$6)/(1+B2969)^7</f>
        <v>-1461.404818</v>
      </c>
    </row>
    <row r="2970" ht="14.25" customHeight="1">
      <c r="A2970" s="7">
        <v>2957.0</v>
      </c>
      <c r="B2970" s="14">
        <f t="shared" si="1"/>
        <v>0.1233091427</v>
      </c>
      <c r="C2970" s="39">
        <f t="array" ref="C2970">NPV(B2970,FCFF!$C$9:$I$9)+FCFF!$B$9+FCFF!$I$9*(1+Inputs!$B$6)/(B2970-Inputs!$B$6)/(1+B2970)^7</f>
        <v>-1875.431327</v>
      </c>
    </row>
    <row r="2971" ht="14.25" customHeight="1">
      <c r="A2971" s="7">
        <v>2958.0</v>
      </c>
      <c r="B2971" s="14">
        <f t="shared" si="1"/>
        <v>0.09967822531</v>
      </c>
      <c r="C2971" s="39">
        <f t="array" ref="C2971">NPV(B2971,FCFF!$C$9:$I$9)+FCFF!$B$9+FCFF!$I$9*(1+Inputs!$B$6)/(B2971-Inputs!$B$6)/(1+B2971)^7</f>
        <v>-1374.539838</v>
      </c>
    </row>
    <row r="2972" ht="14.25" customHeight="1">
      <c r="A2972" s="7">
        <v>2959.0</v>
      </c>
      <c r="B2972" s="14">
        <f t="shared" si="1"/>
        <v>0.1120781142</v>
      </c>
      <c r="C2972" s="39">
        <f t="array" ref="C2972">NPV(B2972,FCFF!$C$9:$I$9)+FCFF!$B$9+FCFF!$I$9*(1+Inputs!$B$6)/(B2972-Inputs!$B$6)/(1+B2972)^7</f>
        <v>-1674.596532</v>
      </c>
    </row>
    <row r="2973" ht="14.25" customHeight="1">
      <c r="A2973" s="7">
        <v>2960.0</v>
      </c>
      <c r="B2973" s="14">
        <f t="shared" si="1"/>
        <v>0.1207864112</v>
      </c>
      <c r="C2973" s="39">
        <f t="array" ref="C2973">NPV(B2973,FCFF!$C$9:$I$9)+FCFF!$B$9+FCFF!$I$9*(1+Inputs!$B$6)/(B2973-Inputs!$B$6)/(1+B2973)^7</f>
        <v>-1834.878824</v>
      </c>
    </row>
    <row r="2974" ht="14.25" customHeight="1">
      <c r="A2974" s="7">
        <v>2961.0</v>
      </c>
      <c r="B2974" s="14">
        <f t="shared" si="1"/>
        <v>0.1218240325</v>
      </c>
      <c r="C2974" s="39">
        <f t="array" ref="C2974">NPV(B2974,FCFF!$C$9:$I$9)+FCFF!$B$9+FCFF!$I$9*(1+Inputs!$B$6)/(B2974-Inputs!$B$6)/(1+B2974)^7</f>
        <v>-1851.845466</v>
      </c>
    </row>
    <row r="2975" ht="14.25" customHeight="1">
      <c r="A2975" s="7">
        <v>2962.0</v>
      </c>
      <c r="B2975" s="14">
        <f t="shared" si="1"/>
        <v>0.131281347</v>
      </c>
      <c r="C2975" s="39">
        <f t="array" ref="C2975">NPV(B2975,FCFF!$C$9:$I$9)+FCFF!$B$9+FCFF!$I$9*(1+Inputs!$B$6)/(B2975-Inputs!$B$6)/(1+B2975)^7</f>
        <v>-1989.411523</v>
      </c>
    </row>
    <row r="2976" ht="14.25" customHeight="1">
      <c r="A2976" s="7">
        <v>2963.0</v>
      </c>
      <c r="B2976" s="14">
        <f t="shared" si="1"/>
        <v>0.1317589072</v>
      </c>
      <c r="C2976" s="39">
        <f t="array" ref="C2976">NPV(B2976,FCFF!$C$9:$I$9)+FCFF!$B$9+FCFF!$I$9*(1+Inputs!$B$6)/(B2976-Inputs!$B$6)/(1+B2976)^7</f>
        <v>-1995.62751</v>
      </c>
    </row>
    <row r="2977" ht="14.25" customHeight="1">
      <c r="A2977" s="7">
        <v>2964.0</v>
      </c>
      <c r="B2977" s="14">
        <f t="shared" si="1"/>
        <v>0.121373998</v>
      </c>
      <c r="C2977" s="39">
        <f t="array" ref="C2977">NPV(B2977,FCFF!$C$9:$I$9)+FCFF!$B$9+FCFF!$I$9*(1+Inputs!$B$6)/(B2977-Inputs!$B$6)/(1+B2977)^7</f>
        <v>-1844.537002</v>
      </c>
    </row>
    <row r="2978" ht="14.25" customHeight="1">
      <c r="A2978" s="7">
        <v>2965.0</v>
      </c>
      <c r="B2978" s="14">
        <f t="shared" si="1"/>
        <v>0.1033198785</v>
      </c>
      <c r="C2978" s="39">
        <f t="array" ref="C2978">NPV(B2978,FCFF!$C$9:$I$9)+FCFF!$B$9+FCFF!$I$9*(1+Inputs!$B$6)/(B2978-Inputs!$B$6)/(1+B2978)^7</f>
        <v>-1473.394722</v>
      </c>
    </row>
    <row r="2979" ht="14.25" customHeight="1">
      <c r="A2979" s="7">
        <v>2966.0</v>
      </c>
      <c r="B2979" s="14">
        <f t="shared" si="1"/>
        <v>0.1151872287</v>
      </c>
      <c r="C2979" s="39">
        <f t="array" ref="C2979">NPV(B2979,FCFF!$C$9:$I$9)+FCFF!$B$9+FCFF!$I$9*(1+Inputs!$B$6)/(B2979-Inputs!$B$6)/(1+B2979)^7</f>
        <v>-1735.766106</v>
      </c>
    </row>
    <row r="2980" ht="14.25" customHeight="1">
      <c r="A2980" s="7">
        <v>2967.0</v>
      </c>
      <c r="B2980" s="14">
        <f t="shared" si="1"/>
        <v>0.1143992596</v>
      </c>
      <c r="C2980" s="39">
        <f t="array" ref="C2980">NPV(B2980,FCFF!$C$9:$I$9)+FCFF!$B$9+FCFF!$I$9*(1+Inputs!$B$6)/(B2980-Inputs!$B$6)/(1+B2980)^7</f>
        <v>-1720.707873</v>
      </c>
    </row>
    <row r="2981" ht="14.25" customHeight="1">
      <c r="A2981" s="7">
        <v>2968.0</v>
      </c>
      <c r="B2981" s="14">
        <f t="shared" si="1"/>
        <v>0.1081098103</v>
      </c>
      <c r="C2981" s="39">
        <f t="array" ref="C2981">NPV(B2981,FCFF!$C$9:$I$9)+FCFF!$B$9+FCFF!$I$9*(1+Inputs!$B$6)/(B2981-Inputs!$B$6)/(1+B2981)^7</f>
        <v>-1589.172872</v>
      </c>
    </row>
    <row r="2982" ht="14.25" customHeight="1">
      <c r="A2982" s="7">
        <v>2969.0</v>
      </c>
      <c r="B2982" s="14">
        <f t="shared" si="1"/>
        <v>0.1089481136</v>
      </c>
      <c r="C2982" s="39">
        <f t="array" ref="C2982">NPV(B2982,FCFF!$C$9:$I$9)+FCFF!$B$9+FCFF!$I$9*(1+Inputs!$B$6)/(B2982-Inputs!$B$6)/(1+B2982)^7</f>
        <v>-1607.957094</v>
      </c>
    </row>
    <row r="2983" ht="14.25" customHeight="1">
      <c r="A2983" s="7">
        <v>2970.0</v>
      </c>
      <c r="B2983" s="14">
        <f t="shared" si="1"/>
        <v>0.1033922708</v>
      </c>
      <c r="C2983" s="39">
        <f t="array" ref="C2983">NPV(B2983,FCFF!$C$9:$I$9)+FCFF!$B$9+FCFF!$I$9*(1+Inputs!$B$6)/(B2983-Inputs!$B$6)/(1+B2983)^7</f>
        <v>-1475.259231</v>
      </c>
    </row>
    <row r="2984" ht="14.25" customHeight="1">
      <c r="A2984" s="7">
        <v>2971.0</v>
      </c>
      <c r="B2984" s="14">
        <f t="shared" si="1"/>
        <v>0.1248372664</v>
      </c>
      <c r="C2984" s="39">
        <f t="array" ref="C2984">NPV(B2984,FCFF!$C$9:$I$9)+FCFF!$B$9+FCFF!$I$9*(1+Inputs!$B$6)/(B2984-Inputs!$B$6)/(1+B2984)^7</f>
        <v>-1898.878067</v>
      </c>
    </row>
    <row r="2985" ht="14.25" customHeight="1">
      <c r="A2985" s="7">
        <v>2972.0</v>
      </c>
      <c r="B2985" s="14">
        <f t="shared" si="1"/>
        <v>0.0935315073</v>
      </c>
      <c r="C2985" s="39">
        <f t="array" ref="C2985">NPV(B2985,FCFF!$C$9:$I$9)+FCFF!$B$9+FCFF!$I$9*(1+Inputs!$B$6)/(B2985-Inputs!$B$6)/(1+B2985)^7</f>
        <v>-1181.889438</v>
      </c>
    </row>
    <row r="2986" ht="14.25" customHeight="1">
      <c r="A2986" s="7">
        <v>2973.0</v>
      </c>
      <c r="B2986" s="14">
        <f t="shared" si="1"/>
        <v>0.1225246918</v>
      </c>
      <c r="C2986" s="39">
        <f t="array" ref="C2986">NPV(B2986,FCFF!$C$9:$I$9)+FCFF!$B$9+FCFF!$I$9*(1+Inputs!$B$6)/(B2986-Inputs!$B$6)/(1+B2986)^7</f>
        <v>-1863.073547</v>
      </c>
    </row>
    <row r="2987" ht="14.25" customHeight="1">
      <c r="A2987" s="7">
        <v>2974.0</v>
      </c>
      <c r="B2987" s="14">
        <f t="shared" si="1"/>
        <v>0.1194015198</v>
      </c>
      <c r="C2987" s="39">
        <f t="array" ref="C2987">NPV(B2987,FCFF!$C$9:$I$9)+FCFF!$B$9+FCFF!$I$9*(1+Inputs!$B$6)/(B2987-Inputs!$B$6)/(1+B2987)^7</f>
        <v>-1811.582489</v>
      </c>
    </row>
    <row r="2988" ht="14.25" customHeight="1">
      <c r="A2988" s="7">
        <v>2975.0</v>
      </c>
      <c r="B2988" s="14">
        <f t="shared" si="1"/>
        <v>0.1258765987</v>
      </c>
      <c r="C2988" s="39">
        <f t="array" ref="C2988">NPV(B2988,FCFF!$C$9:$I$9)+FCFF!$B$9+FCFF!$I$9*(1+Inputs!$B$6)/(B2988-Inputs!$B$6)/(1+B2988)^7</f>
        <v>-1914.368068</v>
      </c>
    </row>
    <row r="2989" ht="14.25" customHeight="1">
      <c r="A2989" s="7">
        <v>2976.0</v>
      </c>
      <c r="B2989" s="14">
        <f t="shared" si="1"/>
        <v>0.127744625</v>
      </c>
      <c r="C2989" s="39">
        <f t="array" ref="C2989">NPV(B2989,FCFF!$C$9:$I$9)+FCFF!$B$9+FCFF!$I$9*(1+Inputs!$B$6)/(B2989-Inputs!$B$6)/(1+B2989)^7</f>
        <v>-1941.319673</v>
      </c>
    </row>
    <row r="2990" ht="14.25" customHeight="1">
      <c r="A2990" s="7">
        <v>2977.0</v>
      </c>
      <c r="B2990" s="14">
        <f t="shared" si="1"/>
        <v>0.1324290203</v>
      </c>
      <c r="C2990" s="39">
        <f t="array" ref="C2990">NPV(B2990,FCFF!$C$9:$I$9)+FCFF!$B$9+FCFF!$I$9*(1+Inputs!$B$6)/(B2990-Inputs!$B$6)/(1+B2990)^7</f>
        <v>-2004.243316</v>
      </c>
    </row>
    <row r="2991" ht="14.25" customHeight="1">
      <c r="A2991" s="7">
        <v>2978.0</v>
      </c>
      <c r="B2991" s="14">
        <f t="shared" si="1"/>
        <v>0.1163614302</v>
      </c>
      <c r="C2991" s="39">
        <f t="array" ref="C2991">NPV(B2991,FCFF!$C$9:$I$9)+FCFF!$B$9+FCFF!$I$9*(1+Inputs!$B$6)/(B2991-Inputs!$B$6)/(1+B2991)^7</f>
        <v>-1757.672055</v>
      </c>
    </row>
    <row r="2992" ht="14.25" customHeight="1">
      <c r="A2992" s="7">
        <v>2979.0</v>
      </c>
      <c r="B2992" s="14">
        <f t="shared" si="1"/>
        <v>0.09959013047</v>
      </c>
      <c r="C2992" s="39">
        <f t="array" ref="C2992">NPV(B2992,FCFF!$C$9:$I$9)+FCFF!$B$9+FCFF!$I$9*(1+Inputs!$B$6)/(B2992-Inputs!$B$6)/(1+B2992)^7</f>
        <v>-1372.019143</v>
      </c>
    </row>
    <row r="2993" ht="14.25" customHeight="1">
      <c r="A2993" s="7">
        <v>2980.0</v>
      </c>
      <c r="B2993" s="14">
        <f t="shared" si="1"/>
        <v>0.1300739542</v>
      </c>
      <c r="C2993" s="39">
        <f t="array" ref="C2993">NPV(B2993,FCFF!$C$9:$I$9)+FCFF!$B$9+FCFF!$I$9*(1+Inputs!$B$6)/(B2993-Inputs!$B$6)/(1+B2993)^7</f>
        <v>-1973.407816</v>
      </c>
    </row>
    <row r="2994" ht="14.25" customHeight="1">
      <c r="A2994" s="7">
        <v>2981.0</v>
      </c>
      <c r="B2994" s="14">
        <f t="shared" si="1"/>
        <v>0.1000286433</v>
      </c>
      <c r="C2994" s="39">
        <f t="array" ref="C2994">NPV(B2994,FCFF!$C$9:$I$9)+FCFF!$B$9+FCFF!$I$9*(1+Inputs!$B$6)/(B2994-Inputs!$B$6)/(1+B2994)^7</f>
        <v>-1384.503344</v>
      </c>
    </row>
    <row r="2995" ht="14.25" customHeight="1">
      <c r="A2995" s="7">
        <v>2982.0</v>
      </c>
      <c r="B2995" s="14">
        <f t="shared" si="1"/>
        <v>0.1063549193</v>
      </c>
      <c r="C2995" s="39">
        <f t="array" ref="C2995">NPV(B2995,FCFF!$C$9:$I$9)+FCFF!$B$9+FCFF!$I$9*(1+Inputs!$B$6)/(B2995-Inputs!$B$6)/(1+B2995)^7</f>
        <v>-1548.478091</v>
      </c>
    </row>
    <row r="2996" ht="14.25" customHeight="1">
      <c r="A2996" s="7">
        <v>2983.0</v>
      </c>
      <c r="B2996" s="14">
        <f t="shared" si="1"/>
        <v>0.1161533535</v>
      </c>
      <c r="C2996" s="39">
        <f t="array" ref="C2996">NPV(B2996,FCFF!$C$9:$I$9)+FCFF!$B$9+FCFF!$I$9*(1+Inputs!$B$6)/(B2996-Inputs!$B$6)/(1+B2996)^7</f>
        <v>-1753.835787</v>
      </c>
    </row>
    <row r="2997" ht="14.25" customHeight="1">
      <c r="A2997" s="7">
        <v>2984.0</v>
      </c>
      <c r="B2997" s="14">
        <f t="shared" si="1"/>
        <v>0.1276126953</v>
      </c>
      <c r="C2997" s="39">
        <f t="array" ref="C2997">NPV(B2997,FCFF!$C$9:$I$9)+FCFF!$B$9+FCFF!$I$9*(1+Inputs!$B$6)/(B2997-Inputs!$B$6)/(1+B2997)^7</f>
        <v>-1939.452671</v>
      </c>
    </row>
    <row r="2998" ht="14.25" customHeight="1">
      <c r="A2998" s="7">
        <v>2985.0</v>
      </c>
      <c r="B2998" s="14">
        <f t="shared" si="1"/>
        <v>0.1106709576</v>
      </c>
      <c r="C2998" s="39">
        <f t="array" ref="C2998">NPV(B2998,FCFF!$C$9:$I$9)+FCFF!$B$9+FCFF!$I$9*(1+Inputs!$B$6)/(B2998-Inputs!$B$6)/(1+B2998)^7</f>
        <v>-1645.299029</v>
      </c>
    </row>
    <row r="2999" ht="14.25" customHeight="1">
      <c r="A2999" s="7">
        <v>2986.0</v>
      </c>
      <c r="B2999" s="14">
        <f t="shared" si="1"/>
        <v>0.1108160076</v>
      </c>
      <c r="C2999" s="39">
        <f t="array" ref="C2999">NPV(B2999,FCFF!$C$9:$I$9)+FCFF!$B$9+FCFF!$I$9*(1+Inputs!$B$6)/(B2999-Inputs!$B$6)/(1+B2999)^7</f>
        <v>-1648.367881</v>
      </c>
    </row>
    <row r="3000" ht="14.25" customHeight="1">
      <c r="A3000" s="7">
        <v>2987.0</v>
      </c>
      <c r="B3000" s="14">
        <f t="shared" si="1"/>
        <v>0.1263464966</v>
      </c>
      <c r="C3000" s="39">
        <f t="array" ref="C3000">NPV(B3000,FCFF!$C$9:$I$9)+FCFF!$B$9+FCFF!$I$9*(1+Inputs!$B$6)/(B3000-Inputs!$B$6)/(1+B3000)^7</f>
        <v>-1921.2536</v>
      </c>
    </row>
    <row r="3001" ht="14.25" customHeight="1">
      <c r="A3001" s="7">
        <v>2988.0</v>
      </c>
      <c r="B3001" s="14">
        <f t="shared" si="1"/>
        <v>0.1108805633</v>
      </c>
      <c r="C3001" s="39">
        <f t="array" ref="C3001">NPV(B3001,FCFF!$C$9:$I$9)+FCFF!$B$9+FCFF!$I$9*(1+Inputs!$B$6)/(B3001-Inputs!$B$6)/(1+B3001)^7</f>
        <v>-1649.730037</v>
      </c>
    </row>
    <row r="3002" ht="14.25" customHeight="1">
      <c r="A3002" s="7">
        <v>2989.0</v>
      </c>
      <c r="B3002" s="14">
        <f t="shared" si="1"/>
        <v>0.1200410208</v>
      </c>
      <c r="C3002" s="39">
        <f t="array" ref="C3002">NPV(B3002,FCFF!$C$9:$I$9)+FCFF!$B$9+FCFF!$I$9*(1+Inputs!$B$6)/(B3002-Inputs!$B$6)/(1+B3002)^7</f>
        <v>-1822.434342</v>
      </c>
    </row>
    <row r="3003" ht="14.25" customHeight="1">
      <c r="A3003" s="7">
        <v>2990.0</v>
      </c>
      <c r="B3003" s="14">
        <f t="shared" si="1"/>
        <v>0.1215916124</v>
      </c>
      <c r="C3003" s="39">
        <f t="array" ref="C3003">NPV(B3003,FCFF!$C$9:$I$9)+FCFF!$B$9+FCFF!$I$9*(1+Inputs!$B$6)/(B3003-Inputs!$B$6)/(1+B3003)^7</f>
        <v>-1848.080546</v>
      </c>
    </row>
    <row r="3004" ht="14.25" customHeight="1">
      <c r="A3004" s="7">
        <v>2991.0</v>
      </c>
      <c r="B3004" s="14">
        <f t="shared" si="1"/>
        <v>0.128747088</v>
      </c>
      <c r="C3004" s="39">
        <f t="array" ref="C3004">NPV(B3004,FCFF!$C$9:$I$9)+FCFF!$B$9+FCFF!$I$9*(1+Inputs!$B$6)/(B3004-Inputs!$B$6)/(1+B3004)^7</f>
        <v>-1955.330122</v>
      </c>
    </row>
    <row r="3005" ht="14.25" customHeight="1">
      <c r="A3005" s="7">
        <v>2992.0</v>
      </c>
      <c r="B3005" s="14">
        <f t="shared" si="1"/>
        <v>0.119497349</v>
      </c>
      <c r="C3005" s="39">
        <f t="array" ref="C3005">NPV(B3005,FCFF!$C$9:$I$9)+FCFF!$B$9+FCFF!$I$9*(1+Inputs!$B$6)/(B3005-Inputs!$B$6)/(1+B3005)^7</f>
        <v>-1813.219089</v>
      </c>
    </row>
    <row r="3006" ht="14.25" customHeight="1">
      <c r="A3006" s="7">
        <v>2993.0</v>
      </c>
      <c r="B3006" s="14">
        <f t="shared" si="1"/>
        <v>0.1316923413</v>
      </c>
      <c r="C3006" s="39">
        <f t="array" ref="C3006">NPV(B3006,FCFF!$C$9:$I$9)+FCFF!$B$9+FCFF!$I$9*(1+Inputs!$B$6)/(B3006-Inputs!$B$6)/(1+B3006)^7</f>
        <v>-1994.764894</v>
      </c>
    </row>
    <row r="3007" ht="14.25" customHeight="1">
      <c r="A3007" s="7">
        <v>2994.0</v>
      </c>
      <c r="B3007" s="14">
        <f t="shared" si="1"/>
        <v>0.09799841348</v>
      </c>
      <c r="C3007" s="39">
        <f t="array" ref="C3007">NPV(B3007,FCFF!$C$9:$I$9)+FCFF!$B$9+FCFF!$I$9*(1+Inputs!$B$6)/(B3007-Inputs!$B$6)/(1+B3007)^7</f>
        <v>-1325.344886</v>
      </c>
    </row>
    <row r="3008" ht="14.25" customHeight="1">
      <c r="A3008" s="7">
        <v>2995.0</v>
      </c>
      <c r="B3008" s="14">
        <f t="shared" si="1"/>
        <v>0.1037674951</v>
      </c>
      <c r="C3008" s="39">
        <f t="array" ref="C3008">NPV(B3008,FCFF!$C$9:$I$9)+FCFF!$B$9+FCFF!$I$9*(1+Inputs!$B$6)/(B3008-Inputs!$B$6)/(1+B3008)^7</f>
        <v>-1484.863804</v>
      </c>
    </row>
    <row r="3009" ht="14.25" customHeight="1">
      <c r="A3009" s="7">
        <v>2996.0</v>
      </c>
      <c r="B3009" s="14">
        <f t="shared" si="1"/>
        <v>0.1297237289</v>
      </c>
      <c r="C3009" s="39">
        <f t="array" ref="C3009">NPV(B3009,FCFF!$C$9:$I$9)+FCFF!$B$9+FCFF!$I$9*(1+Inputs!$B$6)/(B3009-Inputs!$B$6)/(1+B3009)^7</f>
        <v>-1968.686865</v>
      </c>
    </row>
    <row r="3010" ht="14.25" customHeight="1">
      <c r="A3010" s="7">
        <v>2997.0</v>
      </c>
      <c r="B3010" s="14">
        <f t="shared" si="1"/>
        <v>0.1108153475</v>
      </c>
      <c r="C3010" s="39">
        <f t="array" ref="C3010">NPV(B3010,FCFF!$C$9:$I$9)+FCFF!$B$9+FCFF!$I$9*(1+Inputs!$B$6)/(B3010-Inputs!$B$6)/(1+B3010)^7</f>
        <v>-1648.353942</v>
      </c>
    </row>
    <row r="3011" ht="14.25" customHeight="1">
      <c r="A3011" s="7">
        <v>2998.0</v>
      </c>
      <c r="B3011" s="14">
        <f t="shared" si="1"/>
        <v>0.1172929896</v>
      </c>
      <c r="C3011" s="39">
        <f t="array" ref="C3011">NPV(B3011,FCFF!$C$9:$I$9)+FCFF!$B$9+FCFF!$I$9*(1+Inputs!$B$6)/(B3011-Inputs!$B$6)/(1+B3011)^7</f>
        <v>-1774.611712</v>
      </c>
    </row>
    <row r="3012" ht="14.25" customHeight="1">
      <c r="A3012" s="7">
        <v>2999.0</v>
      </c>
      <c r="B3012" s="14">
        <f t="shared" si="1"/>
        <v>0.1140747941</v>
      </c>
      <c r="C3012" s="39">
        <f t="array" ref="C3012">NPV(B3012,FCFF!$C$9:$I$9)+FCFF!$B$9+FCFF!$I$9*(1+Inputs!$B$6)/(B3012-Inputs!$B$6)/(1+B3012)^7</f>
        <v>-1714.421556</v>
      </c>
    </row>
    <row r="3013" ht="14.25" customHeight="1">
      <c r="A3013" s="7">
        <v>3000.0</v>
      </c>
      <c r="B3013" s="14">
        <f t="shared" si="1"/>
        <v>0.1109164568</v>
      </c>
      <c r="C3013" s="39">
        <f t="array" ref="C3013">NPV(B3013,FCFF!$C$9:$I$9)+FCFF!$B$9+FCFF!$I$9*(1+Inputs!$B$6)/(B3013-Inputs!$B$6)/(1+B3013)^7</f>
        <v>-1650.486434</v>
      </c>
    </row>
    <row r="3014" ht="14.25" customHeight="1">
      <c r="A3014" s="7">
        <v>3001.0</v>
      </c>
      <c r="B3014" s="14">
        <f t="shared" si="1"/>
        <v>0.09481604721</v>
      </c>
      <c r="C3014" s="39">
        <f t="array" ref="C3014">NPV(B3014,FCFF!$C$9:$I$9)+FCFF!$B$9+FCFF!$I$9*(1+Inputs!$B$6)/(B3014-Inputs!$B$6)/(1+B3014)^7</f>
        <v>-1225.15647</v>
      </c>
    </row>
    <row r="3015" ht="14.25" customHeight="1">
      <c r="A3015" s="7">
        <v>3002.0</v>
      </c>
      <c r="B3015" s="14">
        <f t="shared" si="1"/>
        <v>0.1042937601</v>
      </c>
      <c r="C3015" s="39">
        <f t="array" ref="C3015">NPV(B3015,FCFF!$C$9:$I$9)+FCFF!$B$9+FCFF!$I$9*(1+Inputs!$B$6)/(B3015-Inputs!$B$6)/(1+B3015)^7</f>
        <v>-1498.168404</v>
      </c>
    </row>
    <row r="3016" ht="14.25" customHeight="1">
      <c r="A3016" s="7">
        <v>3003.0</v>
      </c>
      <c r="B3016" s="14">
        <f t="shared" si="1"/>
        <v>0.1245631389</v>
      </c>
      <c r="C3016" s="39">
        <f t="array" ref="C3016">NPV(B3016,FCFF!$C$9:$I$9)+FCFF!$B$9+FCFF!$I$9*(1+Inputs!$B$6)/(B3016-Inputs!$B$6)/(1+B3016)^7</f>
        <v>-1894.731657</v>
      </c>
    </row>
    <row r="3017" ht="14.25" customHeight="1">
      <c r="A3017" s="7">
        <v>3004.0</v>
      </c>
      <c r="B3017" s="14">
        <f t="shared" si="1"/>
        <v>0.1293903583</v>
      </c>
      <c r="C3017" s="39">
        <f t="array" ref="C3017">NPV(B3017,FCFF!$C$9:$I$9)+FCFF!$B$9+FCFF!$I$9*(1+Inputs!$B$6)/(B3017-Inputs!$B$6)/(1+B3017)^7</f>
        <v>-1964.159583</v>
      </c>
    </row>
    <row r="3018" ht="14.25" customHeight="1">
      <c r="A3018" s="7">
        <v>3005.0</v>
      </c>
      <c r="B3018" s="14">
        <f t="shared" si="1"/>
        <v>0.1230351926</v>
      </c>
      <c r="C3018" s="39">
        <f t="array" ref="C3018">NPV(B3018,FCFF!$C$9:$I$9)+FCFF!$B$9+FCFF!$I$9*(1+Inputs!$B$6)/(B3018-Inputs!$B$6)/(1+B3018)^7</f>
        <v>-1871.140933</v>
      </c>
    </row>
    <row r="3019" ht="14.25" customHeight="1">
      <c r="A3019" s="7">
        <v>3006.0</v>
      </c>
      <c r="B3019" s="14">
        <f t="shared" si="1"/>
        <v>0.1304635671</v>
      </c>
      <c r="C3019" s="39">
        <f t="array" ref="C3019">NPV(B3019,FCFF!$C$9:$I$9)+FCFF!$B$9+FCFF!$I$9*(1+Inputs!$B$6)/(B3019-Inputs!$B$6)/(1+B3019)^7</f>
        <v>-1978.617735</v>
      </c>
    </row>
    <row r="3020" ht="14.25" customHeight="1">
      <c r="A3020" s="7">
        <v>3007.0</v>
      </c>
      <c r="B3020" s="14">
        <f t="shared" si="1"/>
        <v>0.1149316044</v>
      </c>
      <c r="C3020" s="39">
        <f t="array" ref="C3020">NPV(B3020,FCFF!$C$9:$I$9)+FCFF!$B$9+FCFF!$I$9*(1+Inputs!$B$6)/(B3020-Inputs!$B$6)/(1+B3020)^7</f>
        <v>-1730.913085</v>
      </c>
    </row>
    <row r="3021" ht="14.25" customHeight="1">
      <c r="A3021" s="7">
        <v>3008.0</v>
      </c>
      <c r="B3021" s="14">
        <f t="shared" si="1"/>
        <v>0.1258748794</v>
      </c>
      <c r="C3021" s="39">
        <f t="array" ref="C3021">NPV(B3021,FCFF!$C$9:$I$9)+FCFF!$B$9+FCFF!$I$9*(1+Inputs!$B$6)/(B3021-Inputs!$B$6)/(1+B3021)^7</f>
        <v>-1914.342742</v>
      </c>
    </row>
    <row r="3022" ht="14.25" customHeight="1">
      <c r="A3022" s="7">
        <v>3009.0</v>
      </c>
      <c r="B3022" s="14">
        <f t="shared" si="1"/>
        <v>0.09594609502</v>
      </c>
      <c r="C3022" s="39">
        <f t="array" ref="C3022">NPV(B3022,FCFF!$C$9:$I$9)+FCFF!$B$9+FCFF!$I$9*(1+Inputs!$B$6)/(B3022-Inputs!$B$6)/(1+B3022)^7</f>
        <v>-1261.836338</v>
      </c>
    </row>
    <row r="3023" ht="14.25" customHeight="1">
      <c r="A3023" s="7">
        <v>3010.0</v>
      </c>
      <c r="B3023" s="14">
        <f t="shared" si="1"/>
        <v>0.09358204177</v>
      </c>
      <c r="C3023" s="39">
        <f t="array" ref="C3023">NPV(B3023,FCFF!$C$9:$I$9)+FCFF!$B$9+FCFF!$I$9*(1+Inputs!$B$6)/(B3023-Inputs!$B$6)/(1+B3023)^7</f>
        <v>-1183.624301</v>
      </c>
    </row>
    <row r="3024" ht="14.25" customHeight="1">
      <c r="A3024" s="7">
        <v>3011.0</v>
      </c>
      <c r="B3024" s="14">
        <f t="shared" si="1"/>
        <v>0.1040533006</v>
      </c>
      <c r="C3024" s="39">
        <f t="array" ref="C3024">NPV(B3024,FCFF!$C$9:$I$9)+FCFF!$B$9+FCFF!$I$9*(1+Inputs!$B$6)/(B3024-Inputs!$B$6)/(1+B3024)^7</f>
        <v>-1492.113169</v>
      </c>
    </row>
    <row r="3025" ht="14.25" customHeight="1">
      <c r="A3025" s="7">
        <v>3012.0</v>
      </c>
      <c r="B3025" s="14">
        <f t="shared" si="1"/>
        <v>0.09669823991</v>
      </c>
      <c r="C3025" s="39">
        <f t="array" ref="C3025">NPV(B3025,FCFF!$C$9:$I$9)+FCFF!$B$9+FCFF!$I$9*(1+Inputs!$B$6)/(B3025-Inputs!$B$6)/(1+B3025)^7</f>
        <v>-1285.564186</v>
      </c>
    </row>
    <row r="3026" ht="14.25" customHeight="1">
      <c r="A3026" s="7">
        <v>3013.0</v>
      </c>
      <c r="B3026" s="14">
        <f t="shared" si="1"/>
        <v>0.1284270324</v>
      </c>
      <c r="C3026" s="39">
        <f t="array" ref="C3026">NPV(B3026,FCFF!$C$9:$I$9)+FCFF!$B$9+FCFF!$I$9*(1+Inputs!$B$6)/(B3026-Inputs!$B$6)/(1+B3026)^7</f>
        <v>-1950.890528</v>
      </c>
    </row>
    <row r="3027" ht="14.25" customHeight="1">
      <c r="A3027" s="7">
        <v>3014.0</v>
      </c>
      <c r="B3027" s="14">
        <f t="shared" si="1"/>
        <v>0.1062072367</v>
      </c>
      <c r="C3027" s="39">
        <f t="array" ref="C3027">NPV(B3027,FCFF!$C$9:$I$9)+FCFF!$B$9+FCFF!$I$9*(1+Inputs!$B$6)/(B3027-Inputs!$B$6)/(1+B3027)^7</f>
        <v>-1544.965806</v>
      </c>
    </row>
    <row r="3028" ht="14.25" customHeight="1">
      <c r="A3028" s="7">
        <v>3015.0</v>
      </c>
      <c r="B3028" s="14">
        <f t="shared" si="1"/>
        <v>0.09770435656</v>
      </c>
      <c r="C3028" s="39">
        <f t="array" ref="C3028">NPV(B3028,FCFF!$C$9:$I$9)+FCFF!$B$9+FCFF!$I$9*(1+Inputs!$B$6)/(B3028-Inputs!$B$6)/(1+B3028)^7</f>
        <v>-1316.481458</v>
      </c>
    </row>
    <row r="3029" ht="14.25" customHeight="1">
      <c r="A3029" s="7">
        <v>3016.0</v>
      </c>
      <c r="B3029" s="14">
        <f t="shared" si="1"/>
        <v>0.109027563</v>
      </c>
      <c r="C3029" s="39">
        <f t="array" ref="C3029">NPV(B3029,FCFF!$C$9:$I$9)+FCFF!$B$9+FCFF!$I$9*(1+Inputs!$B$6)/(B3029-Inputs!$B$6)/(1+B3029)^7</f>
        <v>-1609.716073</v>
      </c>
    </row>
    <row r="3030" ht="14.25" customHeight="1">
      <c r="A3030" s="7">
        <v>3017.0</v>
      </c>
      <c r="B3030" s="14">
        <f t="shared" si="1"/>
        <v>0.1022120036</v>
      </c>
      <c r="C3030" s="39">
        <f t="array" ref="C3030">NPV(B3030,FCFF!$C$9:$I$9)+FCFF!$B$9+FCFF!$I$9*(1+Inputs!$B$6)/(B3030-Inputs!$B$6)/(1+B3030)^7</f>
        <v>-1444.387595</v>
      </c>
    </row>
    <row r="3031" ht="14.25" customHeight="1">
      <c r="A3031" s="7">
        <v>3018.0</v>
      </c>
      <c r="B3031" s="14">
        <f t="shared" si="1"/>
        <v>0.09444627061</v>
      </c>
      <c r="C3031" s="39">
        <f t="array" ref="C3031">NPV(B3031,FCFF!$C$9:$I$9)+FCFF!$B$9+FCFF!$I$9*(1+Inputs!$B$6)/(B3031-Inputs!$B$6)/(1+B3031)^7</f>
        <v>-1212.876556</v>
      </c>
    </row>
    <row r="3032" ht="14.25" customHeight="1">
      <c r="A3032" s="7">
        <v>3019.0</v>
      </c>
      <c r="B3032" s="14">
        <f t="shared" si="1"/>
        <v>0.1098541855</v>
      </c>
      <c r="C3032" s="39">
        <f t="array" ref="C3032">NPV(B3032,FCFF!$C$9:$I$9)+FCFF!$B$9+FCFF!$I$9*(1+Inputs!$B$6)/(B3032-Inputs!$B$6)/(1+B3032)^7</f>
        <v>-1627.803174</v>
      </c>
    </row>
    <row r="3033" ht="14.25" customHeight="1">
      <c r="A3033" s="7">
        <v>3020.0</v>
      </c>
      <c r="B3033" s="14">
        <f t="shared" si="1"/>
        <v>0.1169386717</v>
      </c>
      <c r="C3033" s="39">
        <f t="array" ref="C3033">NPV(B3033,FCFF!$C$9:$I$9)+FCFF!$B$9+FCFF!$I$9*(1+Inputs!$B$6)/(B3033-Inputs!$B$6)/(1+B3033)^7</f>
        <v>-1768.213668</v>
      </c>
    </row>
    <row r="3034" ht="14.25" customHeight="1">
      <c r="A3034" s="7">
        <v>3021.0</v>
      </c>
      <c r="B3034" s="14">
        <f t="shared" si="1"/>
        <v>0.1093814148</v>
      </c>
      <c r="C3034" s="39">
        <f t="array" ref="C3034">NPV(B3034,FCFF!$C$9:$I$9)+FCFF!$B$9+FCFF!$I$9*(1+Inputs!$B$6)/(B3034-Inputs!$B$6)/(1+B3034)^7</f>
        <v>-1617.506158</v>
      </c>
    </row>
    <row r="3035" ht="14.25" customHeight="1">
      <c r="A3035" s="7">
        <v>3022.0</v>
      </c>
      <c r="B3035" s="14">
        <f t="shared" si="1"/>
        <v>0.09812510534</v>
      </c>
      <c r="C3035" s="39">
        <f t="array" ref="C3035">NPV(B3035,FCFF!$C$9:$I$9)+FCFF!$B$9+FCFF!$I$9*(1+Inputs!$B$6)/(B3035-Inputs!$B$6)/(1+B3035)^7</f>
        <v>-1329.140007</v>
      </c>
    </row>
    <row r="3036" ht="14.25" customHeight="1">
      <c r="A3036" s="7">
        <v>3023.0</v>
      </c>
      <c r="B3036" s="14">
        <f t="shared" si="1"/>
        <v>0.1326012783</v>
      </c>
      <c r="C3036" s="39">
        <f t="array" ref="C3036">NPV(B3036,FCFF!$C$9:$I$9)+FCFF!$B$9+FCFF!$I$9*(1+Inputs!$B$6)/(B3036-Inputs!$B$6)/(1+B3036)^7</f>
        <v>-2006.438244</v>
      </c>
    </row>
    <row r="3037" ht="14.25" customHeight="1">
      <c r="A3037" s="7">
        <v>3024.0</v>
      </c>
      <c r="B3037" s="14">
        <f t="shared" si="1"/>
        <v>0.1177845253</v>
      </c>
      <c r="C3037" s="39">
        <f t="array" ref="C3037">NPV(B3037,FCFF!$C$9:$I$9)+FCFF!$B$9+FCFF!$I$9*(1+Inputs!$B$6)/(B3037-Inputs!$B$6)/(1+B3037)^7</f>
        <v>-1783.397613</v>
      </c>
    </row>
    <row r="3038" ht="14.25" customHeight="1">
      <c r="A3038" s="7">
        <v>3025.0</v>
      </c>
      <c r="B3038" s="14">
        <f t="shared" si="1"/>
        <v>0.1117620697</v>
      </c>
      <c r="C3038" s="39">
        <f t="array" ref="C3038">NPV(B3038,FCFF!$C$9:$I$9)+FCFF!$B$9+FCFF!$I$9*(1+Inputs!$B$6)/(B3038-Inputs!$B$6)/(1+B3038)^7</f>
        <v>-1668.10739</v>
      </c>
    </row>
    <row r="3039" ht="14.25" customHeight="1">
      <c r="A3039" s="7">
        <v>3026.0</v>
      </c>
      <c r="B3039" s="14">
        <f t="shared" si="1"/>
        <v>0.1292678238</v>
      </c>
      <c r="C3039" s="39">
        <f t="array" ref="C3039">NPV(B3039,FCFF!$C$9:$I$9)+FCFF!$B$9+FCFF!$I$9*(1+Inputs!$B$6)/(B3039-Inputs!$B$6)/(1+B3039)^7</f>
        <v>-1962.48724</v>
      </c>
    </row>
    <row r="3040" ht="14.25" customHeight="1">
      <c r="A3040" s="7">
        <v>3027.0</v>
      </c>
      <c r="B3040" s="14">
        <f t="shared" si="1"/>
        <v>0.1209715389</v>
      </c>
      <c r="C3040" s="39">
        <f t="array" ref="C3040">NPV(B3040,FCFF!$C$9:$I$9)+FCFF!$B$9+FCFF!$I$9*(1+Inputs!$B$6)/(B3040-Inputs!$B$6)/(1+B3040)^7</f>
        <v>-1837.936062</v>
      </c>
    </row>
    <row r="3041" ht="14.25" customHeight="1">
      <c r="A3041" s="7">
        <v>3028.0</v>
      </c>
      <c r="B3041" s="14">
        <f t="shared" si="1"/>
        <v>0.1172766245</v>
      </c>
      <c r="C3041" s="39">
        <f t="array" ref="C3041">NPV(B3041,FCFF!$C$9:$I$9)+FCFF!$B$9+FCFF!$I$9*(1+Inputs!$B$6)/(B3041-Inputs!$B$6)/(1+B3041)^7</f>
        <v>-1774.317404</v>
      </c>
    </row>
    <row r="3042" ht="14.25" customHeight="1">
      <c r="A3042" s="7">
        <v>3029.0</v>
      </c>
      <c r="B3042" s="14">
        <f t="shared" si="1"/>
        <v>0.1003636693</v>
      </c>
      <c r="C3042" s="39">
        <f t="array" ref="C3042">NPV(B3042,FCFF!$C$9:$I$9)+FCFF!$B$9+FCFF!$I$9*(1+Inputs!$B$6)/(B3042-Inputs!$B$6)/(1+B3042)^7</f>
        <v>-1393.935801</v>
      </c>
    </row>
    <row r="3043" ht="14.25" customHeight="1">
      <c r="A3043" s="7">
        <v>3030.0</v>
      </c>
      <c r="B3043" s="14">
        <f t="shared" si="1"/>
        <v>0.1078661563</v>
      </c>
      <c r="C3043" s="39">
        <f t="array" ref="C3043">NPV(B3043,FCFF!$C$9:$I$9)+FCFF!$B$9+FCFF!$I$9*(1+Inputs!$B$6)/(B3043-Inputs!$B$6)/(1+B3043)^7</f>
        <v>-1583.635193</v>
      </c>
    </row>
    <row r="3044" ht="14.25" customHeight="1">
      <c r="A3044" s="7">
        <v>3031.0</v>
      </c>
      <c r="B3044" s="14">
        <f t="shared" si="1"/>
        <v>0.1161790365</v>
      </c>
      <c r="C3044" s="39">
        <f t="array" ref="C3044">NPV(B3044,FCFF!$C$9:$I$9)+FCFF!$B$9+FCFF!$I$9*(1+Inputs!$B$6)/(B3044-Inputs!$B$6)/(1+B3044)^7</f>
        <v>-1754.310351</v>
      </c>
    </row>
    <row r="3045" ht="14.25" customHeight="1">
      <c r="A3045" s="7">
        <v>3032.0</v>
      </c>
      <c r="B3045" s="14">
        <f t="shared" si="1"/>
        <v>0.09688899041</v>
      </c>
      <c r="C3045" s="39">
        <f t="array" ref="C3045">NPV(B3045,FCFF!$C$9:$I$9)+FCFF!$B$9+FCFF!$I$9*(1+Inputs!$B$6)/(B3045-Inputs!$B$6)/(1+B3045)^7</f>
        <v>-1291.497183</v>
      </c>
    </row>
    <row r="3046" ht="14.25" customHeight="1">
      <c r="A3046" s="7">
        <v>3033.0</v>
      </c>
      <c r="B3046" s="14">
        <f t="shared" si="1"/>
        <v>0.1244868288</v>
      </c>
      <c r="C3046" s="39">
        <f t="array" ref="C3046">NPV(B3046,FCFF!$C$9:$I$9)+FCFF!$B$9+FCFF!$I$9*(1+Inputs!$B$6)/(B3046-Inputs!$B$6)/(1+B3046)^7</f>
        <v>-1893.572817</v>
      </c>
    </row>
    <row r="3047" ht="14.25" customHeight="1">
      <c r="A3047" s="7">
        <v>3034.0</v>
      </c>
      <c r="B3047" s="14">
        <f t="shared" si="1"/>
        <v>0.1122402436</v>
      </c>
      <c r="C3047" s="39">
        <f t="array" ref="C3047">NPV(B3047,FCFF!$C$9:$I$9)+FCFF!$B$9+FCFF!$I$9*(1+Inputs!$B$6)/(B3047-Inputs!$B$6)/(1+B3047)^7</f>
        <v>-1677.905345</v>
      </c>
    </row>
    <row r="3048" ht="14.25" customHeight="1">
      <c r="A3048" s="7">
        <v>3035.0</v>
      </c>
      <c r="B3048" s="14">
        <f t="shared" si="1"/>
        <v>0.1145818401</v>
      </c>
      <c r="C3048" s="39">
        <f t="array" ref="C3048">NPV(B3048,FCFF!$C$9:$I$9)+FCFF!$B$9+FCFF!$I$9*(1+Inputs!$B$6)/(B3048-Inputs!$B$6)/(1+B3048)^7</f>
        <v>-1724.223119</v>
      </c>
    </row>
    <row r="3049" ht="14.25" customHeight="1">
      <c r="A3049" s="7">
        <v>3036.0</v>
      </c>
      <c r="B3049" s="14">
        <f t="shared" si="1"/>
        <v>0.09863965696</v>
      </c>
      <c r="C3049" s="39">
        <f t="array" ref="C3049">NPV(B3049,FCFF!$C$9:$I$9)+FCFF!$B$9+FCFF!$I$9*(1+Inputs!$B$6)/(B3049-Inputs!$B$6)/(1+B3049)^7</f>
        <v>-1344.409406</v>
      </c>
    </row>
    <row r="3050" ht="14.25" customHeight="1">
      <c r="A3050" s="7">
        <v>3037.0</v>
      </c>
      <c r="B3050" s="14">
        <f t="shared" si="1"/>
        <v>0.1318954254</v>
      </c>
      <c r="C3050" s="39">
        <f t="array" ref="C3050">NPV(B3050,FCFF!$C$9:$I$9)+FCFF!$B$9+FCFF!$I$9*(1+Inputs!$B$6)/(B3050-Inputs!$B$6)/(1+B3050)^7</f>
        <v>-1997.392783</v>
      </c>
    </row>
    <row r="3051" ht="14.25" customHeight="1">
      <c r="A3051" s="7">
        <v>3038.0</v>
      </c>
      <c r="B3051" s="14">
        <f t="shared" si="1"/>
        <v>0.1158620046</v>
      </c>
      <c r="C3051" s="39">
        <f t="array" ref="C3051">NPV(B3051,FCFF!$C$9:$I$9)+FCFF!$B$9+FCFF!$I$9*(1+Inputs!$B$6)/(B3051-Inputs!$B$6)/(1+B3051)^7</f>
        <v>-1748.431474</v>
      </c>
    </row>
    <row r="3052" ht="14.25" customHeight="1">
      <c r="A3052" s="7">
        <v>3039.0</v>
      </c>
      <c r="B3052" s="14">
        <f t="shared" si="1"/>
        <v>0.1194483918</v>
      </c>
      <c r="C3052" s="39">
        <f t="array" ref="C3052">NPV(B3052,FCFF!$C$9:$I$9)+FCFF!$B$9+FCFF!$I$9*(1+Inputs!$B$6)/(B3052-Inputs!$B$6)/(1+B3052)^7</f>
        <v>-1812.383447</v>
      </c>
    </row>
    <row r="3053" ht="14.25" customHeight="1">
      <c r="A3053" s="7">
        <v>3040.0</v>
      </c>
      <c r="B3053" s="14">
        <f t="shared" si="1"/>
        <v>0.09999991495</v>
      </c>
      <c r="C3053" s="39">
        <f t="array" ref="C3053">NPV(B3053,FCFF!$C$9:$I$9)+FCFF!$B$9+FCFF!$I$9*(1+Inputs!$B$6)/(B3053-Inputs!$B$6)/(1+B3053)^7</f>
        <v>-1383.690281</v>
      </c>
    </row>
    <row r="3054" ht="14.25" customHeight="1">
      <c r="A3054" s="7">
        <v>3041.0</v>
      </c>
      <c r="B3054" s="14">
        <f t="shared" si="1"/>
        <v>0.09945393547</v>
      </c>
      <c r="C3054" s="39">
        <f t="array" ref="C3054">NPV(B3054,FCFF!$C$9:$I$9)+FCFF!$B$9+FCFF!$I$9*(1+Inputs!$B$6)/(B3054-Inputs!$B$6)/(1+B3054)^7</f>
        <v>-1368.109485</v>
      </c>
    </row>
    <row r="3055" ht="14.25" customHeight="1">
      <c r="A3055" s="7">
        <v>3042.0</v>
      </c>
      <c r="B3055" s="14">
        <f t="shared" si="1"/>
        <v>0.09333274528</v>
      </c>
      <c r="C3055" s="39">
        <f t="array" ref="C3055">NPV(B3055,FCFF!$C$9:$I$9)+FCFF!$B$9+FCFF!$I$9*(1+Inputs!$B$6)/(B3055-Inputs!$B$6)/(1+B3055)^7</f>
        <v>-1175.039312</v>
      </c>
    </row>
    <row r="3056" ht="14.25" customHeight="1">
      <c r="A3056" s="7">
        <v>3043.0</v>
      </c>
      <c r="B3056" s="14">
        <f t="shared" si="1"/>
        <v>0.1087827427</v>
      </c>
      <c r="C3056" s="39">
        <f t="array" ref="C3056">NPV(B3056,FCFF!$C$9:$I$9)+FCFF!$B$9+FCFF!$I$9*(1+Inputs!$B$6)/(B3056-Inputs!$B$6)/(1+B3056)^7</f>
        <v>-1604.284127</v>
      </c>
    </row>
    <row r="3057" ht="14.25" customHeight="1">
      <c r="A3057" s="7">
        <v>3044.0</v>
      </c>
      <c r="B3057" s="14">
        <f t="shared" si="1"/>
        <v>0.105626865</v>
      </c>
      <c r="C3057" s="39">
        <f t="array" ref="C3057">NPV(B3057,FCFF!$C$9:$I$9)+FCFF!$B$9+FCFF!$I$9*(1+Inputs!$B$6)/(B3057-Inputs!$B$6)/(1+B3057)^7</f>
        <v>-1531.027152</v>
      </c>
    </row>
    <row r="3058" ht="14.25" customHeight="1">
      <c r="A3058" s="7">
        <v>3045.0</v>
      </c>
      <c r="B3058" s="14">
        <f t="shared" si="1"/>
        <v>0.1178881722</v>
      </c>
      <c r="C3058" s="39">
        <f t="array" ref="C3058">NPV(B3058,FCFF!$C$9:$I$9)+FCFF!$B$9+FCFF!$I$9*(1+Inputs!$B$6)/(B3058-Inputs!$B$6)/(1+B3058)^7</f>
        <v>-1785.237034</v>
      </c>
    </row>
    <row r="3059" ht="14.25" customHeight="1">
      <c r="A3059" s="7">
        <v>3046.0</v>
      </c>
      <c r="B3059" s="14">
        <f t="shared" si="1"/>
        <v>0.1052769718</v>
      </c>
      <c r="C3059" s="39">
        <f t="array" ref="C3059">NPV(B3059,FCFF!$C$9:$I$9)+FCFF!$B$9+FCFF!$I$9*(1+Inputs!$B$6)/(B3059-Inputs!$B$6)/(1+B3059)^7</f>
        <v>-1522.517754</v>
      </c>
    </row>
    <row r="3060" ht="14.25" customHeight="1">
      <c r="A3060" s="7">
        <v>3047.0</v>
      </c>
      <c r="B3060" s="14">
        <f t="shared" si="1"/>
        <v>0.09483972453</v>
      </c>
      <c r="C3060" s="39">
        <f t="array" ref="C3060">NPV(B3060,FCFF!$C$9:$I$9)+FCFF!$B$9+FCFF!$I$9*(1+Inputs!$B$6)/(B3060-Inputs!$B$6)/(1+B3060)^7</f>
        <v>-1225.938035</v>
      </c>
    </row>
    <row r="3061" ht="14.25" customHeight="1">
      <c r="A3061" s="7">
        <v>3048.0</v>
      </c>
      <c r="B3061" s="14">
        <f t="shared" si="1"/>
        <v>0.1128101581</v>
      </c>
      <c r="C3061" s="39">
        <f t="array" ref="C3061">NPV(B3061,FCFF!$C$9:$I$9)+FCFF!$B$9+FCFF!$I$9*(1+Inputs!$B$6)/(B3061-Inputs!$B$6)/(1+B3061)^7</f>
        <v>-1689.429629</v>
      </c>
    </row>
    <row r="3062" ht="14.25" customHeight="1">
      <c r="A3062" s="7">
        <v>3049.0</v>
      </c>
      <c r="B3062" s="14">
        <f t="shared" si="1"/>
        <v>0.1248357235</v>
      </c>
      <c r="C3062" s="39">
        <f t="array" ref="C3062">NPV(B3062,FCFF!$C$9:$I$9)+FCFF!$B$9+FCFF!$I$9*(1+Inputs!$B$6)/(B3062-Inputs!$B$6)/(1+B3062)^7</f>
        <v>-1898.854801</v>
      </c>
    </row>
    <row r="3063" ht="14.25" customHeight="1">
      <c r="A3063" s="7">
        <v>3050.0</v>
      </c>
      <c r="B3063" s="14">
        <f t="shared" si="1"/>
        <v>0.115234685</v>
      </c>
      <c r="C3063" s="39">
        <f t="array" ref="C3063">NPV(B3063,FCFF!$C$9:$I$9)+FCFF!$B$9+FCFF!$I$9*(1+Inputs!$B$6)/(B3063-Inputs!$B$6)/(1+B3063)^7</f>
        <v>-1736.663712</v>
      </c>
    </row>
    <row r="3064" ht="14.25" customHeight="1">
      <c r="A3064" s="7">
        <v>3051.0</v>
      </c>
      <c r="B3064" s="14">
        <f t="shared" si="1"/>
        <v>0.1195939934</v>
      </c>
      <c r="C3064" s="39">
        <f t="array" ref="C3064">NPV(B3064,FCFF!$C$9:$I$9)+FCFF!$B$9+FCFF!$I$9*(1+Inputs!$B$6)/(B3064-Inputs!$B$6)/(1+B3064)^7</f>
        <v>-1814.865862</v>
      </c>
    </row>
    <row r="3065" ht="14.25" customHeight="1">
      <c r="A3065" s="7">
        <v>3052.0</v>
      </c>
      <c r="B3065" s="14">
        <f t="shared" si="1"/>
        <v>0.1139690895</v>
      </c>
      <c r="C3065" s="39">
        <f t="array" ref="C3065">NPV(B3065,FCFF!$C$9:$I$9)+FCFF!$B$9+FCFF!$I$9*(1+Inputs!$B$6)/(B3065-Inputs!$B$6)/(1+B3065)^7</f>
        <v>-1712.362646</v>
      </c>
    </row>
    <row r="3066" ht="14.25" customHeight="1">
      <c r="A3066" s="7">
        <v>3053.0</v>
      </c>
      <c r="B3066" s="14">
        <f t="shared" si="1"/>
        <v>0.09711012787</v>
      </c>
      <c r="C3066" s="39">
        <f t="array" ref="C3066">NPV(B3066,FCFF!$C$9:$I$9)+FCFF!$B$9+FCFF!$I$9*(1+Inputs!$B$6)/(B3066-Inputs!$B$6)/(1+B3066)^7</f>
        <v>-1298.333178</v>
      </c>
    </row>
    <row r="3067" ht="14.25" customHeight="1">
      <c r="A3067" s="7">
        <v>3054.0</v>
      </c>
      <c r="B3067" s="14">
        <f t="shared" si="1"/>
        <v>0.1312047511</v>
      </c>
      <c r="C3067" s="39">
        <f t="array" ref="C3067">NPV(B3067,FCFF!$C$9:$I$9)+FCFF!$B$9+FCFF!$I$9*(1+Inputs!$B$6)/(B3067-Inputs!$B$6)/(1+B3067)^7</f>
        <v>-1988.408596</v>
      </c>
    </row>
    <row r="3068" ht="14.25" customHeight="1">
      <c r="A3068" s="7">
        <v>3055.0</v>
      </c>
      <c r="B3068" s="14">
        <f t="shared" si="1"/>
        <v>0.1253096676</v>
      </c>
      <c r="C3068" s="39">
        <f t="array" ref="C3068">NPV(B3068,FCFF!$C$9:$I$9)+FCFF!$B$9+FCFF!$I$9*(1+Inputs!$B$6)/(B3068-Inputs!$B$6)/(1+B3068)^7</f>
        <v>-1905.963571</v>
      </c>
    </row>
    <row r="3069" ht="14.25" customHeight="1">
      <c r="A3069" s="7">
        <v>3056.0</v>
      </c>
      <c r="B3069" s="14">
        <f t="shared" si="1"/>
        <v>0.1222315521</v>
      </c>
      <c r="C3069" s="39">
        <f t="array" ref="C3069">NPV(B3069,FCFF!$C$9:$I$9)+FCFF!$B$9+FCFF!$I$9*(1+Inputs!$B$6)/(B3069-Inputs!$B$6)/(1+B3069)^7</f>
        <v>-1858.398072</v>
      </c>
    </row>
    <row r="3070" ht="14.25" customHeight="1">
      <c r="A3070" s="7">
        <v>3057.0</v>
      </c>
      <c r="B3070" s="14">
        <f t="shared" si="1"/>
        <v>0.1161106938</v>
      </c>
      <c r="C3070" s="39">
        <f t="array" ref="C3070">NPV(B3070,FCFF!$C$9:$I$9)+FCFF!$B$9+FCFF!$I$9*(1+Inputs!$B$6)/(B3070-Inputs!$B$6)/(1+B3070)^7</f>
        <v>-1753.046876</v>
      </c>
    </row>
    <row r="3071" ht="14.25" customHeight="1">
      <c r="A3071" s="7">
        <v>3058.0</v>
      </c>
      <c r="B3071" s="14">
        <f t="shared" si="1"/>
        <v>0.1203122312</v>
      </c>
      <c r="C3071" s="39">
        <f t="array" ref="C3071">NPV(B3071,FCFF!$C$9:$I$9)+FCFF!$B$9+FCFF!$I$9*(1+Inputs!$B$6)/(B3071-Inputs!$B$6)/(1+B3071)^7</f>
        <v>-1826.987464</v>
      </c>
    </row>
    <row r="3072" ht="14.25" customHeight="1">
      <c r="A3072" s="7">
        <v>3059.0</v>
      </c>
      <c r="B3072" s="14">
        <f t="shared" si="1"/>
        <v>0.1204900947</v>
      </c>
      <c r="C3072" s="39">
        <f t="array" ref="C3072">NPV(B3072,FCFF!$C$9:$I$9)+FCFF!$B$9+FCFF!$I$9*(1+Inputs!$B$6)/(B3072-Inputs!$B$6)/(1+B3072)^7</f>
        <v>-1829.957765</v>
      </c>
    </row>
    <row r="3073" ht="14.25" customHeight="1">
      <c r="A3073" s="7">
        <v>3060.0</v>
      </c>
      <c r="B3073" s="14">
        <f t="shared" si="1"/>
        <v>0.1050716535</v>
      </c>
      <c r="C3073" s="39">
        <f t="array" ref="C3073">NPV(B3073,FCFF!$C$9:$I$9)+FCFF!$B$9+FCFF!$I$9*(1+Inputs!$B$6)/(B3073-Inputs!$B$6)/(1+B3073)^7</f>
        <v>-1517.486728</v>
      </c>
    </row>
    <row r="3074" ht="14.25" customHeight="1">
      <c r="A3074" s="7">
        <v>3061.0</v>
      </c>
      <c r="B3074" s="14">
        <f t="shared" si="1"/>
        <v>0.1295676547</v>
      </c>
      <c r="C3074" s="39">
        <f t="array" ref="C3074">NPV(B3074,FCFF!$C$9:$I$9)+FCFF!$B$9+FCFF!$I$9*(1+Inputs!$B$6)/(B3074-Inputs!$B$6)/(1+B3074)^7</f>
        <v>-1966.571417</v>
      </c>
    </row>
    <row r="3075" ht="14.25" customHeight="1">
      <c r="A3075" s="7">
        <v>3062.0</v>
      </c>
      <c r="B3075" s="14">
        <f t="shared" si="1"/>
        <v>0.09714290466</v>
      </c>
      <c r="C3075" s="39">
        <f t="array" ref="C3075">NPV(B3075,FCFF!$C$9:$I$9)+FCFF!$B$9+FCFF!$I$9*(1+Inputs!$B$6)/(B3075-Inputs!$B$6)/(1+B3075)^7</f>
        <v>-1299.342576</v>
      </c>
    </row>
    <row r="3076" ht="14.25" customHeight="1">
      <c r="A3076" s="7">
        <v>3063.0</v>
      </c>
      <c r="B3076" s="14">
        <f t="shared" si="1"/>
        <v>0.1288701113</v>
      </c>
      <c r="C3076" s="39">
        <f t="array" ref="C3076">NPV(B3076,FCFF!$C$9:$I$9)+FCFF!$B$9+FCFF!$I$9*(1+Inputs!$B$6)/(B3076-Inputs!$B$6)/(1+B3076)^7</f>
        <v>-1957.028346</v>
      </c>
    </row>
    <row r="3077" ht="14.25" customHeight="1">
      <c r="A3077" s="7">
        <v>3064.0</v>
      </c>
      <c r="B3077" s="14">
        <f t="shared" si="1"/>
        <v>0.1261781092</v>
      </c>
      <c r="C3077" s="39">
        <f t="array" ref="C3077">NPV(B3077,FCFF!$C$9:$I$9)+FCFF!$B$9+FCFF!$I$9*(1+Inputs!$B$6)/(B3077-Inputs!$B$6)/(1+B3077)^7</f>
        <v>-1918.794491</v>
      </c>
    </row>
    <row r="3078" ht="14.25" customHeight="1">
      <c r="A3078" s="7">
        <v>3065.0</v>
      </c>
      <c r="B3078" s="14">
        <f t="shared" si="1"/>
        <v>0.1283201672</v>
      </c>
      <c r="C3078" s="39">
        <f t="array" ref="C3078">NPV(B3078,FCFF!$C$9:$I$9)+FCFF!$B$9+FCFF!$I$9*(1+Inputs!$B$6)/(B3078-Inputs!$B$6)/(1+B3078)^7</f>
        <v>-1949.401206</v>
      </c>
    </row>
    <row r="3079" ht="14.25" customHeight="1">
      <c r="A3079" s="7">
        <v>3066.0</v>
      </c>
      <c r="B3079" s="14">
        <f t="shared" si="1"/>
        <v>0.1146084936</v>
      </c>
      <c r="C3079" s="39">
        <f t="array" ref="C3079">NPV(B3079,FCFF!$C$9:$I$9)+FCFF!$B$9+FCFF!$I$9*(1+Inputs!$B$6)/(B3079-Inputs!$B$6)/(1+B3079)^7</f>
        <v>-1724.734956</v>
      </c>
    </row>
    <row r="3080" ht="14.25" customHeight="1">
      <c r="A3080" s="7">
        <v>3067.0</v>
      </c>
      <c r="B3080" s="14">
        <f t="shared" si="1"/>
        <v>0.1027459558</v>
      </c>
      <c r="C3080" s="39">
        <f t="array" ref="C3080">NPV(B3080,FCFF!$C$9:$I$9)+FCFF!$B$9+FCFF!$I$9*(1+Inputs!$B$6)/(B3080-Inputs!$B$6)/(1+B3080)^7</f>
        <v>-1458.479708</v>
      </c>
    </row>
    <row r="3081" ht="14.25" customHeight="1">
      <c r="A3081" s="7">
        <v>3068.0</v>
      </c>
      <c r="B3081" s="14">
        <f t="shared" si="1"/>
        <v>0.1271708579</v>
      </c>
      <c r="C3081" s="39">
        <f t="array" ref="C3081">NPV(B3081,FCFF!$C$9:$I$9)+FCFF!$B$9+FCFF!$I$9*(1+Inputs!$B$6)/(B3081-Inputs!$B$6)/(1+B3081)^7</f>
        <v>-1933.160179</v>
      </c>
    </row>
    <row r="3082" ht="14.25" customHeight="1">
      <c r="A3082" s="7">
        <v>3069.0</v>
      </c>
      <c r="B3082" s="14">
        <f t="shared" si="1"/>
        <v>0.1185824753</v>
      </c>
      <c r="C3082" s="39">
        <f t="array" ref="C3082">NPV(B3082,FCFF!$C$9:$I$9)+FCFF!$B$9+FCFF!$I$9*(1+Inputs!$B$6)/(B3082-Inputs!$B$6)/(1+B3082)^7</f>
        <v>-1797.441895</v>
      </c>
    </row>
    <row r="3083" ht="14.25" customHeight="1">
      <c r="A3083" s="7">
        <v>3070.0</v>
      </c>
      <c r="B3083" s="14">
        <f t="shared" si="1"/>
        <v>0.1107764369</v>
      </c>
      <c r="C3083" s="39">
        <f t="array" ref="C3083">NPV(B3083,FCFF!$C$9:$I$9)+FCFF!$B$9+FCFF!$I$9*(1+Inputs!$B$6)/(B3083-Inputs!$B$6)/(1+B3083)^7</f>
        <v>-1647.531808</v>
      </c>
    </row>
    <row r="3084" ht="14.25" customHeight="1">
      <c r="A3084" s="7">
        <v>3071.0</v>
      </c>
      <c r="B3084" s="14">
        <f t="shared" si="1"/>
        <v>0.1018208112</v>
      </c>
      <c r="C3084" s="39">
        <f t="array" ref="C3084">NPV(B3084,FCFF!$C$9:$I$9)+FCFF!$B$9+FCFF!$I$9*(1+Inputs!$B$6)/(B3084-Inputs!$B$6)/(1+B3084)^7</f>
        <v>-1433.928552</v>
      </c>
    </row>
    <row r="3085" ht="14.25" customHeight="1">
      <c r="A3085" s="7">
        <v>3072.0</v>
      </c>
      <c r="B3085" s="14">
        <f t="shared" si="1"/>
        <v>0.108478626</v>
      </c>
      <c r="C3085" s="39">
        <f t="array" ref="C3085">NPV(B3085,FCFF!$C$9:$I$9)+FCFF!$B$9+FCFF!$I$9*(1+Inputs!$B$6)/(B3085-Inputs!$B$6)/(1+B3085)^7</f>
        <v>-1597.487949</v>
      </c>
    </row>
    <row r="3086" ht="14.25" customHeight="1">
      <c r="A3086" s="7">
        <v>3073.0</v>
      </c>
      <c r="B3086" s="14">
        <f t="shared" si="1"/>
        <v>0.09816137774</v>
      </c>
      <c r="C3086" s="39">
        <f t="array" ref="C3086">NPV(B3086,FCFF!$C$9:$I$9)+FCFF!$B$9+FCFF!$I$9*(1+Inputs!$B$6)/(B3086-Inputs!$B$6)/(1+B3086)^7</f>
        <v>-1330.223965</v>
      </c>
    </row>
    <row r="3087" ht="14.25" customHeight="1">
      <c r="A3087" s="7">
        <v>3074.0</v>
      </c>
      <c r="B3087" s="14">
        <f t="shared" si="1"/>
        <v>0.1259183613</v>
      </c>
      <c r="C3087" s="39">
        <f t="array" ref="C3087">NPV(B3087,FCFF!$C$9:$I$9)+FCFF!$B$9+FCFF!$I$9*(1+Inputs!$B$6)/(B3087-Inputs!$B$6)/(1+B3087)^7</f>
        <v>-1914.982962</v>
      </c>
    </row>
    <row r="3088" ht="14.25" customHeight="1">
      <c r="A3088" s="7">
        <v>3075.0</v>
      </c>
      <c r="B3088" s="14">
        <f t="shared" si="1"/>
        <v>0.1048767768</v>
      </c>
      <c r="C3088" s="39">
        <f t="array" ref="C3088">NPV(B3088,FCFF!$C$9:$I$9)+FCFF!$B$9+FCFF!$I$9*(1+Inputs!$B$6)/(B3088-Inputs!$B$6)/(1+B3088)^7</f>
        <v>-1512.685528</v>
      </c>
    </row>
    <row r="3089" ht="14.25" customHeight="1">
      <c r="A3089" s="7">
        <v>3076.0</v>
      </c>
      <c r="B3089" s="14">
        <f t="shared" si="1"/>
        <v>0.1126355104</v>
      </c>
      <c r="C3089" s="39">
        <f t="array" ref="C3089">NPV(B3089,FCFF!$C$9:$I$9)+FCFF!$B$9+FCFF!$I$9*(1+Inputs!$B$6)/(B3089-Inputs!$B$6)/(1+B3089)^7</f>
        <v>-1685.915621</v>
      </c>
    </row>
    <row r="3090" ht="14.25" customHeight="1">
      <c r="A3090" s="7">
        <v>3077.0</v>
      </c>
      <c r="B3090" s="14">
        <f t="shared" si="1"/>
        <v>0.1193459416</v>
      </c>
      <c r="C3090" s="39">
        <f t="array" ref="C3090">NPV(B3090,FCFF!$C$9:$I$9)+FCFF!$B$9+FCFF!$I$9*(1+Inputs!$B$6)/(B3090-Inputs!$B$6)/(1+B3090)^7</f>
        <v>-1810.631607</v>
      </c>
    </row>
    <row r="3091" ht="14.25" customHeight="1">
      <c r="A3091" s="7">
        <v>3078.0</v>
      </c>
      <c r="B3091" s="14">
        <f t="shared" si="1"/>
        <v>0.1011017065</v>
      </c>
      <c r="C3091" s="39">
        <f t="array" ref="C3091">NPV(B3091,FCFF!$C$9:$I$9)+FCFF!$B$9+FCFF!$I$9*(1+Inputs!$B$6)/(B3091-Inputs!$B$6)/(1+B3091)^7</f>
        <v>-1414.398777</v>
      </c>
    </row>
    <row r="3092" ht="14.25" customHeight="1">
      <c r="A3092" s="7">
        <v>3079.0</v>
      </c>
      <c r="B3092" s="14">
        <f t="shared" si="1"/>
        <v>0.1139668644</v>
      </c>
      <c r="C3092" s="39">
        <f t="array" ref="C3092">NPV(B3092,FCFF!$C$9:$I$9)+FCFF!$B$9+FCFF!$I$9*(1+Inputs!$B$6)/(B3092-Inputs!$B$6)/(1+B3092)^7</f>
        <v>-1712.319248</v>
      </c>
    </row>
    <row r="3093" ht="14.25" customHeight="1">
      <c r="A3093" s="7">
        <v>3080.0</v>
      </c>
      <c r="B3093" s="14">
        <f t="shared" si="1"/>
        <v>0.0934499399</v>
      </c>
      <c r="C3093" s="39">
        <f t="array" ref="C3093">NPV(B3093,FCFF!$C$9:$I$9)+FCFF!$B$9+FCFF!$I$9*(1+Inputs!$B$6)/(B3093-Inputs!$B$6)/(1+B3093)^7</f>
        <v>-1179.083437</v>
      </c>
    </row>
    <row r="3094" ht="14.25" customHeight="1">
      <c r="A3094" s="7">
        <v>3081.0</v>
      </c>
      <c r="B3094" s="14">
        <f t="shared" si="1"/>
        <v>0.1216982305</v>
      </c>
      <c r="C3094" s="39">
        <f t="array" ref="C3094">NPV(B3094,FCFF!$C$9:$I$9)+FCFF!$B$9+FCFF!$I$9*(1+Inputs!$B$6)/(B3094-Inputs!$B$6)/(1+B3094)^7</f>
        <v>-1849.810147</v>
      </c>
    </row>
    <row r="3095" ht="14.25" customHeight="1">
      <c r="A3095" s="7">
        <v>3082.0</v>
      </c>
      <c r="B3095" s="14">
        <f t="shared" si="1"/>
        <v>0.1029692947</v>
      </c>
      <c r="C3095" s="39">
        <f t="array" ref="C3095">NPV(B3095,FCFF!$C$9:$I$9)+FCFF!$B$9+FCFF!$I$9*(1+Inputs!$B$6)/(B3095-Inputs!$B$6)/(1+B3095)^7</f>
        <v>-1464.312092</v>
      </c>
    </row>
    <row r="3096" ht="14.25" customHeight="1">
      <c r="A3096" s="7">
        <v>3083.0</v>
      </c>
      <c r="B3096" s="14">
        <f t="shared" si="1"/>
        <v>0.1294534322</v>
      </c>
      <c r="C3096" s="39">
        <f t="array" ref="C3096">NPV(B3096,FCFF!$C$9:$I$9)+FCFF!$B$9+FCFF!$I$9*(1+Inputs!$B$6)/(B3096-Inputs!$B$6)/(1+B3096)^7</f>
        <v>-1965.018669</v>
      </c>
    </row>
    <row r="3097" ht="14.25" customHeight="1">
      <c r="A3097" s="7">
        <v>3084.0</v>
      </c>
      <c r="B3097" s="14">
        <f t="shared" si="1"/>
        <v>0.1109447086</v>
      </c>
      <c r="C3097" s="39">
        <f t="array" ref="C3097">NPV(B3097,FCFF!$C$9:$I$9)+FCFF!$B$9+FCFF!$I$9*(1+Inputs!$B$6)/(B3097-Inputs!$B$6)/(1+B3097)^7</f>
        <v>-1651.081305</v>
      </c>
    </row>
    <row r="3098" ht="14.25" customHeight="1">
      <c r="A3098" s="7">
        <v>3085.0</v>
      </c>
      <c r="B3098" s="14">
        <f t="shared" si="1"/>
        <v>0.1047316047</v>
      </c>
      <c r="C3098" s="39">
        <f t="array" ref="C3098">NPV(B3098,FCFF!$C$9:$I$9)+FCFF!$B$9+FCFF!$I$9*(1+Inputs!$B$6)/(B3098-Inputs!$B$6)/(1+B3098)^7</f>
        <v>-1509.092315</v>
      </c>
    </row>
    <row r="3099" ht="14.25" customHeight="1">
      <c r="A3099" s="7">
        <v>3086.0</v>
      </c>
      <c r="B3099" s="14">
        <f t="shared" si="1"/>
        <v>0.1089219129</v>
      </c>
      <c r="C3099" s="39">
        <f t="array" ref="C3099">NPV(B3099,FCFF!$C$9:$I$9)+FCFF!$B$9+FCFF!$I$9*(1+Inputs!$B$6)/(B3099-Inputs!$B$6)/(1+B3099)^7</f>
        <v>-1607.37622</v>
      </c>
    </row>
    <row r="3100" ht="14.25" customHeight="1">
      <c r="A3100" s="7">
        <v>3087.0</v>
      </c>
      <c r="B3100" s="14">
        <f t="shared" si="1"/>
        <v>0.1191023014</v>
      </c>
      <c r="C3100" s="39">
        <f t="array" ref="C3100">NPV(B3100,FCFF!$C$9:$I$9)+FCFF!$B$9+FCFF!$I$9*(1+Inputs!$B$6)/(B3100-Inputs!$B$6)/(1+B3100)^7</f>
        <v>-1806.448391</v>
      </c>
    </row>
    <row r="3101" ht="14.25" customHeight="1">
      <c r="A3101" s="7">
        <v>3088.0</v>
      </c>
      <c r="B3101" s="14">
        <f t="shared" si="1"/>
        <v>0.1246620639</v>
      </c>
      <c r="C3101" s="39">
        <f t="array" ref="C3101">NPV(B3101,FCFF!$C$9:$I$9)+FCFF!$B$9+FCFF!$I$9*(1+Inputs!$B$6)/(B3101-Inputs!$B$6)/(1+B3101)^7</f>
        <v>-1896.230948</v>
      </c>
    </row>
    <row r="3102" ht="14.25" customHeight="1">
      <c r="A3102" s="7">
        <v>3089.0</v>
      </c>
      <c r="B3102" s="14">
        <f t="shared" si="1"/>
        <v>0.1034709932</v>
      </c>
      <c r="C3102" s="39">
        <f t="array" ref="C3102">NPV(B3102,FCFF!$C$9:$I$9)+FCFF!$B$9+FCFF!$I$9*(1+Inputs!$B$6)/(B3102-Inputs!$B$6)/(1+B3102)^7</f>
        <v>-1477.282541</v>
      </c>
    </row>
    <row r="3103" ht="14.25" customHeight="1">
      <c r="A3103" s="7">
        <v>3090.0</v>
      </c>
      <c r="B3103" s="14">
        <f t="shared" si="1"/>
        <v>0.1127393283</v>
      </c>
      <c r="C3103" s="39">
        <f t="array" ref="C3103">NPV(B3103,FCFF!$C$9:$I$9)+FCFF!$B$9+FCFF!$I$9*(1+Inputs!$B$6)/(B3103-Inputs!$B$6)/(1+B3103)^7</f>
        <v>-1688.006353</v>
      </c>
    </row>
    <row r="3104" ht="14.25" customHeight="1">
      <c r="A3104" s="7">
        <v>3091.0</v>
      </c>
      <c r="B3104" s="14">
        <f t="shared" si="1"/>
        <v>0.1155745766</v>
      </c>
      <c r="C3104" s="39">
        <f t="array" ref="C3104">NPV(B3104,FCFF!$C$9:$I$9)+FCFF!$B$9+FCFF!$I$9*(1+Inputs!$B$6)/(B3104-Inputs!$B$6)/(1+B3104)^7</f>
        <v>-1743.062097</v>
      </c>
    </row>
    <row r="3105" ht="14.25" customHeight="1">
      <c r="A3105" s="7">
        <v>3092.0</v>
      </c>
      <c r="B3105" s="14">
        <f t="shared" si="1"/>
        <v>0.1268731569</v>
      </c>
      <c r="C3105" s="39">
        <f t="array" ref="C3105">NPV(B3105,FCFF!$C$9:$I$9)+FCFF!$B$9+FCFF!$I$9*(1+Inputs!$B$6)/(B3105-Inputs!$B$6)/(1+B3105)^7</f>
        <v>-1928.885531</v>
      </c>
    </row>
    <row r="3106" ht="14.25" customHeight="1">
      <c r="A3106" s="7">
        <v>3093.0</v>
      </c>
      <c r="B3106" s="14">
        <f t="shared" si="1"/>
        <v>0.1291473298</v>
      </c>
      <c r="C3106" s="39">
        <f t="array" ref="C3106">NPV(B3106,FCFF!$C$9:$I$9)+FCFF!$B$9+FCFF!$I$9*(1+Inputs!$B$6)/(B3106-Inputs!$B$6)/(1+B3106)^7</f>
        <v>-1960.838378</v>
      </c>
    </row>
    <row r="3107" ht="14.25" customHeight="1">
      <c r="A3107" s="7">
        <v>3094.0</v>
      </c>
      <c r="B3107" s="14">
        <f t="shared" si="1"/>
        <v>0.112745427</v>
      </c>
      <c r="C3107" s="39">
        <f t="array" ref="C3107">NPV(B3107,FCFF!$C$9:$I$9)+FCFF!$B$9+FCFF!$I$9*(1+Inputs!$B$6)/(B3107-Inputs!$B$6)/(1+B3107)^7</f>
        <v>-1688.129002</v>
      </c>
    </row>
    <row r="3108" ht="14.25" customHeight="1">
      <c r="A3108" s="7">
        <v>3095.0</v>
      </c>
      <c r="B3108" s="14">
        <f t="shared" si="1"/>
        <v>0.09404103597</v>
      </c>
      <c r="C3108" s="39">
        <f t="array" ref="C3108">NPV(B3108,FCFF!$C$9:$I$9)+FCFF!$B$9+FCFF!$I$9*(1+Inputs!$B$6)/(B3108-Inputs!$B$6)/(1+B3108)^7</f>
        <v>-1199.257627</v>
      </c>
    </row>
    <row r="3109" ht="14.25" customHeight="1">
      <c r="A3109" s="7">
        <v>3096.0</v>
      </c>
      <c r="B3109" s="14">
        <f t="shared" si="1"/>
        <v>0.1024264836</v>
      </c>
      <c r="C3109" s="39">
        <f t="array" ref="C3109">NPV(B3109,FCFF!$C$9:$I$9)+FCFF!$B$9+FCFF!$I$9*(1+Inputs!$B$6)/(B3109-Inputs!$B$6)/(1+B3109)^7</f>
        <v>-1450.073463</v>
      </c>
    </row>
    <row r="3110" ht="14.25" customHeight="1">
      <c r="A3110" s="7">
        <v>3097.0</v>
      </c>
      <c r="B3110" s="14">
        <f t="shared" si="1"/>
        <v>0.1027861558</v>
      </c>
      <c r="C3110" s="39">
        <f t="array" ref="C3110">NPV(B3110,FCFF!$C$9:$I$9)+FCFF!$B$9+FCFF!$I$9*(1+Inputs!$B$6)/(B3110-Inputs!$B$6)/(1+B3110)^7</f>
        <v>-1459.532189</v>
      </c>
    </row>
    <row r="3111" ht="14.25" customHeight="1">
      <c r="A3111" s="7">
        <v>3098.0</v>
      </c>
      <c r="B3111" s="14">
        <f t="shared" si="1"/>
        <v>0.1229435286</v>
      </c>
      <c r="C3111" s="39">
        <f t="array" ref="C3111">NPV(B3111,FCFF!$C$9:$I$9)+FCFF!$B$9+FCFF!$I$9*(1+Inputs!$B$6)/(B3111-Inputs!$B$6)/(1+B3111)^7</f>
        <v>-1869.699337</v>
      </c>
    </row>
    <row r="3112" ht="14.25" customHeight="1">
      <c r="A3112" s="7">
        <v>3099.0</v>
      </c>
      <c r="B3112" s="14">
        <f t="shared" si="1"/>
        <v>0.1052767542</v>
      </c>
      <c r="C3112" s="39">
        <f t="array" ref="C3112">NPV(B3112,FCFF!$C$9:$I$9)+FCFF!$B$9+FCFF!$I$9*(1+Inputs!$B$6)/(B3112-Inputs!$B$6)/(1+B3112)^7</f>
        <v>-1522.512439</v>
      </c>
    </row>
    <row r="3113" ht="14.25" customHeight="1">
      <c r="A3113" s="7">
        <v>3100.0</v>
      </c>
      <c r="B3113" s="14">
        <f t="shared" si="1"/>
        <v>0.1234152409</v>
      </c>
      <c r="C3113" s="39">
        <f t="array" ref="C3113">NPV(B3113,FCFF!$C$9:$I$9)+FCFF!$B$9+FCFF!$I$9*(1+Inputs!$B$6)/(B3113-Inputs!$B$6)/(1+B3113)^7</f>
        <v>-1877.085739</v>
      </c>
    </row>
    <row r="3114" ht="14.25" customHeight="1">
      <c r="A3114" s="7">
        <v>3101.0</v>
      </c>
      <c r="B3114" s="14">
        <f t="shared" si="1"/>
        <v>0.1212082219</v>
      </c>
      <c r="C3114" s="39">
        <f t="array" ref="C3114">NPV(B3114,FCFF!$C$9:$I$9)+FCFF!$B$9+FCFF!$I$9*(1+Inputs!$B$6)/(B3114-Inputs!$B$6)/(1+B3114)^7</f>
        <v>-1841.825515</v>
      </c>
    </row>
    <row r="3115" ht="14.25" customHeight="1">
      <c r="A3115" s="7">
        <v>3102.0</v>
      </c>
      <c r="B3115" s="14">
        <f t="shared" si="1"/>
        <v>0.102118188</v>
      </c>
      <c r="C3115" s="39">
        <f t="array" ref="C3115">NPV(B3115,FCFF!$C$9:$I$9)+FCFF!$B$9+FCFF!$I$9*(1+Inputs!$B$6)/(B3115-Inputs!$B$6)/(1+B3115)^7</f>
        <v>-1441.889778</v>
      </c>
    </row>
    <row r="3116" ht="14.25" customHeight="1">
      <c r="A3116" s="7">
        <v>3103.0</v>
      </c>
      <c r="B3116" s="14">
        <f t="shared" si="1"/>
        <v>0.1094764326</v>
      </c>
      <c r="C3116" s="39">
        <f t="array" ref="C3116">NPV(B3116,FCFF!$C$9:$I$9)+FCFF!$B$9+FCFF!$I$9*(1+Inputs!$B$6)/(B3116-Inputs!$B$6)/(1+B3116)^7</f>
        <v>-1619.585807</v>
      </c>
    </row>
    <row r="3117" ht="14.25" customHeight="1">
      <c r="A3117" s="7">
        <v>3104.0</v>
      </c>
      <c r="B3117" s="14">
        <f t="shared" si="1"/>
        <v>0.1045388379</v>
      </c>
      <c r="C3117" s="39">
        <f t="array" ref="C3117">NPV(B3117,FCFF!$C$9:$I$9)+FCFF!$B$9+FCFF!$I$9*(1+Inputs!$B$6)/(B3117-Inputs!$B$6)/(1+B3117)^7</f>
        <v>-1504.299024</v>
      </c>
    </row>
    <row r="3118" ht="14.25" customHeight="1">
      <c r="A3118" s="7">
        <v>3105.0</v>
      </c>
      <c r="B3118" s="14">
        <f t="shared" si="1"/>
        <v>0.1129677214</v>
      </c>
      <c r="C3118" s="39">
        <f t="array" ref="C3118">NPV(B3118,FCFF!$C$9:$I$9)+FCFF!$B$9+FCFF!$I$9*(1+Inputs!$B$6)/(B3118-Inputs!$B$6)/(1+B3118)^7</f>
        <v>-1692.586687</v>
      </c>
    </row>
    <row r="3119" ht="14.25" customHeight="1">
      <c r="A3119" s="7">
        <v>3106.0</v>
      </c>
      <c r="B3119" s="14">
        <f t="shared" si="1"/>
        <v>0.106720157</v>
      </c>
      <c r="C3119" s="39">
        <f t="array" ref="C3119">NPV(B3119,FCFF!$C$9:$I$9)+FCFF!$B$9+FCFF!$I$9*(1+Inputs!$B$6)/(B3119-Inputs!$B$6)/(1+B3119)^7</f>
        <v>-1557.104985</v>
      </c>
    </row>
    <row r="3120" ht="14.25" customHeight="1">
      <c r="A3120" s="7">
        <v>3107.0</v>
      </c>
      <c r="B3120" s="14">
        <f t="shared" si="1"/>
        <v>0.1121637365</v>
      </c>
      <c r="C3120" s="39">
        <f t="array" ref="C3120">NPV(B3120,FCFF!$C$9:$I$9)+FCFF!$B$9+FCFF!$I$9*(1+Inputs!$B$6)/(B3120-Inputs!$B$6)/(1+B3120)^7</f>
        <v>-1676.345642</v>
      </c>
    </row>
    <row r="3121" ht="14.25" customHeight="1">
      <c r="A3121" s="7">
        <v>3108.0</v>
      </c>
      <c r="B3121" s="14">
        <f t="shared" si="1"/>
        <v>0.1189791317</v>
      </c>
      <c r="C3121" s="39">
        <f t="array" ref="C3121">NPV(B3121,FCFF!$C$9:$I$9)+FCFF!$B$9+FCFF!$I$9*(1+Inputs!$B$6)/(B3121-Inputs!$B$6)/(1+B3121)^7</f>
        <v>-1804.324399</v>
      </c>
    </row>
    <row r="3122" ht="14.25" customHeight="1">
      <c r="A3122" s="7">
        <v>3109.0</v>
      </c>
      <c r="B3122" s="14">
        <f t="shared" si="1"/>
        <v>0.1060115942</v>
      </c>
      <c r="C3122" s="39">
        <f t="array" ref="C3122">NPV(B3122,FCFF!$C$9:$I$9)+FCFF!$B$9+FCFF!$I$9*(1+Inputs!$B$6)/(B3122-Inputs!$B$6)/(1+B3122)^7</f>
        <v>-1540.291412</v>
      </c>
    </row>
    <row r="3123" ht="14.25" customHeight="1">
      <c r="A3123" s="7">
        <v>3110.0</v>
      </c>
      <c r="B3123" s="14">
        <f t="shared" si="1"/>
        <v>0.1204214466</v>
      </c>
      <c r="C3123" s="39">
        <f t="array" ref="C3123">NPV(B3123,FCFF!$C$9:$I$9)+FCFF!$B$9+FCFF!$I$9*(1+Inputs!$B$6)/(B3123-Inputs!$B$6)/(1+B3123)^7</f>
        <v>-1828.812817</v>
      </c>
    </row>
    <row r="3124" ht="14.25" customHeight="1">
      <c r="A3124" s="7">
        <v>3111.0</v>
      </c>
      <c r="B3124" s="14">
        <f t="shared" si="1"/>
        <v>0.1059507338</v>
      </c>
      <c r="C3124" s="39">
        <f t="array" ref="C3124">NPV(B3124,FCFF!$C$9:$I$9)+FCFF!$B$9+FCFF!$I$9*(1+Inputs!$B$6)/(B3124-Inputs!$B$6)/(1+B3124)^7</f>
        <v>-1538.832283</v>
      </c>
    </row>
    <row r="3125" ht="14.25" customHeight="1">
      <c r="A3125" s="7">
        <v>3112.0</v>
      </c>
      <c r="B3125" s="14">
        <f t="shared" si="1"/>
        <v>0.1048072445</v>
      </c>
      <c r="C3125" s="39">
        <f t="array" ref="C3125">NPV(B3125,FCFF!$C$9:$I$9)+FCFF!$B$9+FCFF!$I$9*(1+Inputs!$B$6)/(B3125-Inputs!$B$6)/(1+B3125)^7</f>
        <v>-1510.966278</v>
      </c>
    </row>
    <row r="3126" ht="14.25" customHeight="1">
      <c r="A3126" s="7">
        <v>3113.0</v>
      </c>
      <c r="B3126" s="14">
        <f t="shared" si="1"/>
        <v>0.09935117355</v>
      </c>
      <c r="C3126" s="39">
        <f t="array" ref="C3126">NPV(B3126,FCFF!$C$9:$I$9)+FCFF!$B$9+FCFF!$I$9*(1+Inputs!$B$6)/(B3126-Inputs!$B$6)/(1+B3126)^7</f>
        <v>-1365.149352</v>
      </c>
    </row>
    <row r="3127" ht="14.25" customHeight="1">
      <c r="A3127" s="7">
        <v>3114.0</v>
      </c>
      <c r="B3127" s="14">
        <f t="shared" si="1"/>
        <v>0.09654779196</v>
      </c>
      <c r="C3127" s="39">
        <f t="array" ref="C3127">NPV(B3127,FCFF!$C$9:$I$9)+FCFF!$B$9+FCFF!$I$9*(1+Inputs!$B$6)/(B3127-Inputs!$B$6)/(1+B3127)^7</f>
        <v>-1280.860799</v>
      </c>
    </row>
    <row r="3128" ht="14.25" customHeight="1">
      <c r="A3128" s="7">
        <v>3115.0</v>
      </c>
      <c r="B3128" s="14">
        <f t="shared" si="1"/>
        <v>0.1305363545</v>
      </c>
      <c r="C3128" s="39">
        <f t="array" ref="C3128">NPV(B3128,FCFF!$C$9:$I$9)+FCFF!$B$9+FCFF!$I$9*(1+Inputs!$B$6)/(B3128-Inputs!$B$6)/(1+B3128)^7</f>
        <v>-1979.58619</v>
      </c>
    </row>
    <row r="3129" ht="14.25" customHeight="1">
      <c r="A3129" s="7">
        <v>3116.0</v>
      </c>
      <c r="B3129" s="14">
        <f t="shared" si="1"/>
        <v>0.1183821513</v>
      </c>
      <c r="C3129" s="39">
        <f t="array" ref="C3129">NPV(B3129,FCFF!$C$9:$I$9)+FCFF!$B$9+FCFF!$I$9*(1+Inputs!$B$6)/(B3129-Inputs!$B$6)/(1+B3129)^7</f>
        <v>-1793.941232</v>
      </c>
    </row>
    <row r="3130" ht="14.25" customHeight="1">
      <c r="A3130" s="7">
        <v>3117.0</v>
      </c>
      <c r="B3130" s="14">
        <f t="shared" si="1"/>
        <v>0.1077952394</v>
      </c>
      <c r="C3130" s="39">
        <f t="array" ref="C3130">NPV(B3130,FCFF!$C$9:$I$9)+FCFF!$B$9+FCFF!$I$9*(1+Inputs!$B$6)/(B3130-Inputs!$B$6)/(1+B3130)^7</f>
        <v>-1582.016722</v>
      </c>
    </row>
    <row r="3131" ht="14.25" customHeight="1">
      <c r="A3131" s="7">
        <v>3118.0</v>
      </c>
      <c r="B3131" s="14">
        <f t="shared" si="1"/>
        <v>0.1291660801</v>
      </c>
      <c r="C3131" s="39">
        <f t="array" ref="C3131">NPV(B3131,FCFF!$C$9:$I$9)+FCFF!$B$9+FCFF!$I$9*(1+Inputs!$B$6)/(B3131-Inputs!$B$6)/(1+B3131)^7</f>
        <v>-1961.095247</v>
      </c>
    </row>
    <row r="3132" ht="14.25" customHeight="1">
      <c r="A3132" s="7">
        <v>3119.0</v>
      </c>
      <c r="B3132" s="14">
        <f t="shared" si="1"/>
        <v>0.1182156043</v>
      </c>
      <c r="C3132" s="39">
        <f t="array" ref="C3132">NPV(B3132,FCFF!$C$9:$I$9)+FCFF!$B$9+FCFF!$I$9*(1+Inputs!$B$6)/(B3132-Inputs!$B$6)/(1+B3132)^7</f>
        <v>-1791.018058</v>
      </c>
    </row>
    <row r="3133" ht="14.25" customHeight="1">
      <c r="A3133" s="7">
        <v>3120.0</v>
      </c>
      <c r="B3133" s="14">
        <f t="shared" si="1"/>
        <v>0.09389752561</v>
      </c>
      <c r="C3133" s="39">
        <f t="array" ref="C3133">NPV(B3133,FCFF!$C$9:$I$9)+FCFF!$B$9+FCFF!$I$9*(1+Inputs!$B$6)/(B3133-Inputs!$B$6)/(1+B3133)^7</f>
        <v>-1194.393562</v>
      </c>
    </row>
    <row r="3134" ht="14.25" customHeight="1">
      <c r="A3134" s="7">
        <v>3121.0</v>
      </c>
      <c r="B3134" s="14">
        <f t="shared" si="1"/>
        <v>0.1318013633</v>
      </c>
      <c r="C3134" s="39">
        <f t="array" ref="C3134">NPV(B3134,FCFF!$C$9:$I$9)+FCFF!$B$9+FCFF!$I$9*(1+Inputs!$B$6)/(B3134-Inputs!$B$6)/(1+B3134)^7</f>
        <v>-1996.17705</v>
      </c>
    </row>
    <row r="3135" ht="14.25" customHeight="1">
      <c r="A3135" s="7">
        <v>3122.0</v>
      </c>
      <c r="B3135" s="14">
        <f t="shared" si="1"/>
        <v>0.1044246606</v>
      </c>
      <c r="C3135" s="39">
        <f t="array" ref="C3135">NPV(B3135,FCFF!$C$9:$I$9)+FCFF!$B$9+FCFF!$I$9*(1+Inputs!$B$6)/(B3135-Inputs!$B$6)/(1+B3135)^7</f>
        <v>-1501.447995</v>
      </c>
    </row>
    <row r="3136" ht="14.25" customHeight="1">
      <c r="A3136" s="7">
        <v>3123.0</v>
      </c>
      <c r="B3136" s="14">
        <f t="shared" si="1"/>
        <v>0.09330406306</v>
      </c>
      <c r="C3136" s="39">
        <f t="array" ref="C3136">NPV(B3136,FCFF!$C$9:$I$9)+FCFF!$B$9+FCFF!$I$9*(1+Inputs!$B$6)/(B3136-Inputs!$B$6)/(1+B3136)^7</f>
        <v>-1174.047297</v>
      </c>
    </row>
    <row r="3137" ht="14.25" customHeight="1">
      <c r="A3137" s="7">
        <v>3124.0</v>
      </c>
      <c r="B3137" s="14">
        <f t="shared" si="1"/>
        <v>0.1071786611</v>
      </c>
      <c r="C3137" s="39">
        <f t="array" ref="C3137">NPV(B3137,FCFF!$C$9:$I$9)+FCFF!$B$9+FCFF!$I$9*(1+Inputs!$B$6)/(B3137-Inputs!$B$6)/(1+B3137)^7</f>
        <v>-1567.816455</v>
      </c>
    </row>
    <row r="3138" ht="14.25" customHeight="1">
      <c r="A3138" s="7">
        <v>3125.0</v>
      </c>
      <c r="B3138" s="14">
        <f t="shared" si="1"/>
        <v>0.1137602524</v>
      </c>
      <c r="C3138" s="39">
        <f t="array" ref="C3138">NPV(B3138,FCFF!$C$9:$I$9)+FCFF!$B$9+FCFF!$I$9*(1+Inputs!$B$6)/(B3138-Inputs!$B$6)/(1+B3138)^7</f>
        <v>-1708.278994</v>
      </c>
    </row>
    <row r="3139" ht="14.25" customHeight="1">
      <c r="A3139" s="7">
        <v>3126.0</v>
      </c>
      <c r="B3139" s="14">
        <f t="shared" si="1"/>
        <v>0.1158147455</v>
      </c>
      <c r="C3139" s="39">
        <f t="array" ref="C3139">NPV(B3139,FCFF!$C$9:$I$9)+FCFF!$B$9+FCFF!$I$9*(1+Inputs!$B$6)/(B3139-Inputs!$B$6)/(1+B3139)^7</f>
        <v>-1747.551226</v>
      </c>
    </row>
    <row r="3140" ht="14.25" customHeight="1">
      <c r="A3140" s="7">
        <v>3127.0</v>
      </c>
      <c r="B3140" s="14">
        <f t="shared" si="1"/>
        <v>0.1012650349</v>
      </c>
      <c r="C3140" s="39">
        <f t="array" ref="C3140">NPV(B3140,FCFF!$C$9:$I$9)+FCFF!$B$9+FCFF!$I$9*(1+Inputs!$B$6)/(B3140-Inputs!$B$6)/(1+B3140)^7</f>
        <v>-1418.869471</v>
      </c>
    </row>
    <row r="3141" ht="14.25" customHeight="1">
      <c r="A3141" s="7">
        <v>3128.0</v>
      </c>
      <c r="B3141" s="14">
        <f t="shared" si="1"/>
        <v>0.09702657363</v>
      </c>
      <c r="C3141" s="39">
        <f t="array" ref="C3141">NPV(B3141,FCFF!$C$9:$I$9)+FCFF!$B$9+FCFF!$I$9*(1+Inputs!$B$6)/(B3141-Inputs!$B$6)/(1+B3141)^7</f>
        <v>-1295.75557</v>
      </c>
    </row>
    <row r="3142" ht="14.25" customHeight="1">
      <c r="A3142" s="7">
        <v>3129.0</v>
      </c>
      <c r="B3142" s="14">
        <f t="shared" si="1"/>
        <v>0.09753557924</v>
      </c>
      <c r="C3142" s="39">
        <f t="array" ref="C3142">NPV(B3142,FCFF!$C$9:$I$9)+FCFF!$B$9+FCFF!$I$9*(1+Inputs!$B$6)/(B3142-Inputs!$B$6)/(1+B3142)^7</f>
        <v>-1311.35931</v>
      </c>
    </row>
    <row r="3143" ht="14.25" customHeight="1">
      <c r="A3143" s="7">
        <v>3130.0</v>
      </c>
      <c r="B3143" s="14">
        <f t="shared" si="1"/>
        <v>0.1153414216</v>
      </c>
      <c r="C3143" s="39">
        <f t="array" ref="C3143">NPV(B3143,FCFF!$C$9:$I$9)+FCFF!$B$9+FCFF!$I$9*(1+Inputs!$B$6)/(B3143-Inputs!$B$6)/(1+B3143)^7</f>
        <v>-1738.678752</v>
      </c>
    </row>
    <row r="3144" ht="14.25" customHeight="1">
      <c r="A3144" s="7">
        <v>3131.0</v>
      </c>
      <c r="B3144" s="14">
        <f t="shared" si="1"/>
        <v>0.1169594995</v>
      </c>
      <c r="C3144" s="39">
        <f t="array" ref="C3144">NPV(B3144,FCFF!$C$9:$I$9)+FCFF!$B$9+FCFF!$I$9*(1+Inputs!$B$6)/(B3144-Inputs!$B$6)/(1+B3144)^7</f>
        <v>-1768.591279</v>
      </c>
    </row>
    <row r="3145" ht="14.25" customHeight="1">
      <c r="A3145" s="7">
        <v>3132.0</v>
      </c>
      <c r="B3145" s="14">
        <f t="shared" si="1"/>
        <v>0.1088517251</v>
      </c>
      <c r="C3145" s="39">
        <f t="array" ref="C3145">NPV(B3145,FCFF!$C$9:$I$9)+FCFF!$B$9+FCFF!$I$9*(1+Inputs!$B$6)/(B3145-Inputs!$B$6)/(1+B3145)^7</f>
        <v>-1605.818189</v>
      </c>
    </row>
    <row r="3146" ht="14.25" customHeight="1">
      <c r="A3146" s="7">
        <v>3133.0</v>
      </c>
      <c r="B3146" s="14">
        <f t="shared" si="1"/>
        <v>0.1298396547</v>
      </c>
      <c r="C3146" s="39">
        <f t="array" ref="C3146">NPV(B3146,FCFF!$C$9:$I$9)+FCFF!$B$9+FCFF!$I$9*(1+Inputs!$B$6)/(B3146-Inputs!$B$6)/(1+B3146)^7</f>
        <v>-1970.253495</v>
      </c>
    </row>
    <row r="3147" ht="14.25" customHeight="1">
      <c r="A3147" s="7">
        <v>3134.0</v>
      </c>
      <c r="B3147" s="14">
        <f t="shared" si="1"/>
        <v>0.117163114</v>
      </c>
      <c r="C3147" s="39">
        <f t="array" ref="C3147">NPV(B3147,FCFF!$C$9:$I$9)+FCFF!$B$9+FCFF!$I$9*(1+Inputs!$B$6)/(B3147-Inputs!$B$6)/(1+B3147)^7</f>
        <v>-1772.27285</v>
      </c>
    </row>
    <row r="3148" ht="14.25" customHeight="1">
      <c r="A3148" s="7">
        <v>3135.0</v>
      </c>
      <c r="B3148" s="14">
        <f t="shared" si="1"/>
        <v>0.1213218624</v>
      </c>
      <c r="C3148" s="39">
        <f t="array" ref="C3148">NPV(B3148,FCFF!$C$9:$I$9)+FCFF!$B$9+FCFF!$I$9*(1+Inputs!$B$6)/(B3148-Inputs!$B$6)/(1+B3148)^7</f>
        <v>-1843.685383</v>
      </c>
    </row>
    <row r="3149" ht="14.25" customHeight="1">
      <c r="A3149" s="7">
        <v>3136.0</v>
      </c>
      <c r="B3149" s="14">
        <f t="shared" si="1"/>
        <v>0.113035113</v>
      </c>
      <c r="C3149" s="39">
        <f t="array" ref="C3149">NPV(B3149,FCFF!$C$9:$I$9)+FCFF!$B$9+FCFF!$I$9*(1+Inputs!$B$6)/(B3149-Inputs!$B$6)/(1+B3149)^7</f>
        <v>-1693.933193</v>
      </c>
    </row>
    <row r="3150" ht="14.25" customHeight="1">
      <c r="A3150" s="7">
        <v>3137.0</v>
      </c>
      <c r="B3150" s="14">
        <f t="shared" si="1"/>
        <v>0.1300330387</v>
      </c>
      <c r="C3150" s="39">
        <f t="array" ref="C3150">NPV(B3150,FCFF!$C$9:$I$9)+FCFF!$B$9+FCFF!$I$9*(1+Inputs!$B$6)/(B3150-Inputs!$B$6)/(1+B3150)^7</f>
        <v>-1972.858134</v>
      </c>
    </row>
    <row r="3151" ht="14.25" customHeight="1">
      <c r="A3151" s="7">
        <v>3138.0</v>
      </c>
      <c r="B3151" s="14">
        <f t="shared" si="1"/>
        <v>0.1310786586</v>
      </c>
      <c r="C3151" s="39">
        <f t="array" ref="C3151">NPV(B3151,FCFF!$C$9:$I$9)+FCFF!$B$9+FCFF!$I$9*(1+Inputs!$B$6)/(B3151-Inputs!$B$6)/(1+B3151)^7</f>
        <v>-1986.753967</v>
      </c>
    </row>
    <row r="3152" ht="14.25" customHeight="1">
      <c r="A3152" s="7">
        <v>3139.0</v>
      </c>
      <c r="B3152" s="14">
        <f t="shared" si="1"/>
        <v>0.1018972761</v>
      </c>
      <c r="C3152" s="39">
        <f t="array" ref="C3152">NPV(B3152,FCFF!$C$9:$I$9)+FCFF!$B$9+FCFF!$I$9*(1+Inputs!$B$6)/(B3152-Inputs!$B$6)/(1+B3152)^7</f>
        <v>-1435.981995</v>
      </c>
    </row>
    <row r="3153" ht="14.25" customHeight="1">
      <c r="A3153" s="7">
        <v>3140.0</v>
      </c>
      <c r="B3153" s="14">
        <f t="shared" si="1"/>
        <v>0.1143997787</v>
      </c>
      <c r="C3153" s="39">
        <f t="array" ref="C3153">NPV(B3153,FCFF!$C$9:$I$9)+FCFF!$B$9+FCFF!$I$9*(1+Inputs!$B$6)/(B3153-Inputs!$B$6)/(1+B3153)^7</f>
        <v>-1720.717889</v>
      </c>
    </row>
    <row r="3154" ht="14.25" customHeight="1">
      <c r="A3154" s="7">
        <v>3141.0</v>
      </c>
      <c r="B3154" s="14">
        <f t="shared" si="1"/>
        <v>0.1291940693</v>
      </c>
      <c r="C3154" s="39">
        <f t="array" ref="C3154">NPV(B3154,FCFF!$C$9:$I$9)+FCFF!$B$9+FCFF!$I$9*(1+Inputs!$B$6)/(B3154-Inputs!$B$6)/(1+B3154)^7</f>
        <v>-1961.478485</v>
      </c>
    </row>
    <row r="3155" ht="14.25" customHeight="1">
      <c r="A3155" s="7">
        <v>3142.0</v>
      </c>
      <c r="B3155" s="14">
        <f t="shared" si="1"/>
        <v>0.120311434</v>
      </c>
      <c r="C3155" s="39">
        <f t="array" ref="C3155">NPV(B3155,FCFF!$C$9:$I$9)+FCFF!$B$9+FCFF!$I$9*(1+Inputs!$B$6)/(B3155-Inputs!$B$6)/(1+B3155)^7</f>
        <v>-1826.974122</v>
      </c>
    </row>
    <row r="3156" ht="14.25" customHeight="1">
      <c r="A3156" s="7">
        <v>3143.0</v>
      </c>
      <c r="B3156" s="14">
        <f t="shared" si="1"/>
        <v>0.1250591516</v>
      </c>
      <c r="C3156" s="39">
        <f t="array" ref="C3156">NPV(B3156,FCFF!$C$9:$I$9)+FCFF!$B$9+FCFF!$I$9*(1+Inputs!$B$6)/(B3156-Inputs!$B$6)/(1+B3156)^7</f>
        <v>-1902.215506</v>
      </c>
    </row>
    <row r="3157" ht="14.25" customHeight="1">
      <c r="A3157" s="7">
        <v>3144.0</v>
      </c>
      <c r="B3157" s="14">
        <f t="shared" si="1"/>
        <v>0.1293711048</v>
      </c>
      <c r="C3157" s="39">
        <f t="array" ref="C3157">NPV(B3157,FCFF!$C$9:$I$9)+FCFF!$B$9+FCFF!$I$9*(1+Inputs!$B$6)/(B3157-Inputs!$B$6)/(1+B3157)^7</f>
        <v>-1963.897108</v>
      </c>
    </row>
    <row r="3158" ht="14.25" customHeight="1">
      <c r="A3158" s="7">
        <v>3145.0</v>
      </c>
      <c r="B3158" s="14">
        <f t="shared" si="1"/>
        <v>0.09981205343</v>
      </c>
      <c r="C3158" s="39">
        <f t="array" ref="C3158">NPV(B3158,FCFF!$C$9:$I$9)+FCFF!$B$9+FCFF!$I$9*(1+Inputs!$B$6)/(B3158-Inputs!$B$6)/(1+B3158)^7</f>
        <v>-1378.356877</v>
      </c>
    </row>
    <row r="3159" ht="14.25" customHeight="1">
      <c r="A3159" s="7">
        <v>3146.0</v>
      </c>
      <c r="B3159" s="14">
        <f t="shared" si="1"/>
        <v>0.1313603339</v>
      </c>
      <c r="C3159" s="39">
        <f t="array" ref="C3159">NPV(B3159,FCFF!$C$9:$I$9)+FCFF!$B$9+FCFF!$I$9*(1+Inputs!$B$6)/(B3159-Inputs!$B$6)/(1+B3159)^7</f>
        <v>-1990.444031</v>
      </c>
    </row>
    <row r="3160" ht="14.25" customHeight="1">
      <c r="A3160" s="7">
        <v>3147.0</v>
      </c>
      <c r="B3160" s="14">
        <f t="shared" si="1"/>
        <v>0.1263582651</v>
      </c>
      <c r="C3160" s="39">
        <f t="array" ref="C3160">NPV(B3160,FCFF!$C$9:$I$9)+FCFF!$B$9+FCFF!$I$9*(1+Inputs!$B$6)/(B3160-Inputs!$B$6)/(1+B3160)^7</f>
        <v>-1921.42512</v>
      </c>
    </row>
    <row r="3161" ht="14.25" customHeight="1">
      <c r="A3161" s="7">
        <v>3148.0</v>
      </c>
      <c r="B3161" s="14">
        <f t="shared" si="1"/>
        <v>0.1038495832</v>
      </c>
      <c r="C3161" s="39">
        <f t="array" ref="C3161">NPV(B3161,FCFF!$C$9:$I$9)+FCFF!$B$9+FCFF!$I$9*(1+Inputs!$B$6)/(B3161-Inputs!$B$6)/(1+B3161)^7</f>
        <v>-1486.951781</v>
      </c>
    </row>
    <row r="3162" ht="14.25" customHeight="1">
      <c r="A3162" s="7">
        <v>3149.0</v>
      </c>
      <c r="B3162" s="14">
        <f t="shared" si="1"/>
        <v>0.1042156923</v>
      </c>
      <c r="C3162" s="39">
        <f t="array" ref="C3162">NPV(B3162,FCFF!$C$9:$I$9)+FCFF!$B$9+FCFF!$I$9*(1+Inputs!$B$6)/(B3162-Inputs!$B$6)/(1+B3162)^7</f>
        <v>-1496.206883</v>
      </c>
    </row>
    <row r="3163" ht="14.25" customHeight="1">
      <c r="A3163" s="7">
        <v>3150.0</v>
      </c>
      <c r="B3163" s="14">
        <f t="shared" si="1"/>
        <v>0.09325767742</v>
      </c>
      <c r="C3163" s="39">
        <f t="array" ref="C3163">NPV(B3163,FCFF!$C$9:$I$9)+FCFF!$B$9+FCFF!$I$9*(1+Inputs!$B$6)/(B3163-Inputs!$B$6)/(1+B3163)^7</f>
        <v>-1172.441103</v>
      </c>
    </row>
    <row r="3164" ht="14.25" customHeight="1">
      <c r="A3164" s="7">
        <v>3151.0</v>
      </c>
      <c r="B3164" s="14">
        <f t="shared" si="1"/>
        <v>0.1103376916</v>
      </c>
      <c r="C3164" s="39">
        <f t="array" ref="C3164">NPV(B3164,FCFF!$C$9:$I$9)+FCFF!$B$9+FCFF!$I$9*(1+Inputs!$B$6)/(B3164-Inputs!$B$6)/(1+B3164)^7</f>
        <v>-1638.204627</v>
      </c>
    </row>
    <row r="3165" ht="14.25" customHeight="1">
      <c r="A3165" s="7">
        <v>3152.0</v>
      </c>
      <c r="B3165" s="14">
        <f t="shared" si="1"/>
        <v>0.09751505109</v>
      </c>
      <c r="C3165" s="39">
        <f t="array" ref="C3165">NPV(B3165,FCFF!$C$9:$I$9)+FCFF!$B$9+FCFF!$I$9*(1+Inputs!$B$6)/(B3165-Inputs!$B$6)/(1+B3165)^7</f>
        <v>-1310.734563</v>
      </c>
    </row>
    <row r="3166" ht="14.25" customHeight="1">
      <c r="A3166" s="7">
        <v>3153.0</v>
      </c>
      <c r="B3166" s="14">
        <f t="shared" si="1"/>
        <v>0.1228561299</v>
      </c>
      <c r="C3166" s="39">
        <f t="array" ref="C3166">NPV(B3166,FCFF!$C$9:$I$9)+FCFF!$B$9+FCFF!$I$9*(1+Inputs!$B$6)/(B3166-Inputs!$B$6)/(1+B3166)^7</f>
        <v>-1868.321994</v>
      </c>
    </row>
    <row r="3167" ht="14.25" customHeight="1">
      <c r="A3167" s="7">
        <v>3154.0</v>
      </c>
      <c r="B3167" s="14">
        <f t="shared" si="1"/>
        <v>0.1093944384</v>
      </c>
      <c r="C3167" s="39">
        <f t="array" ref="C3167">NPV(B3167,FCFF!$C$9:$I$9)+FCFF!$B$9+FCFF!$I$9*(1+Inputs!$B$6)/(B3167-Inputs!$B$6)/(1+B3167)^7</f>
        <v>-1617.791508</v>
      </c>
    </row>
    <row r="3168" ht="14.25" customHeight="1">
      <c r="A3168" s="7">
        <v>3155.0</v>
      </c>
      <c r="B3168" s="14">
        <f t="shared" si="1"/>
        <v>0.1222806145</v>
      </c>
      <c r="C3168" s="39">
        <f t="array" ref="C3168">NPV(B3168,FCFF!$C$9:$I$9)+FCFF!$B$9+FCFF!$I$9*(1+Inputs!$B$6)/(B3168-Inputs!$B$6)/(1+B3168)^7</f>
        <v>-1859.182804</v>
      </c>
    </row>
    <row r="3169" ht="14.25" customHeight="1">
      <c r="A3169" s="7">
        <v>3156.0</v>
      </c>
      <c r="B3169" s="14">
        <f t="shared" si="1"/>
        <v>0.1092266912</v>
      </c>
      <c r="C3169" s="39">
        <f t="array" ref="C3169">NPV(B3169,FCFF!$C$9:$I$9)+FCFF!$B$9+FCFF!$I$9*(1+Inputs!$B$6)/(B3169-Inputs!$B$6)/(1+B3169)^7</f>
        <v>-1614.108724</v>
      </c>
    </row>
    <row r="3170" ht="14.25" customHeight="1">
      <c r="A3170" s="7">
        <v>3157.0</v>
      </c>
      <c r="B3170" s="14">
        <f t="shared" si="1"/>
        <v>0.1228218221</v>
      </c>
      <c r="C3170" s="39">
        <f t="array" ref="C3170">NPV(B3170,FCFF!$C$9:$I$9)+FCFF!$B$9+FCFF!$I$9*(1+Inputs!$B$6)/(B3170-Inputs!$B$6)/(1+B3170)^7</f>
        <v>-1867.780571</v>
      </c>
    </row>
    <row r="3171" ht="14.25" customHeight="1">
      <c r="A3171" s="7">
        <v>3158.0</v>
      </c>
      <c r="B3171" s="14">
        <f t="shared" si="1"/>
        <v>0.1271435233</v>
      </c>
      <c r="C3171" s="39">
        <f t="array" ref="C3171">NPV(B3171,FCFF!$C$9:$I$9)+FCFF!$B$9+FCFF!$I$9*(1+Inputs!$B$6)/(B3171-Inputs!$B$6)/(1+B3171)^7</f>
        <v>-1932.768861</v>
      </c>
    </row>
    <row r="3172" ht="14.25" customHeight="1">
      <c r="A3172" s="7">
        <v>3159.0</v>
      </c>
      <c r="B3172" s="14">
        <f t="shared" si="1"/>
        <v>0.1317408502</v>
      </c>
      <c r="C3172" s="39">
        <f t="array" ref="C3172">NPV(B3172,FCFF!$C$9:$I$9)+FCFF!$B$9+FCFF!$I$9*(1+Inputs!$B$6)/(B3172-Inputs!$B$6)/(1+B3172)^7</f>
        <v>-1995.393634</v>
      </c>
    </row>
    <row r="3173" ht="14.25" customHeight="1">
      <c r="A3173" s="7">
        <v>3160.0</v>
      </c>
      <c r="B3173" s="14">
        <f t="shared" si="1"/>
        <v>0.123378435</v>
      </c>
      <c r="C3173" s="39">
        <f t="array" ref="C3173">NPV(B3173,FCFF!$C$9:$I$9)+FCFF!$B$9+FCFF!$I$9*(1+Inputs!$B$6)/(B3173-Inputs!$B$6)/(1+B3173)^7</f>
        <v>-1876.512272</v>
      </c>
    </row>
    <row r="3174" ht="14.25" customHeight="1">
      <c r="A3174" s="7">
        <v>3161.0</v>
      </c>
      <c r="B3174" s="14">
        <f t="shared" si="1"/>
        <v>0.1324702338</v>
      </c>
      <c r="C3174" s="39">
        <f t="array" ref="C3174">NPV(B3174,FCFF!$C$9:$I$9)+FCFF!$B$9+FCFF!$I$9*(1+Inputs!$B$6)/(B3174-Inputs!$B$6)/(1+B3174)^7</f>
        <v>-2004.769196</v>
      </c>
    </row>
    <row r="3175" ht="14.25" customHeight="1">
      <c r="A3175" s="7">
        <v>3162.0</v>
      </c>
      <c r="B3175" s="14">
        <f t="shared" si="1"/>
        <v>0.1088321132</v>
      </c>
      <c r="C3175" s="39">
        <f t="array" ref="C3175">NPV(B3175,FCFF!$C$9:$I$9)+FCFF!$B$9+FCFF!$I$9*(1+Inputs!$B$6)/(B3175-Inputs!$B$6)/(1+B3175)^7</f>
        <v>-1605.38233</v>
      </c>
    </row>
    <row r="3176" ht="14.25" customHeight="1">
      <c r="A3176" s="7">
        <v>3163.0</v>
      </c>
      <c r="B3176" s="14">
        <f t="shared" si="1"/>
        <v>0.1313387642</v>
      </c>
      <c r="C3176" s="39">
        <f t="array" ref="C3176">NPV(B3176,FCFF!$C$9:$I$9)+FCFF!$B$9+FCFF!$I$9*(1+Inputs!$B$6)/(B3176-Inputs!$B$6)/(1+B3176)^7</f>
        <v>-1990.162249</v>
      </c>
    </row>
    <row r="3177" ht="14.25" customHeight="1">
      <c r="A3177" s="7">
        <v>3164.0</v>
      </c>
      <c r="B3177" s="14">
        <f t="shared" si="1"/>
        <v>0.1185146774</v>
      </c>
      <c r="C3177" s="39">
        <f t="array" ref="C3177">NPV(B3177,FCFF!$C$9:$I$9)+FCFF!$B$9+FCFF!$I$9*(1+Inputs!$B$6)/(B3177-Inputs!$B$6)/(1+B3177)^7</f>
        <v>-1796.258997</v>
      </c>
    </row>
    <row r="3178" ht="14.25" customHeight="1">
      <c r="A3178" s="7">
        <v>3165.0</v>
      </c>
      <c r="B3178" s="14">
        <f t="shared" si="1"/>
        <v>0.09981918416</v>
      </c>
      <c r="C3178" s="39">
        <f t="array" ref="C3178">NPV(B3178,FCFF!$C$9:$I$9)+FCFF!$B$9+FCFF!$I$9*(1+Inputs!$B$6)/(B3178-Inputs!$B$6)/(1+B3178)^7</f>
        <v>-1378.559846</v>
      </c>
    </row>
    <row r="3179" ht="14.25" customHeight="1">
      <c r="A3179" s="7">
        <v>3166.0</v>
      </c>
      <c r="B3179" s="14">
        <f t="shared" si="1"/>
        <v>0.1221844157</v>
      </c>
      <c r="C3179" s="39">
        <f t="array" ref="C3179">NPV(B3179,FCFF!$C$9:$I$9)+FCFF!$B$9+FCFF!$I$9*(1+Inputs!$B$6)/(B3179-Inputs!$B$6)/(1+B3179)^7</f>
        <v>-1857.643307</v>
      </c>
    </row>
    <row r="3180" ht="14.25" customHeight="1">
      <c r="A3180" s="7">
        <v>3167.0</v>
      </c>
      <c r="B3180" s="14">
        <f t="shared" si="1"/>
        <v>0.1041880529</v>
      </c>
      <c r="C3180" s="39">
        <f t="array" ref="C3180">NPV(B3180,FCFF!$C$9:$I$9)+FCFF!$B$9+FCFF!$I$9*(1+Inputs!$B$6)/(B3180-Inputs!$B$6)/(1+B3180)^7</f>
        <v>-1495.511412</v>
      </c>
    </row>
    <row r="3181" ht="14.25" customHeight="1">
      <c r="A3181" s="7">
        <v>3168.0</v>
      </c>
      <c r="B3181" s="14">
        <f t="shared" si="1"/>
        <v>0.09720656522</v>
      </c>
      <c r="C3181" s="39">
        <f t="array" ref="C3181">NPV(B3181,FCFF!$C$9:$I$9)+FCFF!$B$9+FCFF!$I$9*(1+Inputs!$B$6)/(B3181-Inputs!$B$6)/(1+B3181)^7</f>
        <v>-1301.300265</v>
      </c>
    </row>
    <row r="3182" ht="14.25" customHeight="1">
      <c r="A3182" s="7">
        <v>3169.0</v>
      </c>
      <c r="B3182" s="14">
        <f t="shared" si="1"/>
        <v>0.130348485</v>
      </c>
      <c r="C3182" s="39">
        <f t="array" ref="C3182">NPV(B3182,FCFF!$C$9:$I$9)+FCFF!$B$9+FCFF!$I$9*(1+Inputs!$B$6)/(B3182-Inputs!$B$6)/(1+B3182)^7</f>
        <v>-1977.083424</v>
      </c>
    </row>
    <row r="3183" ht="14.25" customHeight="1">
      <c r="A3183" s="7">
        <v>3170.0</v>
      </c>
      <c r="B3183" s="14">
        <f t="shared" si="1"/>
        <v>0.119176466</v>
      </c>
      <c r="C3183" s="39">
        <f t="array" ref="C3183">NPV(B3183,FCFF!$C$9:$I$9)+FCFF!$B$9+FCFF!$I$9*(1+Inputs!$B$6)/(B3183-Inputs!$B$6)/(1+B3183)^7</f>
        <v>-1807.724328</v>
      </c>
    </row>
    <row r="3184" ht="14.25" customHeight="1">
      <c r="A3184" s="7">
        <v>3171.0</v>
      </c>
      <c r="B3184" s="14">
        <f t="shared" si="1"/>
        <v>0.1294516881</v>
      </c>
      <c r="C3184" s="39">
        <f t="array" ref="C3184">NPV(B3184,FCFF!$C$9:$I$9)+FCFF!$B$9+FCFF!$I$9*(1+Inputs!$B$6)/(B3184-Inputs!$B$6)/(1+B3184)^7</f>
        <v>-1964.994931</v>
      </c>
    </row>
    <row r="3185" ht="14.25" customHeight="1">
      <c r="A3185" s="7">
        <v>3172.0</v>
      </c>
      <c r="B3185" s="14">
        <f t="shared" si="1"/>
        <v>0.1101344022</v>
      </c>
      <c r="C3185" s="39">
        <f t="array" ref="C3185">NPV(B3185,FCFF!$C$9:$I$9)+FCFF!$B$9+FCFF!$I$9*(1+Inputs!$B$6)/(B3185-Inputs!$B$6)/(1+B3185)^7</f>
        <v>-1633.847148</v>
      </c>
    </row>
    <row r="3186" ht="14.25" customHeight="1">
      <c r="A3186" s="7">
        <v>3173.0</v>
      </c>
      <c r="B3186" s="14">
        <f t="shared" si="1"/>
        <v>0.1241203063</v>
      </c>
      <c r="C3186" s="39">
        <f t="array" ref="C3186">NPV(B3186,FCFF!$C$9:$I$9)+FCFF!$B$9+FCFF!$I$9*(1+Inputs!$B$6)/(B3186-Inputs!$B$6)/(1+B3186)^7</f>
        <v>-1887.978798</v>
      </c>
    </row>
    <row r="3187" ht="14.25" customHeight="1">
      <c r="A3187" s="7">
        <v>3174.0</v>
      </c>
      <c r="B3187" s="14">
        <f t="shared" si="1"/>
        <v>0.09931495669</v>
      </c>
      <c r="C3187" s="39">
        <f t="array" ref="C3187">NPV(B3187,FCFF!$C$9:$I$9)+FCFF!$B$9+FCFF!$I$9*(1+Inputs!$B$6)/(B3187-Inputs!$B$6)/(1+B3187)^7</f>
        <v>-1364.103996</v>
      </c>
    </row>
    <row r="3188" ht="14.25" customHeight="1">
      <c r="A3188" s="7">
        <v>3175.0</v>
      </c>
      <c r="B3188" s="14">
        <f t="shared" si="1"/>
        <v>0.09790811339</v>
      </c>
      <c r="C3188" s="39">
        <f t="array" ref="C3188">NPV(B3188,FCFF!$C$9:$I$9)+FCFF!$B$9+FCFF!$I$9*(1+Inputs!$B$6)/(B3188-Inputs!$B$6)/(1+B3188)^7</f>
        <v>-1322.631246</v>
      </c>
    </row>
    <row r="3189" ht="14.25" customHeight="1">
      <c r="A3189" s="7">
        <v>3176.0</v>
      </c>
      <c r="B3189" s="14">
        <f t="shared" si="1"/>
        <v>0.1175170562</v>
      </c>
      <c r="C3189" s="39">
        <f t="array" ref="C3189">NPV(B3189,FCFF!$C$9:$I$9)+FCFF!$B$9+FCFF!$I$9*(1+Inputs!$B$6)/(B3189-Inputs!$B$6)/(1+B3189)^7</f>
        <v>-1778.629648</v>
      </c>
    </row>
    <row r="3190" ht="14.25" customHeight="1">
      <c r="A3190" s="7">
        <v>3177.0</v>
      </c>
      <c r="B3190" s="14">
        <f t="shared" si="1"/>
        <v>0.1026345354</v>
      </c>
      <c r="C3190" s="39">
        <f t="array" ref="C3190">NPV(B3190,FCFF!$C$9:$I$9)+FCFF!$B$9+FCFF!$I$9*(1+Inputs!$B$6)/(B3190-Inputs!$B$6)/(1+B3190)^7</f>
        <v>-1455.556421</v>
      </c>
    </row>
    <row r="3191" ht="14.25" customHeight="1">
      <c r="A3191" s="7">
        <v>3178.0</v>
      </c>
      <c r="B3191" s="14">
        <f t="shared" si="1"/>
        <v>0.09667235046</v>
      </c>
      <c r="C3191" s="39">
        <f t="array" ref="C3191">NPV(B3191,FCFF!$C$9:$I$9)+FCFF!$B$9+FCFF!$I$9*(1+Inputs!$B$6)/(B3191-Inputs!$B$6)/(1+B3191)^7</f>
        <v>-1284.756324</v>
      </c>
    </row>
    <row r="3192" ht="14.25" customHeight="1">
      <c r="A3192" s="7">
        <v>3179.0</v>
      </c>
      <c r="B3192" s="14">
        <f t="shared" si="1"/>
        <v>0.0980416306</v>
      </c>
      <c r="C3192" s="39">
        <f t="array" ref="C3192">NPV(B3192,FCFF!$C$9:$I$9)+FCFF!$B$9+FCFF!$I$9*(1+Inputs!$B$6)/(B3192-Inputs!$B$6)/(1+B3192)^7</f>
        <v>-1326.641068</v>
      </c>
    </row>
    <row r="3193" ht="14.25" customHeight="1">
      <c r="A3193" s="7">
        <v>3180.0</v>
      </c>
      <c r="B3193" s="14">
        <f t="shared" si="1"/>
        <v>0.1174745298</v>
      </c>
      <c r="C3193" s="39">
        <f t="array" ref="C3193">NPV(B3193,FCFF!$C$9:$I$9)+FCFF!$B$9+FCFF!$I$9*(1+Inputs!$B$6)/(B3193-Inputs!$B$6)/(1+B3193)^7</f>
        <v>-1777.868734</v>
      </c>
    </row>
    <row r="3194" ht="14.25" customHeight="1">
      <c r="A3194" s="7">
        <v>3181.0</v>
      </c>
      <c r="B3194" s="14">
        <f t="shared" si="1"/>
        <v>0.1125932035</v>
      </c>
      <c r="C3194" s="39">
        <f t="array" ref="C3194">NPV(B3194,FCFF!$C$9:$I$9)+FCFF!$B$9+FCFF!$I$9*(1+Inputs!$B$6)/(B3194-Inputs!$B$6)/(1+B3194)^7</f>
        <v>-1685.062059</v>
      </c>
    </row>
    <row r="3195" ht="14.25" customHeight="1">
      <c r="A3195" s="7">
        <v>3182.0</v>
      </c>
      <c r="B3195" s="14">
        <f t="shared" si="1"/>
        <v>0.1095808847</v>
      </c>
      <c r="C3195" s="39">
        <f t="array" ref="C3195">NPV(B3195,FCFF!$C$9:$I$9)+FCFF!$B$9+FCFF!$I$9*(1+Inputs!$B$6)/(B3195-Inputs!$B$6)/(1+B3195)^7</f>
        <v>-1621.866036</v>
      </c>
    </row>
    <row r="3196" ht="14.25" customHeight="1">
      <c r="A3196" s="7">
        <v>3183.0</v>
      </c>
      <c r="B3196" s="14">
        <f t="shared" si="1"/>
        <v>0.1080536817</v>
      </c>
      <c r="C3196" s="39">
        <f t="array" ref="C3196">NPV(B3196,FCFF!$C$9:$I$9)+FCFF!$B$9+FCFF!$I$9*(1+Inputs!$B$6)/(B3196-Inputs!$B$6)/(1+B3196)^7</f>
        <v>-1587.900351</v>
      </c>
    </row>
    <row r="3197" ht="14.25" customHeight="1">
      <c r="A3197" s="7">
        <v>3184.0</v>
      </c>
      <c r="B3197" s="14">
        <f t="shared" si="1"/>
        <v>0.1136052101</v>
      </c>
      <c r="C3197" s="39">
        <f t="array" ref="C3197">NPV(B3197,FCFF!$C$9:$I$9)+FCFF!$B$9+FCFF!$I$9*(1+Inputs!$B$6)/(B3197-Inputs!$B$6)/(1+B3197)^7</f>
        <v>-1705.233499</v>
      </c>
    </row>
    <row r="3198" ht="14.25" customHeight="1">
      <c r="A3198" s="7">
        <v>3185.0</v>
      </c>
      <c r="B3198" s="14">
        <f t="shared" si="1"/>
        <v>0.1167558592</v>
      </c>
      <c r="C3198" s="39">
        <f t="array" ref="C3198">NPV(B3198,FCFF!$C$9:$I$9)+FCFF!$B$9+FCFF!$I$9*(1+Inputs!$B$6)/(B3198-Inputs!$B$6)/(1+B3198)^7</f>
        <v>-1764.891077</v>
      </c>
    </row>
    <row r="3199" ht="14.25" customHeight="1">
      <c r="A3199" s="7">
        <v>3186.0</v>
      </c>
      <c r="B3199" s="14">
        <f t="shared" si="1"/>
        <v>0.1077083517</v>
      </c>
      <c r="C3199" s="39">
        <f t="array" ref="C3199">NPV(B3199,FCFF!$C$9:$I$9)+FCFF!$B$9+FCFF!$I$9*(1+Inputs!$B$6)/(B3199-Inputs!$B$6)/(1+B3199)^7</f>
        <v>-1580.029631</v>
      </c>
    </row>
    <row r="3200" ht="14.25" customHeight="1">
      <c r="A3200" s="7">
        <v>3187.0</v>
      </c>
      <c r="B3200" s="14">
        <f t="shared" si="1"/>
        <v>0.1103245819</v>
      </c>
      <c r="C3200" s="39">
        <f t="array" ref="C3200">NPV(B3200,FCFF!$C$9:$I$9)+FCFF!$B$9+FCFF!$I$9*(1+Inputs!$B$6)/(B3200-Inputs!$B$6)/(1+B3200)^7</f>
        <v>-1637.92431</v>
      </c>
    </row>
    <row r="3201" ht="14.25" customHeight="1">
      <c r="A3201" s="7">
        <v>3188.0</v>
      </c>
      <c r="B3201" s="14">
        <f t="shared" si="1"/>
        <v>0.113004579</v>
      </c>
      <c r="C3201" s="39">
        <f t="array" ref="C3201">NPV(B3201,FCFF!$C$9:$I$9)+FCFF!$B$9+FCFF!$I$9*(1+Inputs!$B$6)/(B3201-Inputs!$B$6)/(1+B3201)^7</f>
        <v>-1693.323395</v>
      </c>
    </row>
    <row r="3202" ht="14.25" customHeight="1">
      <c r="A3202" s="7">
        <v>3189.0</v>
      </c>
      <c r="B3202" s="14">
        <f t="shared" si="1"/>
        <v>0.1313255968</v>
      </c>
      <c r="C3202" s="39">
        <f t="array" ref="C3202">NPV(B3202,FCFF!$C$9:$I$9)+FCFF!$B$9+FCFF!$I$9*(1+Inputs!$B$6)/(B3202-Inputs!$B$6)/(1+B3202)^7</f>
        <v>-1989.990167</v>
      </c>
    </row>
    <row r="3203" ht="14.25" customHeight="1">
      <c r="A3203" s="7">
        <v>3190.0</v>
      </c>
      <c r="B3203" s="14">
        <f t="shared" si="1"/>
        <v>0.1233088794</v>
      </c>
      <c r="C3203" s="39">
        <f t="array" ref="C3203">NPV(B3203,FCFF!$C$9:$I$9)+FCFF!$B$9+FCFF!$I$9*(1+Inputs!$B$6)/(B3203-Inputs!$B$6)/(1+B3203)^7</f>
        <v>-1875.427215</v>
      </c>
    </row>
    <row r="3204" ht="14.25" customHeight="1">
      <c r="A3204" s="7">
        <v>3191.0</v>
      </c>
      <c r="B3204" s="14">
        <f t="shared" si="1"/>
        <v>0.1322380575</v>
      </c>
      <c r="C3204" s="39">
        <f t="array" ref="C3204">NPV(B3204,FCFF!$C$9:$I$9)+FCFF!$B$9+FCFF!$I$9*(1+Inputs!$B$6)/(B3204-Inputs!$B$6)/(1+B3204)^7</f>
        <v>-2001.800614</v>
      </c>
    </row>
    <row r="3205" ht="14.25" customHeight="1">
      <c r="A3205" s="7">
        <v>3192.0</v>
      </c>
      <c r="B3205" s="14">
        <f t="shared" si="1"/>
        <v>0.121147536</v>
      </c>
      <c r="C3205" s="39">
        <f t="array" ref="C3205">NPV(B3205,FCFF!$C$9:$I$9)+FCFF!$B$9+FCFF!$I$9*(1+Inputs!$B$6)/(B3205-Inputs!$B$6)/(1+B3205)^7</f>
        <v>-1840.830298</v>
      </c>
    </row>
    <row r="3206" ht="14.25" customHeight="1">
      <c r="A3206" s="7">
        <v>3193.0</v>
      </c>
      <c r="B3206" s="14">
        <f t="shared" si="1"/>
        <v>0.1248132295</v>
      </c>
      <c r="C3206" s="39">
        <f t="array" ref="C3206">NPV(B3206,FCFF!$C$9:$I$9)+FCFF!$B$9+FCFF!$I$9*(1+Inputs!$B$6)/(B3206-Inputs!$B$6)/(1+B3206)^7</f>
        <v>-1898.515515</v>
      </c>
    </row>
    <row r="3207" ht="14.25" customHeight="1">
      <c r="A3207" s="7">
        <v>3194.0</v>
      </c>
      <c r="B3207" s="14">
        <f t="shared" si="1"/>
        <v>0.1217622281</v>
      </c>
      <c r="C3207" s="39">
        <f t="array" ref="C3207">NPV(B3207,FCFF!$C$9:$I$9)+FCFF!$B$9+FCFF!$I$9*(1+Inputs!$B$6)/(B3207-Inputs!$B$6)/(1+B3207)^7</f>
        <v>-1850.84629</v>
      </c>
    </row>
    <row r="3208" ht="14.25" customHeight="1">
      <c r="A3208" s="7">
        <v>3195.0</v>
      </c>
      <c r="B3208" s="14">
        <f t="shared" si="1"/>
        <v>0.1309137405</v>
      </c>
      <c r="C3208" s="39">
        <f t="array" ref="C3208">NPV(B3208,FCFF!$C$9:$I$9)+FCFF!$B$9+FCFF!$I$9*(1+Inputs!$B$6)/(B3208-Inputs!$B$6)/(1+B3208)^7</f>
        <v>-1984.583064</v>
      </c>
    </row>
    <row r="3209" ht="14.25" customHeight="1">
      <c r="A3209" s="7">
        <v>3196.0</v>
      </c>
      <c r="B3209" s="14">
        <f t="shared" si="1"/>
        <v>0.1115017314</v>
      </c>
      <c r="C3209" s="39">
        <f t="array" ref="C3209">NPV(B3209,FCFF!$C$9:$I$9)+FCFF!$B$9+FCFF!$I$9*(1+Inputs!$B$6)/(B3209-Inputs!$B$6)/(1+B3209)^7</f>
        <v>-1662.722808</v>
      </c>
    </row>
    <row r="3210" ht="14.25" customHeight="1">
      <c r="A3210" s="7">
        <v>3197.0</v>
      </c>
      <c r="B3210" s="14">
        <f t="shared" si="1"/>
        <v>0.09508495268</v>
      </c>
      <c r="C3210" s="39">
        <f t="array" ref="C3210">NPV(B3210,FCFF!$C$9:$I$9)+FCFF!$B$9+FCFF!$I$9*(1+Inputs!$B$6)/(B3210-Inputs!$B$6)/(1+B3210)^7</f>
        <v>-1233.999569</v>
      </c>
    </row>
    <row r="3211" ht="14.25" customHeight="1">
      <c r="A3211" s="7">
        <v>3198.0</v>
      </c>
      <c r="B3211" s="14">
        <f t="shared" si="1"/>
        <v>0.1310854512</v>
      </c>
      <c r="C3211" s="39">
        <f t="array" ref="C3211">NPV(B3211,FCFF!$C$9:$I$9)+FCFF!$B$9+FCFF!$I$9*(1+Inputs!$B$6)/(B3211-Inputs!$B$6)/(1+B3211)^7</f>
        <v>-1986.843216</v>
      </c>
    </row>
    <row r="3212" ht="14.25" customHeight="1">
      <c r="A3212" s="7">
        <v>3199.0</v>
      </c>
      <c r="B3212" s="14">
        <f t="shared" si="1"/>
        <v>0.1192756175</v>
      </c>
      <c r="C3212" s="39">
        <f t="array" ref="C3212">NPV(B3212,FCFF!$C$9:$I$9)+FCFF!$B$9+FCFF!$I$9*(1+Inputs!$B$6)/(B3212-Inputs!$B$6)/(1+B3212)^7</f>
        <v>-1809.426644</v>
      </c>
    </row>
    <row r="3213" ht="14.25" customHeight="1">
      <c r="A3213" s="7">
        <v>3200.0</v>
      </c>
      <c r="B3213" s="14">
        <f t="shared" si="1"/>
        <v>0.1154346751</v>
      </c>
      <c r="C3213" s="39">
        <f t="array" ref="C3213">NPV(B3213,FCFF!$C$9:$I$9)+FCFF!$B$9+FCFF!$I$9*(1+Inputs!$B$6)/(B3213-Inputs!$B$6)/(1+B3213)^7</f>
        <v>-1740.434934</v>
      </c>
    </row>
    <row r="3214" ht="14.25" customHeight="1">
      <c r="A3214" s="7">
        <v>3201.0</v>
      </c>
      <c r="B3214" s="14">
        <f t="shared" si="1"/>
        <v>0.1293066162</v>
      </c>
      <c r="C3214" s="39">
        <f t="array" ref="C3214">NPV(B3214,FCFF!$C$9:$I$9)+FCFF!$B$9+FCFF!$I$9*(1+Inputs!$B$6)/(B3214-Inputs!$B$6)/(1+B3214)^7</f>
        <v>-1963.017159</v>
      </c>
    </row>
    <row r="3215" ht="14.25" customHeight="1">
      <c r="A3215" s="7">
        <v>3202.0</v>
      </c>
      <c r="B3215" s="14">
        <f t="shared" si="1"/>
        <v>0.1109210608</v>
      </c>
      <c r="C3215" s="39">
        <f t="array" ref="C3215">NPV(B3215,FCFF!$C$9:$I$9)+FCFF!$B$9+FCFF!$I$9*(1+Inputs!$B$6)/(B3215-Inputs!$B$6)/(1+B3215)^7</f>
        <v>-1650.583406</v>
      </c>
    </row>
    <row r="3216" ht="14.25" customHeight="1">
      <c r="A3216" s="7">
        <v>3203.0</v>
      </c>
      <c r="B3216" s="14">
        <f t="shared" si="1"/>
        <v>0.1170172115</v>
      </c>
      <c r="C3216" s="39">
        <f t="array" ref="C3216">NPV(B3216,FCFF!$C$9:$I$9)+FCFF!$B$9+FCFF!$I$9*(1+Inputs!$B$6)/(B3216-Inputs!$B$6)/(1+B3216)^7</f>
        <v>-1769.636614</v>
      </c>
    </row>
    <row r="3217" ht="14.25" customHeight="1">
      <c r="A3217" s="7">
        <v>3204.0</v>
      </c>
      <c r="B3217" s="14">
        <f t="shared" si="1"/>
        <v>0.1019226709</v>
      </c>
      <c r="C3217" s="39">
        <f t="array" ref="C3217">NPV(B3217,FCFF!$C$9:$I$9)+FCFF!$B$9+FCFF!$I$9*(1+Inputs!$B$6)/(B3217-Inputs!$B$6)/(1+B3217)^7</f>
        <v>-1436.662989</v>
      </c>
    </row>
    <row r="3218" ht="14.25" customHeight="1">
      <c r="A3218" s="7">
        <v>3205.0</v>
      </c>
      <c r="B3218" s="14">
        <f t="shared" si="1"/>
        <v>0.1257555571</v>
      </c>
      <c r="C3218" s="39">
        <f t="array" ref="C3218">NPV(B3218,FCFF!$C$9:$I$9)+FCFF!$B$9+FCFF!$I$9*(1+Inputs!$B$6)/(B3218-Inputs!$B$6)/(1+B3218)^7</f>
        <v>-1912.582651</v>
      </c>
    </row>
    <row r="3219" ht="14.25" customHeight="1">
      <c r="A3219" s="7">
        <v>3206.0</v>
      </c>
      <c r="B3219" s="14">
        <f t="shared" si="1"/>
        <v>0.09857616562</v>
      </c>
      <c r="C3219" s="39">
        <f t="array" ref="C3219">NPV(B3219,FCFF!$C$9:$I$9)+FCFF!$B$9+FCFF!$I$9*(1+Inputs!$B$6)/(B3219-Inputs!$B$6)/(1+B3219)^7</f>
        <v>-1342.537713</v>
      </c>
    </row>
    <row r="3220" ht="14.25" customHeight="1">
      <c r="A3220" s="7">
        <v>3207.0</v>
      </c>
      <c r="B3220" s="14">
        <f t="shared" si="1"/>
        <v>0.1224071003</v>
      </c>
      <c r="C3220" s="39">
        <f t="array" ref="C3220">NPV(B3220,FCFF!$C$9:$I$9)+FCFF!$B$9+FCFF!$I$9*(1+Inputs!$B$6)/(B3220-Inputs!$B$6)/(1+B3220)^7</f>
        <v>-1861.2018</v>
      </c>
    </row>
    <row r="3221" ht="14.25" customHeight="1">
      <c r="A3221" s="7">
        <v>3208.0</v>
      </c>
      <c r="B3221" s="14">
        <f t="shared" si="1"/>
        <v>0.1167649524</v>
      </c>
      <c r="C3221" s="39">
        <f t="array" ref="C3221">NPV(B3221,FCFF!$C$9:$I$9)+FCFF!$B$9+FCFF!$I$9*(1+Inputs!$B$6)/(B3221-Inputs!$B$6)/(1+B3221)^7</f>
        <v>-1765.056691</v>
      </c>
    </row>
    <row r="3222" ht="14.25" customHeight="1">
      <c r="A3222" s="7">
        <v>3209.0</v>
      </c>
      <c r="B3222" s="14">
        <f t="shared" si="1"/>
        <v>0.09697875926</v>
      </c>
      <c r="C3222" s="39">
        <f t="array" ref="C3222">NPV(B3222,FCFF!$C$9:$I$9)+FCFF!$B$9+FCFF!$I$9*(1+Inputs!$B$6)/(B3222-Inputs!$B$6)/(1+B3222)^7</f>
        <v>-1294.277631</v>
      </c>
    </row>
    <row r="3223" ht="14.25" customHeight="1">
      <c r="A3223" s="7">
        <v>3210.0</v>
      </c>
      <c r="B3223" s="14">
        <f t="shared" si="1"/>
        <v>0.1230073603</v>
      </c>
      <c r="C3223" s="39">
        <f t="array" ref="C3223">NPV(B3223,FCFF!$C$9:$I$9)+FCFF!$B$9+FCFF!$I$9*(1+Inputs!$B$6)/(B3223-Inputs!$B$6)/(1+B3223)^7</f>
        <v>-1870.703535</v>
      </c>
    </row>
    <row r="3224" ht="14.25" customHeight="1">
      <c r="A3224" s="7">
        <v>3211.0</v>
      </c>
      <c r="B3224" s="14">
        <f t="shared" si="1"/>
        <v>0.09951119681</v>
      </c>
      <c r="C3224" s="39">
        <f t="array" ref="C3224">NPV(B3224,FCFF!$C$9:$I$9)+FCFF!$B$9+FCFF!$I$9*(1+Inputs!$B$6)/(B3224-Inputs!$B$6)/(1+B3224)^7</f>
        <v>-1369.755124</v>
      </c>
    </row>
    <row r="3225" ht="14.25" customHeight="1">
      <c r="A3225" s="7">
        <v>3212.0</v>
      </c>
      <c r="B3225" s="14">
        <f t="shared" si="1"/>
        <v>0.1074516837</v>
      </c>
      <c r="C3225" s="39">
        <f t="array" ref="C3225">NPV(B3225,FCFF!$C$9:$I$9)+FCFF!$B$9+FCFF!$I$9*(1+Inputs!$B$6)/(B3225-Inputs!$B$6)/(1+B3225)^7</f>
        <v>-1574.132992</v>
      </c>
    </row>
    <row r="3226" ht="14.25" customHeight="1">
      <c r="A3226" s="7">
        <v>3213.0</v>
      </c>
      <c r="B3226" s="14">
        <f t="shared" si="1"/>
        <v>0.1005338985</v>
      </c>
      <c r="C3226" s="39">
        <f t="array" ref="C3226">NPV(B3226,FCFF!$C$9:$I$9)+FCFF!$B$9+FCFF!$I$9*(1+Inputs!$B$6)/(B3226-Inputs!$B$6)/(1+B3226)^7</f>
        <v>-1398.693924</v>
      </c>
    </row>
    <row r="3227" ht="14.25" customHeight="1">
      <c r="A3227" s="7">
        <v>3214.0</v>
      </c>
      <c r="B3227" s="14">
        <f t="shared" si="1"/>
        <v>0.1072164438</v>
      </c>
      <c r="C3227" s="39">
        <f t="array" ref="C3227">NPV(B3227,FCFF!$C$9:$I$9)+FCFF!$B$9+FCFF!$I$9*(1+Inputs!$B$6)/(B3227-Inputs!$B$6)/(1+B3227)^7</f>
        <v>-1568.693312</v>
      </c>
    </row>
    <row r="3228" ht="14.25" customHeight="1">
      <c r="A3228" s="7">
        <v>3215.0</v>
      </c>
      <c r="B3228" s="14">
        <f t="shared" si="1"/>
        <v>0.1202910082</v>
      </c>
      <c r="C3228" s="39">
        <f t="array" ref="C3228">NPV(B3228,FCFF!$C$9:$I$9)+FCFF!$B$9+FCFF!$I$9*(1+Inputs!$B$6)/(B3228-Inputs!$B$6)/(1+B3228)^7</f>
        <v>-1826.632215</v>
      </c>
    </row>
    <row r="3229" ht="14.25" customHeight="1">
      <c r="A3229" s="7">
        <v>3216.0</v>
      </c>
      <c r="B3229" s="14">
        <f t="shared" si="1"/>
        <v>0.1325298428</v>
      </c>
      <c r="C3229" s="39">
        <f t="array" ref="C3229">NPV(B3229,FCFF!$C$9:$I$9)+FCFF!$B$9+FCFF!$I$9*(1+Inputs!$B$6)/(B3229-Inputs!$B$6)/(1+B3229)^7</f>
        <v>-2005.528983</v>
      </c>
    </row>
    <row r="3230" ht="14.25" customHeight="1">
      <c r="A3230" s="7">
        <v>3217.0</v>
      </c>
      <c r="B3230" s="14">
        <f t="shared" si="1"/>
        <v>0.09655767241</v>
      </c>
      <c r="C3230" s="39">
        <f t="array" ref="C3230">NPV(B3230,FCFF!$C$9:$I$9)+FCFF!$B$9+FCFF!$I$9*(1+Inputs!$B$6)/(B3230-Inputs!$B$6)/(1+B3230)^7</f>
        <v>-1281.170338</v>
      </c>
    </row>
    <row r="3231" ht="14.25" customHeight="1">
      <c r="A3231" s="7">
        <v>3218.0</v>
      </c>
      <c r="B3231" s="14">
        <f t="shared" si="1"/>
        <v>0.1253423784</v>
      </c>
      <c r="C3231" s="39">
        <f t="array" ref="C3231">NPV(B3231,FCFF!$C$9:$I$9)+FCFF!$B$9+FCFF!$I$9*(1+Inputs!$B$6)/(B3231-Inputs!$B$6)/(1+B3231)^7</f>
        <v>-1906.45141</v>
      </c>
    </row>
    <row r="3232" ht="14.25" customHeight="1">
      <c r="A3232" s="7">
        <v>3219.0</v>
      </c>
      <c r="B3232" s="14">
        <f t="shared" si="1"/>
        <v>0.132169922</v>
      </c>
      <c r="C3232" s="39">
        <f t="array" ref="C3232">NPV(B3232,FCFF!$C$9:$I$9)+FCFF!$B$9+FCFF!$I$9*(1+Inputs!$B$6)/(B3232-Inputs!$B$6)/(1+B3232)^7</f>
        <v>-2000.926645</v>
      </c>
    </row>
    <row r="3233" ht="14.25" customHeight="1">
      <c r="A3233" s="7">
        <v>3220.0</v>
      </c>
      <c r="B3233" s="14">
        <f t="shared" si="1"/>
        <v>0.1232562809</v>
      </c>
      <c r="C3233" s="39">
        <f t="array" ref="C3233">NPV(B3233,FCFF!$C$9:$I$9)+FCFF!$B$9+FCFF!$I$9*(1+Inputs!$B$6)/(B3233-Inputs!$B$6)/(1+B3233)^7</f>
        <v>-1874.60554</v>
      </c>
    </row>
    <row r="3234" ht="14.25" customHeight="1">
      <c r="A3234" s="7">
        <v>3221.0</v>
      </c>
      <c r="B3234" s="14">
        <f t="shared" si="1"/>
        <v>0.1306636003</v>
      </c>
      <c r="C3234" s="39">
        <f t="array" ref="C3234">NPV(B3234,FCFF!$C$9:$I$9)+FCFF!$B$9+FCFF!$I$9*(1+Inputs!$B$6)/(B3234-Inputs!$B$6)/(1+B3234)^7</f>
        <v>-1981.275572</v>
      </c>
    </row>
    <row r="3235" ht="14.25" customHeight="1">
      <c r="A3235" s="7">
        <v>3222.0</v>
      </c>
      <c r="B3235" s="14">
        <f t="shared" si="1"/>
        <v>0.102805197</v>
      </c>
      <c r="C3235" s="39">
        <f t="array" ref="C3235">NPV(B3235,FCFF!$C$9:$I$9)+FCFF!$B$9+FCFF!$I$9*(1+Inputs!$B$6)/(B3235-Inputs!$B$6)/(1+B3235)^7</f>
        <v>-1460.030298</v>
      </c>
    </row>
    <row r="3236" ht="14.25" customHeight="1">
      <c r="A3236" s="7">
        <v>3223.0</v>
      </c>
      <c r="B3236" s="14">
        <f t="shared" si="1"/>
        <v>0.09904237406</v>
      </c>
      <c r="C3236" s="39">
        <f t="array" ref="C3236">NPV(B3236,FCFF!$C$9:$I$9)+FCFF!$B$9+FCFF!$I$9*(1+Inputs!$B$6)/(B3236-Inputs!$B$6)/(1+B3236)^7</f>
        <v>-1356.200884</v>
      </c>
    </row>
    <row r="3237" ht="14.25" customHeight="1">
      <c r="A3237" s="7">
        <v>3224.0</v>
      </c>
      <c r="B3237" s="14">
        <f t="shared" si="1"/>
        <v>0.1105225696</v>
      </c>
      <c r="C3237" s="39">
        <f t="array" ref="C3237">NPV(B3237,FCFF!$C$9:$I$9)+FCFF!$B$9+FCFF!$I$9*(1+Inputs!$B$6)/(B3237-Inputs!$B$6)/(1+B3237)^7</f>
        <v>-1642.147719</v>
      </c>
    </row>
    <row r="3238" ht="14.25" customHeight="1">
      <c r="A3238" s="7">
        <v>3225.0</v>
      </c>
      <c r="B3238" s="14">
        <f t="shared" si="1"/>
        <v>0.1061793144</v>
      </c>
      <c r="C3238" s="39">
        <f t="array" ref="C3238">NPV(B3238,FCFF!$C$9:$I$9)+FCFF!$B$9+FCFF!$I$9*(1+Inputs!$B$6)/(B3238-Inputs!$B$6)/(1+B3238)^7</f>
        <v>-1544.300173</v>
      </c>
    </row>
    <row r="3239" ht="14.25" customHeight="1">
      <c r="A3239" s="7">
        <v>3226.0</v>
      </c>
      <c r="B3239" s="14">
        <f t="shared" si="1"/>
        <v>0.1061778801</v>
      </c>
      <c r="C3239" s="39">
        <f t="array" ref="C3239">NPV(B3239,FCFF!$C$9:$I$9)+FCFF!$B$9+FCFF!$I$9*(1+Inputs!$B$6)/(B3239-Inputs!$B$6)/(1+B3239)^7</f>
        <v>-1544.265968</v>
      </c>
    </row>
    <row r="3240" ht="14.25" customHeight="1">
      <c r="A3240" s="7">
        <v>3227.0</v>
      </c>
      <c r="B3240" s="14">
        <f t="shared" si="1"/>
        <v>0.1273335538</v>
      </c>
      <c r="C3240" s="39">
        <f t="array" ref="C3240">NPV(B3240,FCFF!$C$9:$I$9)+FCFF!$B$9+FCFF!$I$9*(1+Inputs!$B$6)/(B3240-Inputs!$B$6)/(1+B3240)^7</f>
        <v>-1935.4844</v>
      </c>
    </row>
    <row r="3241" ht="14.25" customHeight="1">
      <c r="A3241" s="7">
        <v>3228.0</v>
      </c>
      <c r="B3241" s="14">
        <f t="shared" si="1"/>
        <v>0.1314815931</v>
      </c>
      <c r="C3241" s="39">
        <f t="array" ref="C3241">NPV(B3241,FCFF!$C$9:$I$9)+FCFF!$B$9+FCFF!$I$9*(1+Inputs!$B$6)/(B3241-Inputs!$B$6)/(1+B3241)^7</f>
        <v>-1992.025711</v>
      </c>
    </row>
    <row r="3242" ht="14.25" customHeight="1">
      <c r="A3242" s="7">
        <v>3229.0</v>
      </c>
      <c r="B3242" s="14">
        <f t="shared" si="1"/>
        <v>0.1214911521</v>
      </c>
      <c r="C3242" s="39">
        <f t="array" ref="C3242">NPV(B3242,FCFF!$C$9:$I$9)+FCFF!$B$9+FCFF!$I$9*(1+Inputs!$B$6)/(B3242-Inputs!$B$6)/(1+B3242)^7</f>
        <v>-1846.446917</v>
      </c>
    </row>
    <row r="3243" ht="14.25" customHeight="1">
      <c r="A3243" s="7">
        <v>3230.0</v>
      </c>
      <c r="B3243" s="14">
        <f t="shared" si="1"/>
        <v>0.1240325499</v>
      </c>
      <c r="C3243" s="39">
        <f t="array" ref="C3243">NPV(B3243,FCFF!$C$9:$I$9)+FCFF!$B$9+FCFF!$I$9*(1+Inputs!$B$6)/(B3243-Inputs!$B$6)/(1+B3243)^7</f>
        <v>-1886.6325</v>
      </c>
    </row>
    <row r="3244" ht="14.25" customHeight="1">
      <c r="A3244" s="7">
        <v>3231.0</v>
      </c>
      <c r="B3244" s="14">
        <f t="shared" si="1"/>
        <v>0.1186001398</v>
      </c>
      <c r="C3244" s="39">
        <f t="array" ref="C3244">NPV(B3244,FCFF!$C$9:$I$9)+FCFF!$B$9+FCFF!$I$9*(1+Inputs!$B$6)/(B3244-Inputs!$B$6)/(1+B3244)^7</f>
        <v>-1797.749781</v>
      </c>
    </row>
    <row r="3245" ht="14.25" customHeight="1">
      <c r="A3245" s="7">
        <v>3232.0</v>
      </c>
      <c r="B3245" s="14">
        <f t="shared" si="1"/>
        <v>0.1280010976</v>
      </c>
      <c r="C3245" s="39">
        <f t="array" ref="C3245">NPV(B3245,FCFF!$C$9:$I$9)+FCFF!$B$9+FCFF!$I$9*(1+Inputs!$B$6)/(B3245-Inputs!$B$6)/(1+B3245)^7</f>
        <v>-1944.933621</v>
      </c>
    </row>
    <row r="3246" ht="14.25" customHeight="1">
      <c r="A3246" s="7">
        <v>3233.0</v>
      </c>
      <c r="B3246" s="14">
        <f t="shared" si="1"/>
        <v>0.1062716958</v>
      </c>
      <c r="C3246" s="39">
        <f t="array" ref="C3246">NPV(B3246,FCFF!$C$9:$I$9)+FCFF!$B$9+FCFF!$I$9*(1+Inputs!$B$6)/(B3246-Inputs!$B$6)/(1+B3246)^7</f>
        <v>-1546.500526</v>
      </c>
    </row>
    <row r="3247" ht="14.25" customHeight="1">
      <c r="A3247" s="7">
        <v>3234.0</v>
      </c>
      <c r="B3247" s="14">
        <f t="shared" si="1"/>
        <v>0.1308276216</v>
      </c>
      <c r="C3247" s="39">
        <f t="array" ref="C3247">NPV(B3247,FCFF!$C$9:$I$9)+FCFF!$B$9+FCFF!$I$9*(1+Inputs!$B$6)/(B3247-Inputs!$B$6)/(1+B3247)^7</f>
        <v>-1983.446366</v>
      </c>
    </row>
    <row r="3248" ht="14.25" customHeight="1">
      <c r="A3248" s="7">
        <v>3235.0</v>
      </c>
      <c r="B3248" s="14">
        <f t="shared" si="1"/>
        <v>0.1262953482</v>
      </c>
      <c r="C3248" s="39">
        <f t="array" ref="C3248">NPV(B3248,FCFF!$C$9:$I$9)+FCFF!$B$9+FCFF!$I$9*(1+Inputs!$B$6)/(B3248-Inputs!$B$6)/(1+B3248)^7</f>
        <v>-1920.507613</v>
      </c>
    </row>
    <row r="3249" ht="14.25" customHeight="1">
      <c r="A3249" s="7">
        <v>3236.0</v>
      </c>
      <c r="B3249" s="14">
        <f t="shared" si="1"/>
        <v>0.1230147811</v>
      </c>
      <c r="C3249" s="39">
        <f t="array" ref="C3249">NPV(B3249,FCFF!$C$9:$I$9)+FCFF!$B$9+FCFF!$I$9*(1+Inputs!$B$6)/(B3249-Inputs!$B$6)/(1+B3249)^7</f>
        <v>-1870.820184</v>
      </c>
    </row>
    <row r="3250" ht="14.25" customHeight="1">
      <c r="A3250" s="7">
        <v>3237.0</v>
      </c>
      <c r="B3250" s="14">
        <f t="shared" si="1"/>
        <v>0.09462369653</v>
      </c>
      <c r="C3250" s="39">
        <f t="array" ref="C3250">NPV(B3250,FCFF!$C$9:$I$9)+FCFF!$B$9+FCFF!$I$9*(1+Inputs!$B$6)/(B3250-Inputs!$B$6)/(1+B3250)^7</f>
        <v>-1218.786095</v>
      </c>
    </row>
    <row r="3251" ht="14.25" customHeight="1">
      <c r="A3251" s="7">
        <v>3238.0</v>
      </c>
      <c r="B3251" s="14">
        <f t="shared" si="1"/>
        <v>0.1329728837</v>
      </c>
      <c r="C3251" s="39">
        <f t="array" ref="C3251">NPV(B3251,FCFF!$C$9:$I$9)+FCFF!$B$9+FCFF!$I$9*(1+Inputs!$B$6)/(B3251-Inputs!$B$6)/(1+B3251)^7</f>
        <v>-2011.145961</v>
      </c>
    </row>
    <row r="3252" ht="14.25" customHeight="1">
      <c r="A3252" s="7">
        <v>3239.0</v>
      </c>
      <c r="B3252" s="14">
        <f t="shared" si="1"/>
        <v>0.09670439433</v>
      </c>
      <c r="C3252" s="39">
        <f t="array" ref="C3252">NPV(B3252,FCFF!$C$9:$I$9)+FCFF!$B$9+FCFF!$I$9*(1+Inputs!$B$6)/(B3252-Inputs!$B$6)/(1+B3252)^7</f>
        <v>-1285.756138</v>
      </c>
    </row>
    <row r="3253" ht="14.25" customHeight="1">
      <c r="A3253" s="7">
        <v>3240.0</v>
      </c>
      <c r="B3253" s="14">
        <f t="shared" si="1"/>
        <v>0.1310367765</v>
      </c>
      <c r="C3253" s="39">
        <f t="array" ref="C3253">NPV(B3253,FCFF!$C$9:$I$9)+FCFF!$B$9+FCFF!$I$9*(1+Inputs!$B$6)/(B3253-Inputs!$B$6)/(1+B3253)^7</f>
        <v>-1986.203382</v>
      </c>
    </row>
    <row r="3254" ht="14.25" customHeight="1">
      <c r="A3254" s="7">
        <v>3241.0</v>
      </c>
      <c r="B3254" s="14">
        <f t="shared" si="1"/>
        <v>0.1236816533</v>
      </c>
      <c r="C3254" s="39">
        <f t="array" ref="C3254">NPV(B3254,FCFF!$C$9:$I$9)+FCFF!$B$9+FCFF!$I$9*(1+Inputs!$B$6)/(B3254-Inputs!$B$6)/(1+B3254)^7</f>
        <v>-1881.22233</v>
      </c>
    </row>
    <row r="3255" ht="14.25" customHeight="1">
      <c r="A3255" s="7">
        <v>3242.0</v>
      </c>
      <c r="B3255" s="14">
        <f t="shared" si="1"/>
        <v>0.09952977955</v>
      </c>
      <c r="C3255" s="39">
        <f t="array" ref="C3255">NPV(B3255,FCFF!$C$9:$I$9)+FCFF!$B$9+FCFF!$I$9*(1+Inputs!$B$6)/(B3255-Inputs!$B$6)/(1+B3255)^7</f>
        <v>-1370.288589</v>
      </c>
    </row>
    <row r="3256" ht="14.25" customHeight="1">
      <c r="A3256" s="7">
        <v>3243.0</v>
      </c>
      <c r="B3256" s="14">
        <f t="shared" si="1"/>
        <v>0.1226892972</v>
      </c>
      <c r="C3256" s="39">
        <f t="array" ref="C3256">NPV(B3256,FCFF!$C$9:$I$9)+FCFF!$B$9+FCFF!$I$9*(1+Inputs!$B$6)/(B3256-Inputs!$B$6)/(1+B3256)^7</f>
        <v>-1865.685137</v>
      </c>
    </row>
    <row r="3257" ht="14.25" customHeight="1">
      <c r="A3257" s="7">
        <v>3244.0</v>
      </c>
      <c r="B3257" s="14">
        <f t="shared" si="1"/>
        <v>0.1055507171</v>
      </c>
      <c r="C3257" s="39">
        <f t="array" ref="C3257">NPV(B3257,FCFF!$C$9:$I$9)+FCFF!$B$9+FCFF!$I$9*(1+Inputs!$B$6)/(B3257-Inputs!$B$6)/(1+B3257)^7</f>
        <v>-1529.182085</v>
      </c>
    </row>
    <row r="3258" ht="14.25" customHeight="1">
      <c r="A3258" s="7">
        <v>3245.0</v>
      </c>
      <c r="B3258" s="14">
        <f t="shared" si="1"/>
        <v>0.1229701089</v>
      </c>
      <c r="C3258" s="39">
        <f t="array" ref="C3258">NPV(B3258,FCFF!$C$9:$I$9)+FCFF!$B$9+FCFF!$I$9*(1+Inputs!$B$6)/(B3258-Inputs!$B$6)/(1+B3258)^7</f>
        <v>-1870.117677</v>
      </c>
    </row>
    <row r="3259" ht="14.25" customHeight="1">
      <c r="A3259" s="7">
        <v>3246.0</v>
      </c>
      <c r="B3259" s="14">
        <f t="shared" si="1"/>
        <v>0.0995744719</v>
      </c>
      <c r="C3259" s="39">
        <f t="array" ref="C3259">NPV(B3259,FCFF!$C$9:$I$9)+FCFF!$B$9+FCFF!$I$9*(1+Inputs!$B$6)/(B3259-Inputs!$B$6)/(1+B3259)^7</f>
        <v>-1371.570426</v>
      </c>
    </row>
    <row r="3260" ht="14.25" customHeight="1">
      <c r="A3260" s="7">
        <v>3247.0</v>
      </c>
      <c r="B3260" s="14">
        <f t="shared" si="1"/>
        <v>0.09376473402</v>
      </c>
      <c r="C3260" s="39">
        <f t="array" ref="C3260">NPV(B3260,FCFF!$C$9:$I$9)+FCFF!$B$9+FCFF!$I$9*(1+Inputs!$B$6)/(B3260-Inputs!$B$6)/(1+B3260)^7</f>
        <v>-1189.873483</v>
      </c>
    </row>
    <row r="3261" ht="14.25" customHeight="1">
      <c r="A3261" s="7">
        <v>3248.0</v>
      </c>
      <c r="B3261" s="14">
        <f t="shared" si="1"/>
        <v>0.1086798763</v>
      </c>
      <c r="C3261" s="39">
        <f t="array" ref="C3261">NPV(B3261,FCFF!$C$9:$I$9)+FCFF!$B$9+FCFF!$I$9*(1+Inputs!$B$6)/(B3261-Inputs!$B$6)/(1+B3261)^7</f>
        <v>-1601.991396</v>
      </c>
    </row>
    <row r="3262" ht="14.25" customHeight="1">
      <c r="A3262" s="7">
        <v>3249.0</v>
      </c>
      <c r="B3262" s="14">
        <f t="shared" si="1"/>
        <v>0.1028255549</v>
      </c>
      <c r="C3262" s="39">
        <f t="array" ref="C3262">NPV(B3262,FCFF!$C$9:$I$9)+FCFF!$B$9+FCFF!$I$9*(1+Inputs!$B$6)/(B3262-Inputs!$B$6)/(1+B3262)^7</f>
        <v>-1460.56256</v>
      </c>
    </row>
    <row r="3263" ht="14.25" customHeight="1">
      <c r="A3263" s="7">
        <v>3250.0</v>
      </c>
      <c r="B3263" s="14">
        <f t="shared" si="1"/>
        <v>0.1240716007</v>
      </c>
      <c r="C3263" s="39">
        <f t="array" ref="C3263">NPV(B3263,FCFF!$C$9:$I$9)+FCFF!$B$9+FCFF!$I$9*(1+Inputs!$B$6)/(B3263-Inputs!$B$6)/(1+B3263)^7</f>
        <v>-1887.231923</v>
      </c>
    </row>
    <row r="3264" ht="14.25" customHeight="1">
      <c r="A3264" s="7">
        <v>3251.0</v>
      </c>
      <c r="B3264" s="14">
        <f t="shared" si="1"/>
        <v>0.127159509</v>
      </c>
      <c r="C3264" s="39">
        <f t="array" ref="C3264">NPV(B3264,FCFF!$C$9:$I$9)+FCFF!$B$9+FCFF!$I$9*(1+Inputs!$B$6)/(B3264-Inputs!$B$6)/(1+B3264)^7</f>
        <v>-1932.997739</v>
      </c>
    </row>
    <row r="3265" ht="14.25" customHeight="1">
      <c r="A3265" s="7">
        <v>3252.0</v>
      </c>
      <c r="B3265" s="14">
        <f t="shared" si="1"/>
        <v>0.1274901868</v>
      </c>
      <c r="C3265" s="39">
        <f t="array" ref="C3265">NPV(B3265,FCFF!$C$9:$I$9)+FCFF!$B$9+FCFF!$I$9*(1+Inputs!$B$6)/(B3265-Inputs!$B$6)/(1+B3265)^7</f>
        <v>-1937.714109</v>
      </c>
    </row>
    <row r="3266" ht="14.25" customHeight="1">
      <c r="A3266" s="7">
        <v>3253.0</v>
      </c>
      <c r="B3266" s="14">
        <f t="shared" si="1"/>
        <v>0.09944663615</v>
      </c>
      <c r="C3266" s="39">
        <f t="array" ref="C3266">NPV(B3266,FCFF!$C$9:$I$9)+FCFF!$B$9+FCFF!$I$9*(1+Inputs!$B$6)/(B3266-Inputs!$B$6)/(1+B3266)^7</f>
        <v>-1367.899513</v>
      </c>
    </row>
    <row r="3267" ht="14.25" customHeight="1">
      <c r="A3267" s="7">
        <v>3254.0</v>
      </c>
      <c r="B3267" s="14">
        <f t="shared" si="1"/>
        <v>0.1221769418</v>
      </c>
      <c r="C3267" s="39">
        <f t="array" ref="C3267">NPV(B3267,FCFF!$C$9:$I$9)+FCFF!$B$9+FCFF!$I$9*(1+Inputs!$B$6)/(B3267-Inputs!$B$6)/(1+B3267)^7</f>
        <v>-1857.523557</v>
      </c>
    </row>
    <row r="3268" ht="14.25" customHeight="1">
      <c r="A3268" s="7">
        <v>3255.0</v>
      </c>
      <c r="B3268" s="14">
        <f t="shared" si="1"/>
        <v>0.1319009749</v>
      </c>
      <c r="C3268" s="39">
        <f t="array" ref="C3268">NPV(B3268,FCFF!$C$9:$I$9)+FCFF!$B$9+FCFF!$I$9*(1+Inputs!$B$6)/(B3268-Inputs!$B$6)/(1+B3268)^7</f>
        <v>-1997.464434</v>
      </c>
    </row>
    <row r="3269" ht="14.25" customHeight="1">
      <c r="A3269" s="7">
        <v>3256.0</v>
      </c>
      <c r="B3269" s="14">
        <f t="shared" si="1"/>
        <v>0.1164732635</v>
      </c>
      <c r="C3269" s="39">
        <f t="array" ref="C3269">NPV(B3269,FCFF!$C$9:$I$9)+FCFF!$B$9+FCFF!$I$9*(1+Inputs!$B$6)/(B3269-Inputs!$B$6)/(1+B3269)^7</f>
        <v>-1759.725902</v>
      </c>
    </row>
    <row r="3270" ht="14.25" customHeight="1">
      <c r="A3270" s="7">
        <v>3257.0</v>
      </c>
      <c r="B3270" s="14">
        <f t="shared" si="1"/>
        <v>0.1296451767</v>
      </c>
      <c r="C3270" s="39">
        <f t="array" ref="C3270">NPV(B3270,FCFF!$C$9:$I$9)+FCFF!$B$9+FCFF!$I$9*(1+Inputs!$B$6)/(B3270-Inputs!$B$6)/(1+B3270)^7</f>
        <v>-1967.623057</v>
      </c>
    </row>
    <row r="3271" ht="14.25" customHeight="1">
      <c r="A3271" s="7">
        <v>3258.0</v>
      </c>
      <c r="B3271" s="14">
        <f t="shared" si="1"/>
        <v>0.1302074928</v>
      </c>
      <c r="C3271" s="39">
        <f t="array" ref="C3271">NPV(B3271,FCFF!$C$9:$I$9)+FCFF!$B$9+FCFF!$I$9*(1+Inputs!$B$6)/(B3271-Inputs!$B$6)/(1+B3271)^7</f>
        <v>-1975.198454</v>
      </c>
    </row>
    <row r="3272" ht="14.25" customHeight="1">
      <c r="A3272" s="7">
        <v>3259.0</v>
      </c>
      <c r="B3272" s="14">
        <f t="shared" si="1"/>
        <v>0.131592574</v>
      </c>
      <c r="C3272" s="39">
        <f t="array" ref="C3272">NPV(B3272,FCFF!$C$9:$I$9)+FCFF!$B$9+FCFF!$I$9*(1+Inputs!$B$6)/(B3272-Inputs!$B$6)/(1+B3272)^7</f>
        <v>-1993.469719</v>
      </c>
    </row>
    <row r="3273" ht="14.25" customHeight="1">
      <c r="A3273" s="7">
        <v>3260.0</v>
      </c>
      <c r="B3273" s="14">
        <f t="shared" si="1"/>
        <v>0.1172018573</v>
      </c>
      <c r="C3273" s="39">
        <f t="array" ref="C3273">NPV(B3273,FCFF!$C$9:$I$9)+FCFF!$B$9+FCFF!$I$9*(1+Inputs!$B$6)/(B3273-Inputs!$B$6)/(1+B3273)^7</f>
        <v>-1772.971325</v>
      </c>
    </row>
    <row r="3274" ht="14.25" customHeight="1">
      <c r="A3274" s="7">
        <v>3261.0</v>
      </c>
      <c r="B3274" s="14">
        <f t="shared" si="1"/>
        <v>0.1301283301</v>
      </c>
      <c r="C3274" s="39">
        <f t="array" ref="C3274">NPV(B3274,FCFF!$C$9:$I$9)+FCFF!$B$9+FCFF!$I$9*(1+Inputs!$B$6)/(B3274-Inputs!$B$6)/(1+B3274)^7</f>
        <v>-1974.137576</v>
      </c>
    </row>
    <row r="3275" ht="14.25" customHeight="1">
      <c r="A3275" s="7">
        <v>3262.0</v>
      </c>
      <c r="B3275" s="14">
        <f t="shared" si="1"/>
        <v>0.09608782238</v>
      </c>
      <c r="C3275" s="39">
        <f t="array" ref="C3275">NPV(B3275,FCFF!$C$9:$I$9)+FCFF!$B$9+FCFF!$I$9*(1+Inputs!$B$6)/(B3275-Inputs!$B$6)/(1+B3275)^7</f>
        <v>-1266.34855</v>
      </c>
    </row>
    <row r="3276" ht="14.25" customHeight="1">
      <c r="A3276" s="7">
        <v>3263.0</v>
      </c>
      <c r="B3276" s="14">
        <f t="shared" si="1"/>
        <v>0.1114374869</v>
      </c>
      <c r="C3276" s="39">
        <f t="array" ref="C3276">NPV(B3276,FCFF!$C$9:$I$9)+FCFF!$B$9+FCFF!$I$9*(1+Inputs!$B$6)/(B3276-Inputs!$B$6)/(1+B3276)^7</f>
        <v>-1661.388547</v>
      </c>
    </row>
    <row r="3277" ht="14.25" customHeight="1">
      <c r="A3277" s="7">
        <v>3264.0</v>
      </c>
      <c r="B3277" s="14">
        <f t="shared" si="1"/>
        <v>0.09384548041</v>
      </c>
      <c r="C3277" s="39">
        <f t="array" ref="C3277">NPV(B3277,FCFF!$C$9:$I$9)+FCFF!$B$9+FCFF!$I$9*(1+Inputs!$B$6)/(B3277-Inputs!$B$6)/(1+B3277)^7</f>
        <v>-1192.624219</v>
      </c>
    </row>
    <row r="3278" ht="14.25" customHeight="1">
      <c r="A3278" s="7">
        <v>3265.0</v>
      </c>
      <c r="B3278" s="14">
        <f t="shared" si="1"/>
        <v>0.1041500116</v>
      </c>
      <c r="C3278" s="39">
        <f t="array" ref="C3278">NPV(B3278,FCFF!$C$9:$I$9)+FCFF!$B$9+FCFF!$I$9*(1+Inputs!$B$6)/(B3278-Inputs!$B$6)/(1+B3278)^7</f>
        <v>-1494.553343</v>
      </c>
    </row>
    <row r="3279" ht="14.25" customHeight="1">
      <c r="A3279" s="7">
        <v>3266.0</v>
      </c>
      <c r="B3279" s="14">
        <f t="shared" si="1"/>
        <v>0.1029018359</v>
      </c>
      <c r="C3279" s="39">
        <f t="array" ref="C3279">NPV(B3279,FCFF!$C$9:$I$9)+FCFF!$B$9+FCFF!$I$9*(1+Inputs!$B$6)/(B3279-Inputs!$B$6)/(1+B3279)^7</f>
        <v>-1462.55426</v>
      </c>
    </row>
    <row r="3280" ht="14.25" customHeight="1">
      <c r="A3280" s="7">
        <v>3267.0</v>
      </c>
      <c r="B3280" s="14">
        <f t="shared" si="1"/>
        <v>0.1211941718</v>
      </c>
      <c r="C3280" s="39">
        <f t="array" ref="C3280">NPV(B3280,FCFF!$C$9:$I$9)+FCFF!$B$9+FCFF!$I$9*(1+Inputs!$B$6)/(B3280-Inputs!$B$6)/(1+B3280)^7</f>
        <v>-1841.595225</v>
      </c>
    </row>
    <row r="3281" ht="14.25" customHeight="1">
      <c r="A3281" s="7">
        <v>3268.0</v>
      </c>
      <c r="B3281" s="14">
        <f t="shared" si="1"/>
        <v>0.1071792703</v>
      </c>
      <c r="C3281" s="39">
        <f t="array" ref="C3281">NPV(B3281,FCFF!$C$9:$I$9)+FCFF!$B$9+FCFF!$I$9*(1+Inputs!$B$6)/(B3281-Inputs!$B$6)/(1+B3281)^7</f>
        <v>-1567.8306</v>
      </c>
    </row>
    <row r="3282" ht="14.25" customHeight="1">
      <c r="A3282" s="7">
        <v>3269.0</v>
      </c>
      <c r="B3282" s="14">
        <f t="shared" si="1"/>
        <v>0.1126275364</v>
      </c>
      <c r="C3282" s="39">
        <f t="array" ref="C3282">NPV(B3282,FCFF!$C$9:$I$9)+FCFF!$B$9+FCFF!$I$9*(1+Inputs!$B$6)/(B3282-Inputs!$B$6)/(1+B3282)^7</f>
        <v>-1685.754812</v>
      </c>
    </row>
    <row r="3283" ht="14.25" customHeight="1">
      <c r="A3283" s="7">
        <v>3270.0</v>
      </c>
      <c r="B3283" s="14">
        <f t="shared" si="1"/>
        <v>0.1322494192</v>
      </c>
      <c r="C3283" s="39">
        <f t="array" ref="C3283">NPV(B3283,FCFF!$C$9:$I$9)+FCFF!$B$9+FCFF!$I$9*(1+Inputs!$B$6)/(B3283-Inputs!$B$6)/(1+B3283)^7</f>
        <v>-2001.946226</v>
      </c>
    </row>
    <row r="3284" ht="14.25" customHeight="1">
      <c r="A3284" s="7">
        <v>3271.0</v>
      </c>
      <c r="B3284" s="14">
        <f t="shared" si="1"/>
        <v>0.1181323909</v>
      </c>
      <c r="C3284" s="39">
        <f t="array" ref="C3284">NPV(B3284,FCFF!$C$9:$I$9)+FCFF!$B$9+FCFF!$I$9*(1+Inputs!$B$6)/(B3284-Inputs!$B$6)/(1+B3284)^7</f>
        <v>-1789.553162</v>
      </c>
    </row>
    <row r="3285" ht="14.25" customHeight="1">
      <c r="A3285" s="7">
        <v>3272.0</v>
      </c>
      <c r="B3285" s="14">
        <f t="shared" si="1"/>
        <v>0.1099144566</v>
      </c>
      <c r="C3285" s="39">
        <f t="array" ref="C3285">NPV(B3285,FCFF!$C$9:$I$9)+FCFF!$B$9+FCFF!$I$9*(1+Inputs!$B$6)/(B3285-Inputs!$B$6)/(1+B3285)^7</f>
        <v>-1629.106851</v>
      </c>
    </row>
    <row r="3286" ht="14.25" customHeight="1">
      <c r="A3286" s="7">
        <v>3273.0</v>
      </c>
      <c r="B3286" s="14">
        <f t="shared" si="1"/>
        <v>0.1273272466</v>
      </c>
      <c r="C3286" s="39">
        <f t="array" ref="C3286">NPV(B3286,FCFF!$C$9:$I$9)+FCFF!$B$9+FCFF!$I$9*(1+Inputs!$B$6)/(B3286-Inputs!$B$6)/(1+B3286)^7</f>
        <v>-1935.394455</v>
      </c>
    </row>
    <row r="3287" ht="14.25" customHeight="1">
      <c r="A3287" s="7">
        <v>3274.0</v>
      </c>
      <c r="B3287" s="14">
        <f t="shared" si="1"/>
        <v>0.1214277387</v>
      </c>
      <c r="C3287" s="39">
        <f t="array" ref="C3287">NPV(B3287,FCFF!$C$9:$I$9)+FCFF!$B$9+FCFF!$I$9*(1+Inputs!$B$6)/(B3287-Inputs!$B$6)/(1+B3287)^7</f>
        <v>-1845.413761</v>
      </c>
    </row>
    <row r="3288" ht="14.25" customHeight="1">
      <c r="A3288" s="7">
        <v>3275.0</v>
      </c>
      <c r="B3288" s="14">
        <f t="shared" si="1"/>
        <v>0.132691168</v>
      </c>
      <c r="C3288" s="39">
        <f t="array" ref="C3288">NPV(B3288,FCFF!$C$9:$I$9)+FCFF!$B$9+FCFF!$I$9*(1+Inputs!$B$6)/(B3288-Inputs!$B$6)/(1+B3288)^7</f>
        <v>-2007.580433</v>
      </c>
    </row>
    <row r="3289" ht="14.25" customHeight="1">
      <c r="A3289" s="7">
        <v>3276.0</v>
      </c>
      <c r="B3289" s="14">
        <f t="shared" si="1"/>
        <v>0.102624101</v>
      </c>
      <c r="C3289" s="39">
        <f t="array" ref="C3289">NPV(B3289,FCFF!$C$9:$I$9)+FCFF!$B$9+FCFF!$I$9*(1+Inputs!$B$6)/(B3289-Inputs!$B$6)/(1+B3289)^7</f>
        <v>-1455.282194</v>
      </c>
    </row>
    <row r="3290" ht="14.25" customHeight="1">
      <c r="A3290" s="7">
        <v>3277.0</v>
      </c>
      <c r="B3290" s="14">
        <f t="shared" si="1"/>
        <v>0.1104806793</v>
      </c>
      <c r="C3290" s="39">
        <f t="array" ref="C3290">NPV(B3290,FCFF!$C$9:$I$9)+FCFF!$B$9+FCFF!$I$9*(1+Inputs!$B$6)/(B3290-Inputs!$B$6)/(1+B3290)^7</f>
        <v>-1641.255921</v>
      </c>
    </row>
    <row r="3291" ht="14.25" customHeight="1">
      <c r="A3291" s="7">
        <v>3278.0</v>
      </c>
      <c r="B3291" s="14">
        <f t="shared" si="1"/>
        <v>0.09802727706</v>
      </c>
      <c r="C3291" s="39">
        <f t="array" ref="C3291">NPV(B3291,FCFF!$C$9:$I$9)+FCFF!$B$9+FCFF!$I$9*(1+Inputs!$B$6)/(B3291-Inputs!$B$6)/(1+B3291)^7</f>
        <v>-1326.210755</v>
      </c>
    </row>
    <row r="3292" ht="14.25" customHeight="1">
      <c r="A3292" s="7">
        <v>3279.0</v>
      </c>
      <c r="B3292" s="14">
        <f t="shared" si="1"/>
        <v>0.104422862</v>
      </c>
      <c r="C3292" s="39">
        <f t="array" ref="C3292">NPV(B3292,FCFF!$C$9:$I$9)+FCFF!$B$9+FCFF!$I$9*(1+Inputs!$B$6)/(B3292-Inputs!$B$6)/(1+B3292)^7</f>
        <v>-1501.403011</v>
      </c>
    </row>
    <row r="3293" ht="14.25" customHeight="1">
      <c r="A3293" s="7">
        <v>3280.0</v>
      </c>
      <c r="B3293" s="14">
        <f t="shared" si="1"/>
        <v>0.1222331293</v>
      </c>
      <c r="C3293" s="39">
        <f t="array" ref="C3293">NPV(B3293,FCFF!$C$9:$I$9)+FCFF!$B$9+FCFF!$I$9*(1+Inputs!$B$6)/(B3293-Inputs!$B$6)/(1+B3293)^7</f>
        <v>-1858.423312</v>
      </c>
    </row>
    <row r="3294" ht="14.25" customHeight="1">
      <c r="A3294" s="7">
        <v>3281.0</v>
      </c>
      <c r="B3294" s="14">
        <f t="shared" si="1"/>
        <v>0.118200673</v>
      </c>
      <c r="C3294" s="39">
        <f t="array" ref="C3294">NPV(B3294,FCFF!$C$9:$I$9)+FCFF!$B$9+FCFF!$I$9*(1+Inputs!$B$6)/(B3294-Inputs!$B$6)/(1+B3294)^7</f>
        <v>-1790.75542</v>
      </c>
    </row>
    <row r="3295" ht="14.25" customHeight="1">
      <c r="A3295" s="7">
        <v>3282.0</v>
      </c>
      <c r="B3295" s="14">
        <f t="shared" si="1"/>
        <v>0.1013530155</v>
      </c>
      <c r="C3295" s="39">
        <f t="array" ref="C3295">NPV(B3295,FCFF!$C$9:$I$9)+FCFF!$B$9+FCFF!$I$9*(1+Inputs!$B$6)/(B3295-Inputs!$B$6)/(1+B3295)^7</f>
        <v>-1421.269148</v>
      </c>
    </row>
    <row r="3296" ht="14.25" customHeight="1">
      <c r="A3296" s="7">
        <v>3283.0</v>
      </c>
      <c r="B3296" s="14">
        <f t="shared" si="1"/>
        <v>0.1269404461</v>
      </c>
      <c r="C3296" s="39">
        <f t="array" ref="C3296">NPV(B3296,FCFF!$C$9:$I$9)+FCFF!$B$9+FCFF!$I$9*(1+Inputs!$B$6)/(B3296-Inputs!$B$6)/(1+B3296)^7</f>
        <v>-1929.854201</v>
      </c>
    </row>
    <row r="3297" ht="14.25" customHeight="1">
      <c r="A3297" s="7">
        <v>3284.0</v>
      </c>
      <c r="B3297" s="14">
        <f t="shared" si="1"/>
        <v>0.103986935</v>
      </c>
      <c r="C3297" s="39">
        <f t="array" ref="C3297">NPV(B3297,FCFF!$C$9:$I$9)+FCFF!$B$9+FCFF!$I$9*(1+Inputs!$B$6)/(B3297-Inputs!$B$6)/(1+B3297)^7</f>
        <v>-1490.434904</v>
      </c>
    </row>
    <row r="3298" ht="14.25" customHeight="1">
      <c r="A3298" s="7">
        <v>3285.0</v>
      </c>
      <c r="B3298" s="14">
        <f t="shared" si="1"/>
        <v>0.1043246032</v>
      </c>
      <c r="C3298" s="39">
        <f t="array" ref="C3298">NPV(B3298,FCFF!$C$9:$I$9)+FCFF!$B$9+FCFF!$I$9*(1+Inputs!$B$6)/(B3298-Inputs!$B$6)/(1+B3298)^7</f>
        <v>-1498.942208</v>
      </c>
    </row>
    <row r="3299" ht="14.25" customHeight="1">
      <c r="A3299" s="7">
        <v>3286.0</v>
      </c>
      <c r="B3299" s="14">
        <f t="shared" si="1"/>
        <v>0.1021514695</v>
      </c>
      <c r="C3299" s="39">
        <f t="array" ref="C3299">NPV(B3299,FCFF!$C$9:$I$9)+FCFF!$B$9+FCFF!$I$9*(1+Inputs!$B$6)/(B3299-Inputs!$B$6)/(1+B3299)^7</f>
        <v>-1442.776641</v>
      </c>
    </row>
    <row r="3300" ht="14.25" customHeight="1">
      <c r="A3300" s="7">
        <v>3287.0</v>
      </c>
      <c r="B3300" s="14">
        <f t="shared" si="1"/>
        <v>0.09796780206</v>
      </c>
      <c r="C3300" s="39">
        <f t="array" ref="C3300">NPV(B3300,FCFF!$C$9:$I$9)+FCFF!$B$9+FCFF!$I$9*(1+Inputs!$B$6)/(B3300-Inputs!$B$6)/(1+B3300)^7</f>
        <v>-1324.42578</v>
      </c>
    </row>
    <row r="3301" ht="14.25" customHeight="1">
      <c r="A3301" s="7">
        <v>3288.0</v>
      </c>
      <c r="B3301" s="14">
        <f t="shared" si="1"/>
        <v>0.1030081963</v>
      </c>
      <c r="C3301" s="39">
        <f t="array" ref="C3301">NPV(B3301,FCFF!$C$9:$I$9)+FCFF!$B$9+FCFF!$I$9*(1+Inputs!$B$6)/(B3301-Inputs!$B$6)/(1+B3301)^7</f>
        <v>-1465.324288</v>
      </c>
    </row>
    <row r="3302" ht="14.25" customHeight="1">
      <c r="A3302" s="7">
        <v>3289.0</v>
      </c>
      <c r="B3302" s="14">
        <f t="shared" si="1"/>
        <v>0.1068197631</v>
      </c>
      <c r="C3302" s="39">
        <f t="array" ref="C3302">NPV(B3302,FCFF!$C$9:$I$9)+FCFF!$B$9+FCFF!$I$9*(1+Inputs!$B$6)/(B3302-Inputs!$B$6)/(1+B3302)^7</f>
        <v>-1559.443099</v>
      </c>
    </row>
    <row r="3303" ht="14.25" customHeight="1">
      <c r="A3303" s="7">
        <v>3290.0</v>
      </c>
      <c r="B3303" s="14">
        <f t="shared" si="1"/>
        <v>0.1304446063</v>
      </c>
      <c r="C3303" s="39">
        <f t="array" ref="C3303">NPV(B3303,FCFF!$C$9:$I$9)+FCFF!$B$9+FCFF!$I$9*(1+Inputs!$B$6)/(B3303-Inputs!$B$6)/(1+B3303)^7</f>
        <v>-1978.365207</v>
      </c>
    </row>
    <row r="3304" ht="14.25" customHeight="1">
      <c r="A3304" s="7">
        <v>3291.0</v>
      </c>
      <c r="B3304" s="14">
        <f t="shared" si="1"/>
        <v>0.09422572998</v>
      </c>
      <c r="C3304" s="39">
        <f t="array" ref="C3304">NPV(B3304,FCFF!$C$9:$I$9)+FCFF!$B$9+FCFF!$I$9*(1+Inputs!$B$6)/(B3304-Inputs!$B$6)/(1+B3304)^7</f>
        <v>-1205.485858</v>
      </c>
    </row>
    <row r="3305" ht="14.25" customHeight="1">
      <c r="A3305" s="7">
        <v>3292.0</v>
      </c>
      <c r="B3305" s="14">
        <f t="shared" si="1"/>
        <v>0.1229968199</v>
      </c>
      <c r="C3305" s="39">
        <f t="array" ref="C3305">NPV(B3305,FCFF!$C$9:$I$9)+FCFF!$B$9+FCFF!$I$9*(1+Inputs!$B$6)/(B3305-Inputs!$B$6)/(1+B3305)^7</f>
        <v>-1870.537816</v>
      </c>
    </row>
    <row r="3306" ht="14.25" customHeight="1">
      <c r="A3306" s="7">
        <v>3293.0</v>
      </c>
      <c r="B3306" s="14">
        <f t="shared" si="1"/>
        <v>0.1106437074</v>
      </c>
      <c r="C3306" s="39">
        <f t="array" ref="C3306">NPV(B3306,FCFF!$C$9:$I$9)+FCFF!$B$9+FCFF!$I$9*(1+Inputs!$B$6)/(B3306-Inputs!$B$6)/(1+B3306)^7</f>
        <v>-1644.721216</v>
      </c>
    </row>
    <row r="3307" ht="14.25" customHeight="1">
      <c r="A3307" s="7">
        <v>3294.0</v>
      </c>
      <c r="B3307" s="14">
        <f t="shared" si="1"/>
        <v>0.1158419747</v>
      </c>
      <c r="C3307" s="39">
        <f t="array" ref="C3307">NPV(B3307,FCFF!$C$9:$I$9)+FCFF!$B$9+FCFF!$I$9*(1+Inputs!$B$6)/(B3307-Inputs!$B$6)/(1+B3307)^7</f>
        <v>-1748.058522</v>
      </c>
    </row>
    <row r="3308" ht="14.25" customHeight="1">
      <c r="A3308" s="7">
        <v>3295.0</v>
      </c>
      <c r="B3308" s="14">
        <f t="shared" si="1"/>
        <v>0.1007691266</v>
      </c>
      <c r="C3308" s="39">
        <f t="array" ref="C3308">NPV(B3308,FCFF!$C$9:$I$9)+FCFF!$B$9+FCFF!$I$9*(1+Inputs!$B$6)/(B3308-Inputs!$B$6)/(1+B3308)^7</f>
        <v>-1405.230876</v>
      </c>
    </row>
    <row r="3309" ht="14.25" customHeight="1">
      <c r="A3309" s="7">
        <v>3296.0</v>
      </c>
      <c r="B3309" s="14">
        <f t="shared" si="1"/>
        <v>0.1173232701</v>
      </c>
      <c r="C3309" s="39">
        <f t="array" ref="C3309">NPV(B3309,FCFF!$C$9:$I$9)+FCFF!$B$9+FCFF!$I$9*(1+Inputs!$B$6)/(B3309-Inputs!$B$6)/(1+B3309)^7</f>
        <v>-1775.155967</v>
      </c>
    </row>
    <row r="3310" ht="14.25" customHeight="1">
      <c r="A3310" s="7">
        <v>3297.0</v>
      </c>
      <c r="B3310" s="14">
        <f t="shared" si="1"/>
        <v>0.09896018583</v>
      </c>
      <c r="C3310" s="39">
        <f t="array" ref="C3310">NPV(B3310,FCFF!$C$9:$I$9)+FCFF!$B$9+FCFF!$I$9*(1+Inputs!$B$6)/(B3310-Inputs!$B$6)/(1+B3310)^7</f>
        <v>-1353.805654</v>
      </c>
    </row>
    <row r="3311" ht="14.25" customHeight="1">
      <c r="A3311" s="7">
        <v>3298.0</v>
      </c>
      <c r="B3311" s="14">
        <f t="shared" si="1"/>
        <v>0.09552271292</v>
      </c>
      <c r="C3311" s="39">
        <f t="array" ref="C3311">NPV(B3311,FCFF!$C$9:$I$9)+FCFF!$B$9+FCFF!$I$9*(1+Inputs!$B$6)/(B3311-Inputs!$B$6)/(1+B3311)^7</f>
        <v>-1248.241282</v>
      </c>
    </row>
    <row r="3312" ht="14.25" customHeight="1">
      <c r="A3312" s="7">
        <v>3299.0</v>
      </c>
      <c r="B3312" s="14">
        <f t="shared" si="1"/>
        <v>0.1005236432</v>
      </c>
      <c r="C3312" s="39">
        <f t="array" ref="C3312">NPV(B3312,FCFF!$C$9:$I$9)+FCFF!$B$9+FCFF!$I$9*(1+Inputs!$B$6)/(B3312-Inputs!$B$6)/(1+B3312)^7</f>
        <v>-1398.40793</v>
      </c>
    </row>
    <row r="3313" ht="14.25" customHeight="1">
      <c r="A3313" s="7">
        <v>3300.0</v>
      </c>
      <c r="B3313" s="14">
        <f t="shared" si="1"/>
        <v>0.1217108308</v>
      </c>
      <c r="C3313" s="39">
        <f t="array" ref="C3313">NPV(B3313,FCFF!$C$9:$I$9)+FCFF!$B$9+FCFF!$I$9*(1+Inputs!$B$6)/(B3313-Inputs!$B$6)/(1+B3313)^7</f>
        <v>-1850.014272</v>
      </c>
    </row>
    <row r="3314" ht="14.25" customHeight="1">
      <c r="A3314" s="7">
        <v>3301.0</v>
      </c>
      <c r="B3314" s="14">
        <f t="shared" si="1"/>
        <v>0.1088691384</v>
      </c>
      <c r="C3314" s="39">
        <f t="array" ref="C3314">NPV(B3314,FCFF!$C$9:$I$9)+FCFF!$B$9+FCFF!$I$9*(1+Inputs!$B$6)/(B3314-Inputs!$B$6)/(1+B3314)^7</f>
        <v>-1606.204996</v>
      </c>
    </row>
    <row r="3315" ht="14.25" customHeight="1">
      <c r="A3315" s="7">
        <v>3302.0</v>
      </c>
      <c r="B3315" s="14">
        <f t="shared" si="1"/>
        <v>0.1321493789</v>
      </c>
      <c r="C3315" s="39">
        <f t="array" ref="C3315">NPV(B3315,FCFF!$C$9:$I$9)+FCFF!$B$9+FCFF!$I$9*(1+Inputs!$B$6)/(B3315-Inputs!$B$6)/(1+B3315)^7</f>
        <v>-2000.662891</v>
      </c>
    </row>
    <row r="3316" ht="14.25" customHeight="1">
      <c r="A3316" s="7">
        <v>3303.0</v>
      </c>
      <c r="B3316" s="14">
        <f t="shared" si="1"/>
        <v>0.1321529104</v>
      </c>
      <c r="C3316" s="39">
        <f t="array" ref="C3316">NPV(B3316,FCFF!$C$9:$I$9)+FCFF!$B$9+FCFF!$I$9*(1+Inputs!$B$6)/(B3316-Inputs!$B$6)/(1+B3316)^7</f>
        <v>-2000.708241</v>
      </c>
    </row>
    <row r="3317" ht="14.25" customHeight="1">
      <c r="A3317" s="7">
        <v>3304.0</v>
      </c>
      <c r="B3317" s="14">
        <f t="shared" si="1"/>
        <v>0.107897673</v>
      </c>
      <c r="C3317" s="39">
        <f t="array" ref="C3317">NPV(B3317,FCFF!$C$9:$I$9)+FCFF!$B$9+FCFF!$I$9*(1+Inputs!$B$6)/(B3317-Inputs!$B$6)/(1+B3317)^7</f>
        <v>-1584.353498</v>
      </c>
    </row>
    <row r="3318" ht="14.25" customHeight="1">
      <c r="A3318" s="7">
        <v>3305.0</v>
      </c>
      <c r="B3318" s="14">
        <f t="shared" si="1"/>
        <v>0.09831698272</v>
      </c>
      <c r="C3318" s="39">
        <f t="array" ref="C3318">NPV(B3318,FCFF!$C$9:$I$9)+FCFF!$B$9+FCFF!$I$9*(1+Inputs!$B$6)/(B3318-Inputs!$B$6)/(1+B3318)^7</f>
        <v>-1334.86095</v>
      </c>
    </row>
    <row r="3319" ht="14.25" customHeight="1">
      <c r="A3319" s="7">
        <v>3306.0</v>
      </c>
      <c r="B3319" s="14">
        <f t="shared" si="1"/>
        <v>0.1072958918</v>
      </c>
      <c r="C3319" s="39">
        <f t="array" ref="C3319">NPV(B3319,FCFF!$C$9:$I$9)+FCFF!$B$9+FCFF!$I$9*(1+Inputs!$B$6)/(B3319-Inputs!$B$6)/(1+B3319)^7</f>
        <v>-1570.534262</v>
      </c>
    </row>
    <row r="3320" ht="14.25" customHeight="1">
      <c r="A3320" s="7">
        <v>3307.0</v>
      </c>
      <c r="B3320" s="14">
        <f t="shared" si="1"/>
        <v>0.1130202575</v>
      </c>
      <c r="C3320" s="39">
        <f t="array" ref="C3320">NPV(B3320,FCFF!$C$9:$I$9)+FCFF!$B$9+FCFF!$I$9*(1+Inputs!$B$6)/(B3320-Inputs!$B$6)/(1+B3320)^7</f>
        <v>-1693.636571</v>
      </c>
    </row>
    <row r="3321" ht="14.25" customHeight="1">
      <c r="A3321" s="7">
        <v>3308.0</v>
      </c>
      <c r="B3321" s="14">
        <f t="shared" si="1"/>
        <v>0.0941149101</v>
      </c>
      <c r="C3321" s="39">
        <f t="array" ref="C3321">NPV(B3321,FCFF!$C$9:$I$9)+FCFF!$B$9+FCFF!$I$9*(1+Inputs!$B$6)/(B3321-Inputs!$B$6)/(1+B3321)^7</f>
        <v>-1201.753068</v>
      </c>
    </row>
    <row r="3322" ht="14.25" customHeight="1">
      <c r="A3322" s="7">
        <v>3309.0</v>
      </c>
      <c r="B3322" s="14">
        <f t="shared" si="1"/>
        <v>0.1076112832</v>
      </c>
      <c r="C3322" s="39">
        <f t="array" ref="C3322">NPV(B3322,FCFF!$C$9:$I$9)+FCFF!$B$9+FCFF!$I$9*(1+Inputs!$B$6)/(B3322-Inputs!$B$6)/(1+B3322)^7</f>
        <v>-1577.804308</v>
      </c>
    </row>
    <row r="3323" ht="14.25" customHeight="1">
      <c r="A3323" s="7">
        <v>3310.0</v>
      </c>
      <c r="B3323" s="14">
        <f t="shared" si="1"/>
        <v>0.115542167</v>
      </c>
      <c r="C3323" s="39">
        <f t="array" ref="C3323">NPV(B3323,FCFF!$C$9:$I$9)+FCFF!$B$9+FCFF!$I$9*(1+Inputs!$B$6)/(B3323-Inputs!$B$6)/(1+B3323)^7</f>
        <v>-1742.454289</v>
      </c>
    </row>
    <row r="3324" ht="14.25" customHeight="1">
      <c r="A3324" s="7">
        <v>3311.0</v>
      </c>
      <c r="B3324" s="14">
        <f t="shared" si="1"/>
        <v>0.118891648</v>
      </c>
      <c r="C3324" s="39">
        <f t="array" ref="C3324">NPV(B3324,FCFF!$C$9:$I$9)+FCFF!$B$9+FCFF!$I$9*(1+Inputs!$B$6)/(B3324-Inputs!$B$6)/(1+B3324)^7</f>
        <v>-1802.812016</v>
      </c>
    </row>
    <row r="3325" ht="14.25" customHeight="1">
      <c r="A3325" s="7">
        <v>3312.0</v>
      </c>
      <c r="B3325" s="14">
        <f t="shared" si="1"/>
        <v>0.1109121307</v>
      </c>
      <c r="C3325" s="39">
        <f t="array" ref="C3325">NPV(B3325,FCFF!$C$9:$I$9)+FCFF!$B$9+FCFF!$I$9*(1+Inputs!$B$6)/(B3325-Inputs!$B$6)/(1+B3325)^7</f>
        <v>-1650.395305</v>
      </c>
    </row>
    <row r="3326" ht="14.25" customHeight="1">
      <c r="A3326" s="7">
        <v>3313.0</v>
      </c>
      <c r="B3326" s="14">
        <f t="shared" si="1"/>
        <v>0.1219716842</v>
      </c>
      <c r="C3326" s="39">
        <f t="array" ref="C3326">NPV(B3326,FCFF!$C$9:$I$9)+FCFF!$B$9+FCFF!$I$9*(1+Inputs!$B$6)/(B3326-Inputs!$B$6)/(1+B3326)^7</f>
        <v>-1854.226731</v>
      </c>
    </row>
    <row r="3327" ht="14.25" customHeight="1">
      <c r="A3327" s="7">
        <v>3314.0</v>
      </c>
      <c r="B3327" s="14">
        <f t="shared" si="1"/>
        <v>0.1202083478</v>
      </c>
      <c r="C3327" s="39">
        <f t="array" ref="C3327">NPV(B3327,FCFF!$C$9:$I$9)+FCFF!$B$9+FCFF!$I$9*(1+Inputs!$B$6)/(B3327-Inputs!$B$6)/(1+B3327)^7</f>
        <v>-1825.24688</v>
      </c>
    </row>
    <row r="3328" ht="14.25" customHeight="1">
      <c r="A3328" s="7">
        <v>3315.0</v>
      </c>
      <c r="B3328" s="14">
        <f t="shared" si="1"/>
        <v>0.09315937795</v>
      </c>
      <c r="C3328" s="39">
        <f t="array" ref="C3328">NPV(B3328,FCFF!$C$9:$I$9)+FCFF!$B$9+FCFF!$I$9*(1+Inputs!$B$6)/(B3328-Inputs!$B$6)/(1+B3328)^7</f>
        <v>-1169.029583</v>
      </c>
    </row>
    <row r="3329" ht="14.25" customHeight="1">
      <c r="A3329" s="7">
        <v>3316.0</v>
      </c>
      <c r="B3329" s="14">
        <f t="shared" si="1"/>
        <v>0.1198072239</v>
      </c>
      <c r="C3329" s="39">
        <f t="array" ref="C3329">NPV(B3329,FCFF!$C$9:$I$9)+FCFF!$B$9+FCFF!$I$9*(1+Inputs!$B$6)/(B3329-Inputs!$B$6)/(1+B3329)^7</f>
        <v>-1818.485947</v>
      </c>
    </row>
    <row r="3330" ht="14.25" customHeight="1">
      <c r="A3330" s="7">
        <v>3317.0</v>
      </c>
      <c r="B3330" s="14">
        <f t="shared" si="1"/>
        <v>0.1308068041</v>
      </c>
      <c r="C3330" s="39">
        <f t="array" ref="C3330">NPV(B3330,FCFF!$C$9:$I$9)+FCFF!$B$9+FCFF!$I$9*(1+Inputs!$B$6)/(B3330-Inputs!$B$6)/(1+B3330)^7</f>
        <v>-1983.171276</v>
      </c>
    </row>
    <row r="3331" ht="14.25" customHeight="1">
      <c r="A3331" s="7">
        <v>3318.0</v>
      </c>
      <c r="B3331" s="14">
        <f t="shared" si="1"/>
        <v>0.1237718404</v>
      </c>
      <c r="C3331" s="39">
        <f t="array" ref="C3331">NPV(B3331,FCFF!$C$9:$I$9)+FCFF!$B$9+FCFF!$I$9*(1+Inputs!$B$6)/(B3331-Inputs!$B$6)/(1+B3331)^7</f>
        <v>-1882.61698</v>
      </c>
    </row>
    <row r="3332" ht="14.25" customHeight="1">
      <c r="A3332" s="7">
        <v>3319.0</v>
      </c>
      <c r="B3332" s="14">
        <f t="shared" si="1"/>
        <v>0.105748881</v>
      </c>
      <c r="C3332" s="39">
        <f t="array" ref="C3332">NPV(B3332,FCFF!$C$9:$I$9)+FCFF!$B$9+FCFF!$I$9*(1+Inputs!$B$6)/(B3332-Inputs!$B$6)/(1+B3332)^7</f>
        <v>-1533.975704</v>
      </c>
    </row>
    <row r="3333" ht="14.25" customHeight="1">
      <c r="A3333" s="7">
        <v>3320.0</v>
      </c>
      <c r="B3333" s="14">
        <f t="shared" si="1"/>
        <v>0.1174326057</v>
      </c>
      <c r="C3333" s="39">
        <f t="array" ref="C3333">NPV(B3333,FCFF!$C$9:$I$9)+FCFF!$B$9+FCFF!$I$9*(1+Inputs!$B$6)/(B3333-Inputs!$B$6)/(1+B3333)^7</f>
        <v>-1777.117834</v>
      </c>
    </row>
    <row r="3334" ht="14.25" customHeight="1">
      <c r="A3334" s="7">
        <v>3321.0</v>
      </c>
      <c r="B3334" s="14">
        <f t="shared" si="1"/>
        <v>0.09491459167</v>
      </c>
      <c r="C3334" s="39">
        <f t="array" ref="C3334">NPV(B3334,FCFF!$C$9:$I$9)+FCFF!$B$9+FCFF!$I$9*(1+Inputs!$B$6)/(B3334-Inputs!$B$6)/(1+B3334)^7</f>
        <v>-1228.405602</v>
      </c>
    </row>
    <row r="3335" ht="14.25" customHeight="1">
      <c r="A3335" s="7">
        <v>3322.0</v>
      </c>
      <c r="B3335" s="14">
        <f t="shared" si="1"/>
        <v>0.11433069</v>
      </c>
      <c r="C3335" s="39">
        <f t="array" ref="C3335">NPV(B3335,FCFF!$C$9:$I$9)+FCFF!$B$9+FCFF!$I$9*(1+Inputs!$B$6)/(B3335-Inputs!$B$6)/(1+B3335)^7</f>
        <v>-1719.383587</v>
      </c>
    </row>
    <row r="3336" ht="14.25" customHeight="1">
      <c r="A3336" s="7">
        <v>3323.0</v>
      </c>
      <c r="B3336" s="14">
        <f t="shared" si="1"/>
        <v>0.09550382041</v>
      </c>
      <c r="C3336" s="39">
        <f t="array" ref="C3336">NPV(B3336,FCFF!$C$9:$I$9)+FCFF!$B$9+FCFF!$I$9*(1+Inputs!$B$6)/(B3336-Inputs!$B$6)/(1+B3336)^7</f>
        <v>-1247.630557</v>
      </c>
    </row>
    <row r="3337" ht="14.25" customHeight="1">
      <c r="A3337" s="7">
        <v>3324.0</v>
      </c>
      <c r="B3337" s="14">
        <f t="shared" si="1"/>
        <v>0.1092952886</v>
      </c>
      <c r="C3337" s="39">
        <f t="array" ref="C3337">NPV(B3337,FCFF!$C$9:$I$9)+FCFF!$B$9+FCFF!$I$9*(1+Inputs!$B$6)/(B3337-Inputs!$B$6)/(1+B3337)^7</f>
        <v>-1615.616679</v>
      </c>
    </row>
    <row r="3338" ht="14.25" customHeight="1">
      <c r="A3338" s="7">
        <v>3325.0</v>
      </c>
      <c r="B3338" s="14">
        <f t="shared" si="1"/>
        <v>0.1145614852</v>
      </c>
      <c r="C3338" s="39">
        <f t="array" ref="C3338">NPV(B3338,FCFF!$C$9:$I$9)+FCFF!$B$9+FCFF!$I$9*(1+Inputs!$B$6)/(B3338-Inputs!$B$6)/(1+B3338)^7</f>
        <v>-1723.832009</v>
      </c>
    </row>
    <row r="3339" ht="14.25" customHeight="1">
      <c r="A3339" s="7">
        <v>3326.0</v>
      </c>
      <c r="B3339" s="14">
        <f t="shared" si="1"/>
        <v>0.1140471202</v>
      </c>
      <c r="C3339" s="39">
        <f t="array" ref="C3339">NPV(B3339,FCFF!$C$9:$I$9)+FCFF!$B$9+FCFF!$I$9*(1+Inputs!$B$6)/(B3339-Inputs!$B$6)/(1+B3339)^7</f>
        <v>-1713.883047</v>
      </c>
    </row>
    <row r="3340" ht="14.25" customHeight="1">
      <c r="A3340" s="7">
        <v>3327.0</v>
      </c>
      <c r="B3340" s="14">
        <f t="shared" si="1"/>
        <v>0.1097274326</v>
      </c>
      <c r="C3340" s="39">
        <f t="array" ref="C3340">NPV(B3340,FCFF!$C$9:$I$9)+FCFF!$B$9+FCFF!$I$9*(1+Inputs!$B$6)/(B3340-Inputs!$B$6)/(1+B3340)^7</f>
        <v>-1625.054838</v>
      </c>
    </row>
    <row r="3341" ht="14.25" customHeight="1">
      <c r="A3341" s="7">
        <v>3328.0</v>
      </c>
      <c r="B3341" s="14">
        <f t="shared" si="1"/>
        <v>0.1249635292</v>
      </c>
      <c r="C3341" s="39">
        <f t="array" ref="C3341">NPV(B3341,FCFF!$C$9:$I$9)+FCFF!$B$9+FCFF!$I$9*(1+Inputs!$B$6)/(B3341-Inputs!$B$6)/(1+B3341)^7</f>
        <v>-1900.779272</v>
      </c>
    </row>
    <row r="3342" ht="14.25" customHeight="1">
      <c r="A3342" s="7">
        <v>3329.0</v>
      </c>
      <c r="B3342" s="14">
        <f t="shared" si="1"/>
        <v>0.1194034887</v>
      </c>
      <c r="C3342" s="39">
        <f t="array" ref="C3342">NPV(B3342,FCFF!$C$9:$I$9)+FCFF!$B$9+FCFF!$I$9*(1+Inputs!$B$6)/(B3342-Inputs!$B$6)/(1+B3342)^7</f>
        <v>-1811.616151</v>
      </c>
    </row>
    <row r="3343" ht="14.25" customHeight="1">
      <c r="A3343" s="7">
        <v>3330.0</v>
      </c>
      <c r="B3343" s="14">
        <f t="shared" si="1"/>
        <v>0.09632539696</v>
      </c>
      <c r="C3343" s="39">
        <f t="array" ref="C3343">NPV(B3343,FCFF!$C$9:$I$9)+FCFF!$B$9+FCFF!$I$9*(1+Inputs!$B$6)/(B3343-Inputs!$B$6)/(1+B3343)^7</f>
        <v>-1273.869187</v>
      </c>
    </row>
    <row r="3344" ht="14.25" customHeight="1">
      <c r="A3344" s="7">
        <v>3331.0</v>
      </c>
      <c r="B3344" s="14">
        <f t="shared" si="1"/>
        <v>0.1206909216</v>
      </c>
      <c r="C3344" s="39">
        <f t="array" ref="C3344">NPV(B3344,FCFF!$C$9:$I$9)+FCFF!$B$9+FCFF!$I$9*(1+Inputs!$B$6)/(B3344-Inputs!$B$6)/(1+B3344)^7</f>
        <v>-1833.296709</v>
      </c>
    </row>
    <row r="3345" ht="14.25" customHeight="1">
      <c r="A3345" s="7">
        <v>3332.0</v>
      </c>
      <c r="B3345" s="14">
        <f t="shared" si="1"/>
        <v>0.1304381182</v>
      </c>
      <c r="C3345" s="39">
        <f t="array" ref="C3345">NPV(B3345,FCFF!$C$9:$I$9)+FCFF!$B$9+FCFF!$I$9*(1+Inputs!$B$6)/(B3345-Inputs!$B$6)/(1+B3345)^7</f>
        <v>-1978.278771</v>
      </c>
    </row>
    <row r="3346" ht="14.25" customHeight="1">
      <c r="A3346" s="7">
        <v>3333.0</v>
      </c>
      <c r="B3346" s="14">
        <f t="shared" si="1"/>
        <v>0.1154701257</v>
      </c>
      <c r="C3346" s="39">
        <f t="array" ref="C3346">NPV(B3346,FCFF!$C$9:$I$9)+FCFF!$B$9+FCFF!$I$9*(1+Inputs!$B$6)/(B3346-Inputs!$B$6)/(1+B3346)^7</f>
        <v>-1741.101501</v>
      </c>
    </row>
    <row r="3347" ht="14.25" customHeight="1">
      <c r="A3347" s="7">
        <v>3334.0</v>
      </c>
      <c r="B3347" s="14">
        <f t="shared" si="1"/>
        <v>0.1155484805</v>
      </c>
      <c r="C3347" s="39">
        <f t="array" ref="C3347">NPV(B3347,FCFF!$C$9:$I$9)+FCFF!$B$9+FCFF!$I$9*(1+Inputs!$B$6)/(B3347-Inputs!$B$6)/(1+B3347)^7</f>
        <v>-1742.572729</v>
      </c>
    </row>
    <row r="3348" ht="14.25" customHeight="1">
      <c r="A3348" s="7">
        <v>3335.0</v>
      </c>
      <c r="B3348" s="14">
        <f t="shared" si="1"/>
        <v>0.1113025083</v>
      </c>
      <c r="C3348" s="39">
        <f t="array" ref="C3348">NPV(B3348,FCFF!$C$9:$I$9)+FCFF!$B$9+FCFF!$I$9*(1+Inputs!$B$6)/(B3348-Inputs!$B$6)/(1+B3348)^7</f>
        <v>-1658.578126</v>
      </c>
    </row>
    <row r="3349" ht="14.25" customHeight="1">
      <c r="A3349" s="7">
        <v>3336.0</v>
      </c>
      <c r="B3349" s="14">
        <f t="shared" si="1"/>
        <v>0.09366167501</v>
      </c>
      <c r="C3349" s="39">
        <f t="array" ref="C3349">NPV(B3349,FCFF!$C$9:$I$9)+FCFF!$B$9+FCFF!$I$9*(1+Inputs!$B$6)/(B3349-Inputs!$B$6)/(1+B3349)^7</f>
        <v>-1186.352605</v>
      </c>
    </row>
    <row r="3350" ht="14.25" customHeight="1">
      <c r="A3350" s="7">
        <v>3337.0</v>
      </c>
      <c r="B3350" s="14">
        <f t="shared" si="1"/>
        <v>0.1049400294</v>
      </c>
      <c r="C3350" s="39">
        <f t="array" ref="C3350">NPV(B3350,FCFF!$C$9:$I$9)+FCFF!$B$9+FCFF!$I$9*(1+Inputs!$B$6)/(B3350-Inputs!$B$6)/(1+B3350)^7</f>
        <v>-1514.246679</v>
      </c>
    </row>
    <row r="3351" ht="14.25" customHeight="1">
      <c r="A3351" s="7">
        <v>3338.0</v>
      </c>
      <c r="B3351" s="14">
        <f t="shared" si="1"/>
        <v>0.10651823</v>
      </c>
      <c r="C3351" s="39">
        <f t="array" ref="C3351">NPV(B3351,FCFF!$C$9:$I$9)+FCFF!$B$9+FCFF!$I$9*(1+Inputs!$B$6)/(B3351-Inputs!$B$6)/(1+B3351)^7</f>
        <v>-1552.3459</v>
      </c>
    </row>
    <row r="3352" ht="14.25" customHeight="1">
      <c r="A3352" s="7">
        <v>3339.0</v>
      </c>
      <c r="B3352" s="14">
        <f t="shared" si="1"/>
        <v>0.1207635421</v>
      </c>
      <c r="C3352" s="39">
        <f t="array" ref="C3352">NPV(B3352,FCFF!$C$9:$I$9)+FCFF!$B$9+FCFF!$I$9*(1+Inputs!$B$6)/(B3352-Inputs!$B$6)/(1+B3352)^7</f>
        <v>-1834.500239</v>
      </c>
    </row>
    <row r="3353" ht="14.25" customHeight="1">
      <c r="A3353" s="7">
        <v>3340.0</v>
      </c>
      <c r="B3353" s="14">
        <f t="shared" si="1"/>
        <v>0.09556463795</v>
      </c>
      <c r="C3353" s="39">
        <f t="array" ref="C3353">NPV(B3353,FCFF!$C$9:$I$9)+FCFF!$B$9+FCFF!$I$9*(1+Inputs!$B$6)/(B3353-Inputs!$B$6)/(1+B3353)^7</f>
        <v>-1249.595313</v>
      </c>
    </row>
    <row r="3354" ht="14.25" customHeight="1">
      <c r="A3354" s="7">
        <v>3341.0</v>
      </c>
      <c r="B3354" s="14">
        <f t="shared" si="1"/>
        <v>0.1211947317</v>
      </c>
      <c r="C3354" s="39">
        <f t="array" ref="C3354">NPV(B3354,FCFF!$C$9:$I$9)+FCFF!$B$9+FCFF!$I$9*(1+Inputs!$B$6)/(B3354-Inputs!$B$6)/(1+B3354)^7</f>
        <v>-1841.604405</v>
      </c>
    </row>
    <row r="3355" ht="14.25" customHeight="1">
      <c r="A3355" s="7">
        <v>3342.0</v>
      </c>
      <c r="B3355" s="14">
        <f t="shared" si="1"/>
        <v>0.1003142637</v>
      </c>
      <c r="C3355" s="39">
        <f t="array" ref="C3355">NPV(B3355,FCFF!$C$9:$I$9)+FCFF!$B$9+FCFF!$I$9*(1+Inputs!$B$6)/(B3355-Inputs!$B$6)/(1+B3355)^7</f>
        <v>-1392.550506</v>
      </c>
    </row>
    <row r="3356" ht="14.25" customHeight="1">
      <c r="A3356" s="7">
        <v>3343.0</v>
      </c>
      <c r="B3356" s="14">
        <f t="shared" si="1"/>
        <v>0.1259209147</v>
      </c>
      <c r="C3356" s="39">
        <f t="array" ref="C3356">NPV(B3356,FCFF!$C$9:$I$9)+FCFF!$B$9+FCFF!$I$9*(1+Inputs!$B$6)/(B3356-Inputs!$B$6)/(1+B3356)^7</f>
        <v>-1915.020539</v>
      </c>
    </row>
    <row r="3357" ht="14.25" customHeight="1">
      <c r="A3357" s="7">
        <v>3344.0</v>
      </c>
      <c r="B3357" s="14">
        <f t="shared" si="1"/>
        <v>0.13174193</v>
      </c>
      <c r="C3357" s="39">
        <f t="array" ref="C3357">NPV(B3357,FCFF!$C$9:$I$9)+FCFF!$B$9+FCFF!$I$9*(1+Inputs!$B$6)/(B3357-Inputs!$B$6)/(1+B3357)^7</f>
        <v>-1995.407623</v>
      </c>
    </row>
    <row r="3358" ht="14.25" customHeight="1">
      <c r="A3358" s="7">
        <v>3345.0</v>
      </c>
      <c r="B3358" s="14">
        <f t="shared" si="1"/>
        <v>0.1146450503</v>
      </c>
      <c r="C3358" s="39">
        <f t="array" ref="C3358">NPV(B3358,FCFF!$C$9:$I$9)+FCFF!$B$9+FCFF!$I$9*(1+Inputs!$B$6)/(B3358-Inputs!$B$6)/(1+B3358)^7</f>
        <v>-1725.436422</v>
      </c>
    </row>
    <row r="3359" ht="14.25" customHeight="1">
      <c r="A3359" s="7">
        <v>3346.0</v>
      </c>
      <c r="B3359" s="14">
        <f t="shared" si="1"/>
        <v>0.109106862</v>
      </c>
      <c r="C3359" s="39">
        <f t="array" ref="C3359">NPV(B3359,FCFF!$C$9:$I$9)+FCFF!$B$9+FCFF!$I$9*(1+Inputs!$B$6)/(B3359-Inputs!$B$6)/(1+B3359)^7</f>
        <v>-1611.468094</v>
      </c>
    </row>
    <row r="3360" ht="14.25" customHeight="1">
      <c r="A3360" s="7">
        <v>3347.0</v>
      </c>
      <c r="B3360" s="14">
        <f t="shared" si="1"/>
        <v>0.1251578056</v>
      </c>
      <c r="C3360" s="39">
        <f t="array" ref="C3360">NPV(B3360,FCFF!$C$9:$I$9)+FCFF!$B$9+FCFF!$I$9*(1+Inputs!$B$6)/(B3360-Inputs!$B$6)/(1+B3360)^7</f>
        <v>-1903.694033</v>
      </c>
    </row>
    <row r="3361" ht="14.25" customHeight="1">
      <c r="A3361" s="7">
        <v>3348.0</v>
      </c>
      <c r="B3361" s="14">
        <f t="shared" si="1"/>
        <v>0.118799622</v>
      </c>
      <c r="C3361" s="39">
        <f t="array" ref="C3361">NPV(B3361,FCFF!$C$9:$I$9)+FCFF!$B$9+FCFF!$I$9*(1+Inputs!$B$6)/(B3361-Inputs!$B$6)/(1+B3361)^7</f>
        <v>-1801.217712</v>
      </c>
    </row>
    <row r="3362" ht="14.25" customHeight="1">
      <c r="A3362" s="7">
        <v>3349.0</v>
      </c>
      <c r="B3362" s="14">
        <f t="shared" si="1"/>
        <v>0.1240822594</v>
      </c>
      <c r="C3362" s="39">
        <f t="array" ref="C3362">NPV(B3362,FCFF!$C$9:$I$9)+FCFF!$B$9+FCFF!$I$9*(1+Inputs!$B$6)/(B3362-Inputs!$B$6)/(1+B3362)^7</f>
        <v>-1887.395439</v>
      </c>
    </row>
    <row r="3363" ht="14.25" customHeight="1">
      <c r="A3363" s="7">
        <v>3350.0</v>
      </c>
      <c r="B3363" s="14">
        <f t="shared" si="1"/>
        <v>0.09452963211</v>
      </c>
      <c r="C3363" s="39">
        <f t="array" ref="C3363">NPV(B3363,FCFF!$C$9:$I$9)+FCFF!$B$9+FCFF!$I$9*(1+Inputs!$B$6)/(B3363-Inputs!$B$6)/(1+B3363)^7</f>
        <v>-1215.657098</v>
      </c>
    </row>
    <row r="3364" ht="14.25" customHeight="1">
      <c r="A3364" s="7">
        <v>3351.0</v>
      </c>
      <c r="B3364" s="14">
        <f t="shared" si="1"/>
        <v>0.1090476302</v>
      </c>
      <c r="C3364" s="39">
        <f t="array" ref="C3364">NPV(B3364,FCFF!$C$9:$I$9)+FCFF!$B$9+FCFF!$I$9*(1+Inputs!$B$6)/(B3364-Inputs!$B$6)/(1+B3364)^7</f>
        <v>-1610.159776</v>
      </c>
    </row>
    <row r="3365" ht="14.25" customHeight="1">
      <c r="A3365" s="7">
        <v>3352.0</v>
      </c>
      <c r="B3365" s="14">
        <f t="shared" si="1"/>
        <v>0.1246062046</v>
      </c>
      <c r="C3365" s="39">
        <f t="array" ref="C3365">NPV(B3365,FCFF!$C$9:$I$9)+FCFF!$B$9+FCFF!$I$9*(1+Inputs!$B$6)/(B3365-Inputs!$B$6)/(1+B3365)^7</f>
        <v>-1895.384766</v>
      </c>
    </row>
    <row r="3366" ht="14.25" customHeight="1">
      <c r="A3366" s="7">
        <v>3353.0</v>
      </c>
      <c r="B3366" s="14">
        <f t="shared" si="1"/>
        <v>0.1138140598</v>
      </c>
      <c r="C3366" s="39">
        <f t="array" ref="C3366">NPV(B3366,FCFF!$C$9:$I$9)+FCFF!$B$9+FCFF!$I$9*(1+Inputs!$B$6)/(B3366-Inputs!$B$6)/(1+B3366)^7</f>
        <v>-1709.333186</v>
      </c>
    </row>
    <row r="3367" ht="14.25" customHeight="1">
      <c r="A3367" s="7">
        <v>3354.0</v>
      </c>
      <c r="B3367" s="14">
        <f t="shared" si="1"/>
        <v>0.1325379609</v>
      </c>
      <c r="C3367" s="39">
        <f t="array" ref="C3367">NPV(B3367,FCFF!$C$9:$I$9)+FCFF!$B$9+FCFF!$I$9*(1+Inputs!$B$6)/(B3367-Inputs!$B$6)/(1+B3367)^7</f>
        <v>-2005.632383</v>
      </c>
    </row>
    <row r="3368" ht="14.25" customHeight="1">
      <c r="A3368" s="7">
        <v>3355.0</v>
      </c>
      <c r="B3368" s="14">
        <f t="shared" si="1"/>
        <v>0.1056288271</v>
      </c>
      <c r="C3368" s="39">
        <f t="array" ref="C3368">NPV(B3368,FCFF!$C$9:$I$9)+FCFF!$B$9+FCFF!$I$9*(1+Inputs!$B$6)/(B3368-Inputs!$B$6)/(1+B3368)^7</f>
        <v>-1531.074643</v>
      </c>
    </row>
    <row r="3369" ht="14.25" customHeight="1">
      <c r="A3369" s="7">
        <v>3356.0</v>
      </c>
      <c r="B3369" s="14">
        <f t="shared" si="1"/>
        <v>0.1031283978</v>
      </c>
      <c r="C3369" s="39">
        <f t="array" ref="C3369">NPV(B3369,FCFF!$C$9:$I$9)+FCFF!$B$9+FCFF!$I$9*(1+Inputs!$B$6)/(B3369-Inputs!$B$6)/(1+B3369)^7</f>
        <v>-1468.444954</v>
      </c>
    </row>
    <row r="3370" ht="14.25" customHeight="1">
      <c r="A3370" s="7">
        <v>3357.0</v>
      </c>
      <c r="B3370" s="14">
        <f t="shared" si="1"/>
        <v>0.1286031653</v>
      </c>
      <c r="C3370" s="39">
        <f t="array" ref="C3370">NPV(B3370,FCFF!$C$9:$I$9)+FCFF!$B$9+FCFF!$I$9*(1+Inputs!$B$6)/(B3370-Inputs!$B$6)/(1+B3370)^7</f>
        <v>-1953.33758</v>
      </c>
    </row>
    <row r="3371" ht="14.25" customHeight="1">
      <c r="A3371" s="7">
        <v>3358.0</v>
      </c>
      <c r="B3371" s="14">
        <f t="shared" si="1"/>
        <v>0.1222495927</v>
      </c>
      <c r="C3371" s="39">
        <f t="array" ref="C3371">NPV(B3371,FCFF!$C$9:$I$9)+FCFF!$B$9+FCFF!$I$9*(1+Inputs!$B$6)/(B3371-Inputs!$B$6)/(1+B3371)^7</f>
        <v>-1858.686728</v>
      </c>
    </row>
    <row r="3372" ht="14.25" customHeight="1">
      <c r="A3372" s="7">
        <v>3359.0</v>
      </c>
      <c r="B3372" s="14">
        <f t="shared" si="1"/>
        <v>0.09804100089</v>
      </c>
      <c r="C3372" s="39">
        <f t="array" ref="C3372">NPV(B3372,FCFF!$C$9:$I$9)+FCFF!$B$9+FCFF!$I$9*(1+Inputs!$B$6)/(B3372-Inputs!$B$6)/(1+B3372)^7</f>
        <v>-1326.622193</v>
      </c>
    </row>
    <row r="3373" ht="14.25" customHeight="1">
      <c r="A3373" s="7">
        <v>3360.0</v>
      </c>
      <c r="B3373" s="14">
        <f t="shared" si="1"/>
        <v>0.1122267481</v>
      </c>
      <c r="C3373" s="39">
        <f t="array" ref="C3373">NPV(B3373,FCFF!$C$9:$I$9)+FCFF!$B$9+FCFF!$I$9*(1+Inputs!$B$6)/(B3373-Inputs!$B$6)/(1+B3373)^7</f>
        <v>-1677.630439</v>
      </c>
    </row>
    <row r="3374" ht="14.25" customHeight="1">
      <c r="A3374" s="7">
        <v>3361.0</v>
      </c>
      <c r="B3374" s="14">
        <f t="shared" si="1"/>
        <v>0.09643415115</v>
      </c>
      <c r="C3374" s="39">
        <f t="array" ref="C3374">NPV(B3374,FCFF!$C$9:$I$9)+FCFF!$B$9+FCFF!$I$9*(1+Inputs!$B$6)/(B3374-Inputs!$B$6)/(1+B3374)^7</f>
        <v>-1277.294012</v>
      </c>
    </row>
    <row r="3375" ht="14.25" customHeight="1">
      <c r="A3375" s="7">
        <v>3362.0</v>
      </c>
      <c r="B3375" s="14">
        <f t="shared" si="1"/>
        <v>0.1170839773</v>
      </c>
      <c r="C3375" s="39">
        <f t="array" ref="C3375">NPV(B3375,FCFF!$C$9:$I$9)+FCFF!$B$9+FCFF!$I$9*(1+Inputs!$B$6)/(B3375-Inputs!$B$6)/(1+B3375)^7</f>
        <v>-1770.844124</v>
      </c>
    </row>
    <row r="3376" ht="14.25" customHeight="1">
      <c r="A3376" s="7">
        <v>3363.0</v>
      </c>
      <c r="B3376" s="14">
        <f t="shared" si="1"/>
        <v>0.1283956771</v>
      </c>
      <c r="C3376" s="39">
        <f t="array" ref="C3376">NPV(B3376,FCFF!$C$9:$I$9)+FCFF!$B$9+FCFF!$I$9*(1+Inputs!$B$6)/(B3376-Inputs!$B$6)/(1+B3376)^7</f>
        <v>-1950.453909</v>
      </c>
    </row>
    <row r="3377" ht="14.25" customHeight="1">
      <c r="A3377" s="7">
        <v>3364.0</v>
      </c>
      <c r="B3377" s="14">
        <f t="shared" si="1"/>
        <v>0.1267315694</v>
      </c>
      <c r="C3377" s="39">
        <f t="array" ref="C3377">NPV(B3377,FCFF!$C$9:$I$9)+FCFF!$B$9+FCFF!$I$9*(1+Inputs!$B$6)/(B3377-Inputs!$B$6)/(1+B3377)^7</f>
        <v>-1926.842551</v>
      </c>
    </row>
    <row r="3378" ht="14.25" customHeight="1">
      <c r="A3378" s="7">
        <v>3365.0</v>
      </c>
      <c r="B3378" s="14">
        <f t="shared" si="1"/>
        <v>0.09339199636</v>
      </c>
      <c r="C3378" s="39">
        <f t="array" ref="C3378">NPV(B3378,FCFF!$C$9:$I$9)+FCFF!$B$9+FCFF!$I$9*(1+Inputs!$B$6)/(B3378-Inputs!$B$6)/(1+B3378)^7</f>
        <v>-1177.085783</v>
      </c>
    </row>
    <row r="3379" ht="14.25" customHeight="1">
      <c r="A3379" s="7">
        <v>3366.0</v>
      </c>
      <c r="B3379" s="14">
        <f t="shared" si="1"/>
        <v>0.1035873631</v>
      </c>
      <c r="C3379" s="39">
        <f t="array" ref="C3379">NPV(B3379,FCFF!$C$9:$I$9)+FCFF!$B$9+FCFF!$I$9*(1+Inputs!$B$6)/(B3379-Inputs!$B$6)/(1+B3379)^7</f>
        <v>-1480.265405</v>
      </c>
    </row>
    <row r="3380" ht="14.25" customHeight="1">
      <c r="A3380" s="7">
        <v>3367.0</v>
      </c>
      <c r="B3380" s="14">
        <f t="shared" si="1"/>
        <v>0.1241377931</v>
      </c>
      <c r="C3380" s="39">
        <f t="array" ref="C3380">NPV(B3380,FCFF!$C$9:$I$9)+FCFF!$B$9+FCFF!$I$9*(1+Inputs!$B$6)/(B3380-Inputs!$B$6)/(1+B3380)^7</f>
        <v>-1888.246749</v>
      </c>
    </row>
    <row r="3381" ht="14.25" customHeight="1">
      <c r="A3381" s="7">
        <v>3368.0</v>
      </c>
      <c r="B3381" s="14">
        <f t="shared" si="1"/>
        <v>0.1293150926</v>
      </c>
      <c r="C3381" s="39">
        <f t="array" ref="C3381">NPV(B3381,FCFF!$C$9:$I$9)+FCFF!$B$9+FCFF!$I$9*(1+Inputs!$B$6)/(B3381-Inputs!$B$6)/(1+B3381)^7</f>
        <v>-1963.132891</v>
      </c>
    </row>
    <row r="3382" ht="14.25" customHeight="1">
      <c r="A3382" s="7">
        <v>3369.0</v>
      </c>
      <c r="B3382" s="14">
        <f t="shared" si="1"/>
        <v>0.09544359346</v>
      </c>
      <c r="C3382" s="39">
        <f t="array" ref="C3382">NPV(B3382,FCFF!$C$9:$I$9)+FCFF!$B$9+FCFF!$I$9*(1+Inputs!$B$6)/(B3382-Inputs!$B$6)/(1+B3382)^7</f>
        <v>-1245.681301</v>
      </c>
    </row>
    <row r="3383" ht="14.25" customHeight="1">
      <c r="A3383" s="7">
        <v>3370.0</v>
      </c>
      <c r="B3383" s="14">
        <f t="shared" si="1"/>
        <v>0.09665089359</v>
      </c>
      <c r="C3383" s="39">
        <f t="array" ref="C3383">NPV(B3383,FCFF!$C$9:$I$9)+FCFF!$B$9+FCFF!$I$9*(1+Inputs!$B$6)/(B3383-Inputs!$B$6)/(1+B3383)^7</f>
        <v>-1284.086303</v>
      </c>
    </row>
    <row r="3384" ht="14.25" customHeight="1">
      <c r="A3384" s="7">
        <v>3371.0</v>
      </c>
      <c r="B3384" s="14">
        <f t="shared" si="1"/>
        <v>0.1117868381</v>
      </c>
      <c r="C3384" s="39">
        <f t="array" ref="C3384">NPV(B3384,FCFF!$C$9:$I$9)+FCFF!$B$9+FCFF!$I$9*(1+Inputs!$B$6)/(B3384-Inputs!$B$6)/(1+B3384)^7</f>
        <v>-1668.617822</v>
      </c>
    </row>
    <row r="3385" ht="14.25" customHeight="1">
      <c r="A3385" s="7">
        <v>3372.0</v>
      </c>
      <c r="B3385" s="14">
        <f t="shared" si="1"/>
        <v>0.1281210114</v>
      </c>
      <c r="C3385" s="39">
        <f t="array" ref="C3385">NPV(B3385,FCFF!$C$9:$I$9)+FCFF!$B$9+FCFF!$I$9*(1+Inputs!$B$6)/(B3385-Inputs!$B$6)/(1+B3385)^7</f>
        <v>-1946.616325</v>
      </c>
    </row>
    <row r="3386" ht="14.25" customHeight="1">
      <c r="A3386" s="7">
        <v>3373.0</v>
      </c>
      <c r="B3386" s="14">
        <f t="shared" si="1"/>
        <v>0.09867129025</v>
      </c>
      <c r="C3386" s="39">
        <f t="array" ref="C3386">NPV(B3386,FCFF!$C$9:$I$9)+FCFF!$B$9+FCFF!$I$9*(1+Inputs!$B$6)/(B3386-Inputs!$B$6)/(1+B3386)^7</f>
        <v>-1345.340644</v>
      </c>
    </row>
    <row r="3387" ht="14.25" customHeight="1">
      <c r="A3387" s="7">
        <v>3374.0</v>
      </c>
      <c r="B3387" s="14">
        <f t="shared" si="1"/>
        <v>0.119399315</v>
      </c>
      <c r="C3387" s="39">
        <f t="array" ref="C3387">NPV(B3387,FCFF!$C$9:$I$9)+FCFF!$B$9+FCFF!$I$9*(1+Inputs!$B$6)/(B3387-Inputs!$B$6)/(1+B3387)^7</f>
        <v>-1811.544791</v>
      </c>
    </row>
    <row r="3388" ht="14.25" customHeight="1">
      <c r="A3388" s="7">
        <v>3375.0</v>
      </c>
      <c r="B3388" s="14">
        <f t="shared" si="1"/>
        <v>0.1178293603</v>
      </c>
      <c r="C3388" s="39">
        <f t="array" ref="C3388">NPV(B3388,FCFF!$C$9:$I$9)+FCFF!$B$9+FCFF!$I$9*(1+Inputs!$B$6)/(B3388-Inputs!$B$6)/(1+B3388)^7</f>
        <v>-1784.193861</v>
      </c>
    </row>
    <row r="3389" ht="14.25" customHeight="1">
      <c r="A3389" s="7">
        <v>3376.0</v>
      </c>
      <c r="B3389" s="14">
        <f t="shared" si="1"/>
        <v>0.1128079097</v>
      </c>
      <c r="C3389" s="39">
        <f t="array" ref="C3389">NPV(B3389,FCFF!$C$9:$I$9)+FCFF!$B$9+FCFF!$I$9*(1+Inputs!$B$6)/(B3389-Inputs!$B$6)/(1+B3389)^7</f>
        <v>-1689.384487</v>
      </c>
    </row>
    <row r="3390" ht="14.25" customHeight="1">
      <c r="A3390" s="7">
        <v>3377.0</v>
      </c>
      <c r="B3390" s="14">
        <f t="shared" si="1"/>
        <v>0.1125153491</v>
      </c>
      <c r="C3390" s="39">
        <f t="array" ref="C3390">NPV(B3390,FCFF!$C$9:$I$9)+FCFF!$B$9+FCFF!$I$9*(1+Inputs!$B$6)/(B3390-Inputs!$B$6)/(1+B3390)^7</f>
        <v>-1683.48893</v>
      </c>
    </row>
    <row r="3391" ht="14.25" customHeight="1">
      <c r="A3391" s="7">
        <v>3378.0</v>
      </c>
      <c r="B3391" s="14">
        <f t="shared" si="1"/>
        <v>0.1118481769</v>
      </c>
      <c r="C3391" s="39">
        <f t="array" ref="C3391">NPV(B3391,FCFF!$C$9:$I$9)+FCFF!$B$9+FCFF!$I$9*(1+Inputs!$B$6)/(B3391-Inputs!$B$6)/(1+B3391)^7</f>
        <v>-1669.880527</v>
      </c>
    </row>
    <row r="3392" ht="14.25" customHeight="1">
      <c r="A3392" s="7">
        <v>3379.0</v>
      </c>
      <c r="B3392" s="14">
        <f t="shared" si="1"/>
        <v>0.1176673977</v>
      </c>
      <c r="C3392" s="39">
        <f t="array" ref="C3392">NPV(B3392,FCFF!$C$9:$I$9)+FCFF!$B$9+FCFF!$I$9*(1+Inputs!$B$6)/(B3392-Inputs!$B$6)/(1+B3392)^7</f>
        <v>-1781.31344</v>
      </c>
    </row>
    <row r="3393" ht="14.25" customHeight="1">
      <c r="A3393" s="7">
        <v>3380.0</v>
      </c>
      <c r="B3393" s="14">
        <f t="shared" si="1"/>
        <v>0.1196083859</v>
      </c>
      <c r="C3393" s="39">
        <f t="array" ref="C3393">NPV(B3393,FCFF!$C$9:$I$9)+FCFF!$B$9+FCFF!$I$9*(1+Inputs!$B$6)/(B3393-Inputs!$B$6)/(1+B3393)^7</f>
        <v>-1815.110784</v>
      </c>
    </row>
    <row r="3394" ht="14.25" customHeight="1">
      <c r="A3394" s="7">
        <v>3381.0</v>
      </c>
      <c r="B3394" s="14">
        <f t="shared" si="1"/>
        <v>0.119840023</v>
      </c>
      <c r="C3394" s="39">
        <f t="array" ref="C3394">NPV(B3394,FCFF!$C$9:$I$9)+FCFF!$B$9+FCFF!$I$9*(1+Inputs!$B$6)/(B3394-Inputs!$B$6)/(1+B3394)^7</f>
        <v>-1819.041174</v>
      </c>
    </row>
    <row r="3395" ht="14.25" customHeight="1">
      <c r="A3395" s="7">
        <v>3382.0</v>
      </c>
      <c r="B3395" s="14">
        <f t="shared" si="1"/>
        <v>0.1044977508</v>
      </c>
      <c r="C3395" s="39">
        <f t="array" ref="C3395">NPV(B3395,FCFF!$C$9:$I$9)+FCFF!$B$9+FCFF!$I$9*(1+Inputs!$B$6)/(B3395-Inputs!$B$6)/(1+B3395)^7</f>
        <v>-1503.274096</v>
      </c>
    </row>
    <row r="3396" ht="14.25" customHeight="1">
      <c r="A3396" s="7">
        <v>3383.0</v>
      </c>
      <c r="B3396" s="14">
        <f t="shared" si="1"/>
        <v>0.1209101733</v>
      </c>
      <c r="C3396" s="39">
        <f t="array" ref="C3396">NPV(B3396,FCFF!$C$9:$I$9)+FCFF!$B$9+FCFF!$I$9*(1+Inputs!$B$6)/(B3396-Inputs!$B$6)/(1+B3396)^7</f>
        <v>-1836.924123</v>
      </c>
    </row>
    <row r="3397" ht="14.25" customHeight="1">
      <c r="A3397" s="7">
        <v>3384.0</v>
      </c>
      <c r="B3397" s="14">
        <f t="shared" si="1"/>
        <v>0.1312009933</v>
      </c>
      <c r="C3397" s="39">
        <f t="array" ref="C3397">NPV(B3397,FCFF!$C$9:$I$9)+FCFF!$B$9+FCFF!$I$9*(1+Inputs!$B$6)/(B3397-Inputs!$B$6)/(1+B3397)^7</f>
        <v>-1988.359349</v>
      </c>
    </row>
    <row r="3398" ht="14.25" customHeight="1">
      <c r="A3398" s="7">
        <v>3385.0</v>
      </c>
      <c r="B3398" s="14">
        <f t="shared" si="1"/>
        <v>0.09314576113</v>
      </c>
      <c r="C3398" s="39">
        <f t="array" ref="C3398">NPV(B3398,FCFF!$C$9:$I$9)+FCFF!$B$9+FCFF!$I$9*(1+Inputs!$B$6)/(B3398-Inputs!$B$6)/(1+B3398)^7</f>
        <v>-1168.556178</v>
      </c>
    </row>
    <row r="3399" ht="14.25" customHeight="1">
      <c r="A3399" s="7">
        <v>3386.0</v>
      </c>
      <c r="B3399" s="14">
        <f t="shared" si="1"/>
        <v>0.1013521885</v>
      </c>
      <c r="C3399" s="39">
        <f t="array" ref="C3399">NPV(B3399,FCFF!$C$9:$I$9)+FCFF!$B$9+FCFF!$I$9*(1+Inputs!$B$6)/(B3399-Inputs!$B$6)/(1+B3399)^7</f>
        <v>-1421.246619</v>
      </c>
    </row>
    <row r="3400" ht="14.25" customHeight="1">
      <c r="A3400" s="7">
        <v>3387.0</v>
      </c>
      <c r="B3400" s="14">
        <f t="shared" si="1"/>
        <v>0.1149292273</v>
      </c>
      <c r="C3400" s="39">
        <f t="array" ref="C3400">NPV(B3400,FCFF!$C$9:$I$9)+FCFF!$B$9+FCFF!$I$9*(1+Inputs!$B$6)/(B3400-Inputs!$B$6)/(1+B3400)^7</f>
        <v>-1730.867812</v>
      </c>
    </row>
    <row r="3401" ht="14.25" customHeight="1">
      <c r="A3401" s="7">
        <v>3388.0</v>
      </c>
      <c r="B3401" s="14">
        <f t="shared" si="1"/>
        <v>0.1286374188</v>
      </c>
      <c r="C3401" s="39">
        <f t="array" ref="C3401">NPV(B3401,FCFF!$C$9:$I$9)+FCFF!$B$9+FCFF!$I$9*(1+Inputs!$B$6)/(B3401-Inputs!$B$6)/(1+B3401)^7</f>
        <v>-1953.812373</v>
      </c>
    </row>
    <row r="3402" ht="14.25" customHeight="1">
      <c r="A3402" s="7">
        <v>3389.0</v>
      </c>
      <c r="B3402" s="14">
        <f t="shared" si="1"/>
        <v>0.1180078552</v>
      </c>
      <c r="C3402" s="39">
        <f t="array" ref="C3402">NPV(B3402,FCFF!$C$9:$I$9)+FCFF!$B$9+FCFF!$I$9*(1+Inputs!$B$6)/(B3402-Inputs!$B$6)/(1+B3402)^7</f>
        <v>-1787.35537</v>
      </c>
    </row>
    <row r="3403" ht="14.25" customHeight="1">
      <c r="A3403" s="7">
        <v>3390.0</v>
      </c>
      <c r="B3403" s="14">
        <f t="shared" si="1"/>
        <v>0.1214227579</v>
      </c>
      <c r="C3403" s="39">
        <f t="array" ref="C3403">NPV(B3403,FCFF!$C$9:$I$9)+FCFF!$B$9+FCFF!$I$9*(1+Inputs!$B$6)/(B3403-Inputs!$B$6)/(1+B3403)^7</f>
        <v>-1845.332546</v>
      </c>
    </row>
    <row r="3404" ht="14.25" customHeight="1">
      <c r="A3404" s="7">
        <v>3391.0</v>
      </c>
      <c r="B3404" s="14">
        <f t="shared" si="1"/>
        <v>0.1284799645</v>
      </c>
      <c r="C3404" s="39">
        <f t="array" ref="C3404">NPV(B3404,FCFF!$C$9:$I$9)+FCFF!$B$9+FCFF!$I$9*(1+Inputs!$B$6)/(B3404-Inputs!$B$6)/(1+B3404)^7</f>
        <v>-1951.626919</v>
      </c>
    </row>
    <row r="3405" ht="14.25" customHeight="1">
      <c r="A3405" s="7">
        <v>3392.0</v>
      </c>
      <c r="B3405" s="14">
        <f t="shared" si="1"/>
        <v>0.1202626545</v>
      </c>
      <c r="C3405" s="39">
        <f t="array" ref="C3405">NPV(B3405,FCFF!$C$9:$I$9)+FCFF!$B$9+FCFF!$I$9*(1+Inputs!$B$6)/(B3405-Inputs!$B$6)/(1+B3405)^7</f>
        <v>-1826.157328</v>
      </c>
    </row>
    <row r="3406" ht="14.25" customHeight="1">
      <c r="A3406" s="7">
        <v>3393.0</v>
      </c>
      <c r="B3406" s="14">
        <f t="shared" si="1"/>
        <v>0.1228296757</v>
      </c>
      <c r="C3406" s="39">
        <f t="array" ref="C3406">NPV(B3406,FCFF!$C$9:$I$9)+FCFF!$B$9+FCFF!$I$9*(1+Inputs!$B$6)/(B3406-Inputs!$B$6)/(1+B3406)^7</f>
        <v>-1867.904549</v>
      </c>
    </row>
    <row r="3407" ht="14.25" customHeight="1">
      <c r="A3407" s="7">
        <v>3394.0</v>
      </c>
      <c r="B3407" s="14">
        <f t="shared" si="1"/>
        <v>0.1085943041</v>
      </c>
      <c r="C3407" s="39">
        <f t="array" ref="C3407">NPV(B3407,FCFF!$C$9:$I$9)+FCFF!$B$9+FCFF!$I$9*(1+Inputs!$B$6)/(B3407-Inputs!$B$6)/(1+B3407)^7</f>
        <v>-1600.079417</v>
      </c>
    </row>
    <row r="3408" ht="14.25" customHeight="1">
      <c r="A3408" s="7">
        <v>3395.0</v>
      </c>
      <c r="B3408" s="14">
        <f t="shared" si="1"/>
        <v>0.1233254028</v>
      </c>
      <c r="C3408" s="39">
        <f t="array" ref="C3408">NPV(B3408,FCFF!$C$9:$I$9)+FCFF!$B$9+FCFF!$I$9*(1+Inputs!$B$6)/(B3408-Inputs!$B$6)/(1+B3408)^7</f>
        <v>-1875.685135</v>
      </c>
    </row>
    <row r="3409" ht="14.25" customHeight="1">
      <c r="A3409" s="7">
        <v>3396.0</v>
      </c>
      <c r="B3409" s="14">
        <f t="shared" si="1"/>
        <v>0.1165112104</v>
      </c>
      <c r="C3409" s="39">
        <f t="array" ref="C3409">NPV(B3409,FCFF!$C$9:$I$9)+FCFF!$B$9+FCFF!$I$9*(1+Inputs!$B$6)/(B3409-Inputs!$B$6)/(1+B3409)^7</f>
        <v>-1760.421541</v>
      </c>
    </row>
    <row r="3410" ht="14.25" customHeight="1">
      <c r="A3410" s="7">
        <v>3397.0</v>
      </c>
      <c r="B3410" s="14">
        <f t="shared" si="1"/>
        <v>0.1282564334</v>
      </c>
      <c r="C3410" s="39">
        <f t="array" ref="C3410">NPV(B3410,FCFF!$C$9:$I$9)+FCFF!$B$9+FCFF!$I$9*(1+Inputs!$B$6)/(B3410-Inputs!$B$6)/(1+B3410)^7</f>
        <v>-1948.511317</v>
      </c>
    </row>
    <row r="3411" ht="14.25" customHeight="1">
      <c r="A3411" s="7">
        <v>3398.0</v>
      </c>
      <c r="B3411" s="14">
        <f t="shared" si="1"/>
        <v>0.09680440458</v>
      </c>
      <c r="C3411" s="39">
        <f t="array" ref="C3411">NPV(B3411,FCFF!$C$9:$I$9)+FCFF!$B$9+FCFF!$I$9*(1+Inputs!$B$6)/(B3411-Inputs!$B$6)/(1+B3411)^7</f>
        <v>-1288.870445</v>
      </c>
    </row>
    <row r="3412" ht="14.25" customHeight="1">
      <c r="A3412" s="7">
        <v>3399.0</v>
      </c>
      <c r="B3412" s="14">
        <f t="shared" si="1"/>
        <v>0.09418073527</v>
      </c>
      <c r="C3412" s="39">
        <f t="array" ref="C3412">NPV(B3412,FCFF!$C$9:$I$9)+FCFF!$B$9+FCFF!$I$9*(1+Inputs!$B$6)/(B3412-Inputs!$B$6)/(1+B3412)^7</f>
        <v>-1203.971824</v>
      </c>
    </row>
    <row r="3413" ht="14.25" customHeight="1">
      <c r="A3413" s="7">
        <v>3400.0</v>
      </c>
      <c r="B3413" s="14">
        <f t="shared" si="1"/>
        <v>0.119657748</v>
      </c>
      <c r="C3413" s="39">
        <f t="array" ref="C3413">NPV(B3413,FCFF!$C$9:$I$9)+FCFF!$B$9+FCFF!$I$9*(1+Inputs!$B$6)/(B3413-Inputs!$B$6)/(1+B3413)^7</f>
        <v>-1815.950154</v>
      </c>
    </row>
    <row r="3414" ht="14.25" customHeight="1">
      <c r="A3414" s="7">
        <v>3401.0</v>
      </c>
      <c r="B3414" s="14">
        <f t="shared" si="1"/>
        <v>0.1101032331</v>
      </c>
      <c r="C3414" s="39">
        <f t="array" ref="C3414">NPV(B3414,FCFF!$C$9:$I$9)+FCFF!$B$9+FCFF!$I$9*(1+Inputs!$B$6)/(B3414-Inputs!$B$6)/(1+B3414)^7</f>
        <v>-1633.177022</v>
      </c>
    </row>
    <row r="3415" ht="14.25" customHeight="1">
      <c r="A3415" s="7">
        <v>3402.0</v>
      </c>
      <c r="B3415" s="14">
        <f t="shared" si="1"/>
        <v>0.1108049874</v>
      </c>
      <c r="C3415" s="39">
        <f t="array" ref="C3415">NPV(B3415,FCFF!$C$9:$I$9)+FCFF!$B$9+FCFF!$I$9*(1+Inputs!$B$6)/(B3415-Inputs!$B$6)/(1+B3415)^7</f>
        <v>-1648.135126</v>
      </c>
    </row>
    <row r="3416" ht="14.25" customHeight="1">
      <c r="A3416" s="7">
        <v>3403.0</v>
      </c>
      <c r="B3416" s="14">
        <f t="shared" si="1"/>
        <v>0.09593011239</v>
      </c>
      <c r="C3416" s="39">
        <f t="array" ref="C3416">NPV(B3416,FCFF!$C$9:$I$9)+FCFF!$B$9+FCFF!$I$9*(1+Inputs!$B$6)/(B3416-Inputs!$B$6)/(1+B3416)^7</f>
        <v>-1261.326282</v>
      </c>
    </row>
    <row r="3417" ht="14.25" customHeight="1">
      <c r="A3417" s="7">
        <v>3404.0</v>
      </c>
      <c r="B3417" s="14">
        <f t="shared" si="1"/>
        <v>0.09404580143</v>
      </c>
      <c r="C3417" s="39">
        <f t="array" ref="C3417">NPV(B3417,FCFF!$C$9:$I$9)+FCFF!$B$9+FCFF!$I$9*(1+Inputs!$B$6)/(B3417-Inputs!$B$6)/(1+B3417)^7</f>
        <v>-1199.418774</v>
      </c>
    </row>
    <row r="3418" ht="14.25" customHeight="1">
      <c r="A3418" s="7">
        <v>3405.0</v>
      </c>
      <c r="B3418" s="14">
        <f t="shared" si="1"/>
        <v>0.1164089885</v>
      </c>
      <c r="C3418" s="39">
        <f t="array" ref="C3418">NPV(B3418,FCFF!$C$9:$I$9)+FCFF!$B$9+FCFF!$I$9*(1+Inputs!$B$6)/(B3418-Inputs!$B$6)/(1+B3418)^7</f>
        <v>-1758.546157</v>
      </c>
    </row>
    <row r="3419" ht="14.25" customHeight="1">
      <c r="A3419" s="7">
        <v>3406.0</v>
      </c>
      <c r="B3419" s="14">
        <f t="shared" si="1"/>
        <v>0.1123465089</v>
      </c>
      <c r="C3419" s="39">
        <f t="array" ref="C3419">NPV(B3419,FCFF!$C$9:$I$9)+FCFF!$B$9+FCFF!$I$9*(1+Inputs!$B$6)/(B3419-Inputs!$B$6)/(1+B3419)^7</f>
        <v>-1680.066715</v>
      </c>
    </row>
    <row r="3420" ht="14.25" customHeight="1">
      <c r="A3420" s="7">
        <v>3407.0</v>
      </c>
      <c r="B3420" s="14">
        <f t="shared" si="1"/>
        <v>0.1219498771</v>
      </c>
      <c r="C3420" s="39">
        <f t="array" ref="C3420">NPV(B3420,FCFF!$C$9:$I$9)+FCFF!$B$9+FCFF!$I$9*(1+Inputs!$B$6)/(B3420-Inputs!$B$6)/(1+B3420)^7</f>
        <v>-1853.875548</v>
      </c>
    </row>
    <row r="3421" ht="14.25" customHeight="1">
      <c r="A3421" s="7">
        <v>3408.0</v>
      </c>
      <c r="B3421" s="14">
        <f t="shared" si="1"/>
        <v>0.09501359698</v>
      </c>
      <c r="C3421" s="39">
        <f t="array" ref="C3421">NPV(B3421,FCFF!$C$9:$I$9)+FCFF!$B$9+FCFF!$I$9*(1+Inputs!$B$6)/(B3421-Inputs!$B$6)/(1+B3421)^7</f>
        <v>-1231.66008</v>
      </c>
    </row>
    <row r="3422" ht="14.25" customHeight="1">
      <c r="A3422" s="7">
        <v>3409.0</v>
      </c>
      <c r="B3422" s="14">
        <f t="shared" si="1"/>
        <v>0.1122355856</v>
      </c>
      <c r="C3422" s="39">
        <f t="array" ref="C3422">NPV(B3422,FCFF!$C$9:$I$9)+FCFF!$B$9+FCFF!$I$9*(1+Inputs!$B$6)/(B3422-Inputs!$B$6)/(1+B3422)^7</f>
        <v>-1677.810471</v>
      </c>
    </row>
    <row r="3423" ht="14.25" customHeight="1">
      <c r="A3423" s="7">
        <v>3410.0</v>
      </c>
      <c r="B3423" s="14">
        <f t="shared" si="1"/>
        <v>0.1074450751</v>
      </c>
      <c r="C3423" s="39">
        <f t="array" ref="C3423">NPV(B3423,FCFF!$C$9:$I$9)+FCFF!$B$9+FCFF!$I$9*(1+Inputs!$B$6)/(B3423-Inputs!$B$6)/(1+B3423)^7</f>
        <v>-1573.980639</v>
      </c>
    </row>
    <row r="3424" ht="14.25" customHeight="1">
      <c r="A3424" s="7">
        <v>3411.0</v>
      </c>
      <c r="B3424" s="14">
        <f t="shared" si="1"/>
        <v>0.1085053007</v>
      </c>
      <c r="C3424" s="39">
        <f t="array" ref="C3424">NPV(B3424,FCFF!$C$9:$I$9)+FCFF!$B$9+FCFF!$I$9*(1+Inputs!$B$6)/(B3424-Inputs!$B$6)/(1+B3424)^7</f>
        <v>-1598.086223</v>
      </c>
    </row>
    <row r="3425" ht="14.25" customHeight="1">
      <c r="A3425" s="7">
        <v>3412.0</v>
      </c>
      <c r="B3425" s="14">
        <f t="shared" si="1"/>
        <v>0.1036812657</v>
      </c>
      <c r="C3425" s="39">
        <f t="array" ref="C3425">NPV(B3425,FCFF!$C$9:$I$9)+FCFF!$B$9+FCFF!$I$9*(1+Inputs!$B$6)/(B3425-Inputs!$B$6)/(1+B3425)^7</f>
        <v>-1482.665396</v>
      </c>
    </row>
    <row r="3426" ht="14.25" customHeight="1">
      <c r="A3426" s="7">
        <v>3413.0</v>
      </c>
      <c r="B3426" s="14">
        <f t="shared" si="1"/>
        <v>0.1050894879</v>
      </c>
      <c r="C3426" s="39">
        <f t="array" ref="C3426">NPV(B3426,FCFF!$C$9:$I$9)+FCFF!$B$9+FCFF!$I$9*(1+Inputs!$B$6)/(B3426-Inputs!$B$6)/(1+B3426)^7</f>
        <v>-1517.924846</v>
      </c>
    </row>
    <row r="3427" ht="14.25" customHeight="1">
      <c r="A3427" s="7">
        <v>3414.0</v>
      </c>
      <c r="B3427" s="14">
        <f t="shared" si="1"/>
        <v>0.1124632444</v>
      </c>
      <c r="C3427" s="39">
        <f t="array" ref="C3427">NPV(B3427,FCFF!$C$9:$I$9)+FCFF!$B$9+FCFF!$I$9*(1+Inputs!$B$6)/(B3427-Inputs!$B$6)/(1+B3427)^7</f>
        <v>-1682.434375</v>
      </c>
    </row>
    <row r="3428" ht="14.25" customHeight="1">
      <c r="A3428" s="7">
        <v>3415.0</v>
      </c>
      <c r="B3428" s="14">
        <f t="shared" si="1"/>
        <v>0.1175706541</v>
      </c>
      <c r="C3428" s="39">
        <f t="array" ref="C3428">NPV(B3428,FCFF!$C$9:$I$9)+FCFF!$B$9+FCFF!$I$9*(1+Inputs!$B$6)/(B3428-Inputs!$B$6)/(1+B3428)^7</f>
        <v>-1779.587551</v>
      </c>
    </row>
    <row r="3429" ht="14.25" customHeight="1">
      <c r="A3429" s="7">
        <v>3416.0</v>
      </c>
      <c r="B3429" s="14">
        <f t="shared" si="1"/>
        <v>0.1199590682</v>
      </c>
      <c r="C3429" s="39">
        <f t="array" ref="C3429">NPV(B3429,FCFF!$C$9:$I$9)+FCFF!$B$9+FCFF!$I$9*(1+Inputs!$B$6)/(B3429-Inputs!$B$6)/(1+B3429)^7</f>
        <v>-1821.052787</v>
      </c>
    </row>
    <row r="3430" ht="14.25" customHeight="1">
      <c r="A3430" s="7">
        <v>3417.0</v>
      </c>
      <c r="B3430" s="14">
        <f t="shared" si="1"/>
        <v>0.1093507955</v>
      </c>
      <c r="C3430" s="39">
        <f t="array" ref="C3430">NPV(B3430,FCFF!$C$9:$I$9)+FCFF!$B$9+FCFF!$I$9*(1+Inputs!$B$6)/(B3430-Inputs!$B$6)/(1+B3430)^7</f>
        <v>-1616.834902</v>
      </c>
    </row>
    <row r="3431" ht="14.25" customHeight="1">
      <c r="A3431" s="7">
        <v>3418.0</v>
      </c>
      <c r="B3431" s="14">
        <f t="shared" si="1"/>
        <v>0.115055511</v>
      </c>
      <c r="C3431" s="39">
        <f t="array" ref="C3431">NPV(B3431,FCFF!$C$9:$I$9)+FCFF!$B$9+FCFF!$I$9*(1+Inputs!$B$6)/(B3431-Inputs!$B$6)/(1+B3431)^7</f>
        <v>-1733.269258</v>
      </c>
    </row>
    <row r="3432" ht="14.25" customHeight="1">
      <c r="A3432" s="7">
        <v>3419.0</v>
      </c>
      <c r="B3432" s="14">
        <f t="shared" si="1"/>
        <v>0.1140553053</v>
      </c>
      <c r="C3432" s="39">
        <f t="array" ref="C3432">NPV(B3432,FCFF!$C$9:$I$9)+FCFF!$B$9+FCFF!$I$9*(1+Inputs!$B$6)/(B3432-Inputs!$B$6)/(1+B3432)^7</f>
        <v>-1714.04236</v>
      </c>
    </row>
    <row r="3433" ht="14.25" customHeight="1">
      <c r="A3433" s="7">
        <v>3420.0</v>
      </c>
      <c r="B3433" s="14">
        <f t="shared" si="1"/>
        <v>0.1075815742</v>
      </c>
      <c r="C3433" s="39">
        <f t="array" ref="C3433">NPV(B3433,FCFF!$C$9:$I$9)+FCFF!$B$9+FCFF!$I$9*(1+Inputs!$B$6)/(B3433-Inputs!$B$6)/(1+B3433)^7</f>
        <v>-1577.122077</v>
      </c>
    </row>
    <row r="3434" ht="14.25" customHeight="1">
      <c r="A3434" s="7">
        <v>3421.0</v>
      </c>
      <c r="B3434" s="14">
        <f t="shared" si="1"/>
        <v>0.1198525843</v>
      </c>
      <c r="C3434" s="39">
        <f t="array" ref="C3434">NPV(B3434,FCFF!$C$9:$I$9)+FCFF!$B$9+FCFF!$I$9*(1+Inputs!$B$6)/(B3434-Inputs!$B$6)/(1+B3434)^7</f>
        <v>-1819.253701</v>
      </c>
    </row>
    <row r="3435" ht="14.25" customHeight="1">
      <c r="A3435" s="7">
        <v>3422.0</v>
      </c>
      <c r="B3435" s="14">
        <f t="shared" si="1"/>
        <v>0.1005998262</v>
      </c>
      <c r="C3435" s="39">
        <f t="array" ref="C3435">NPV(B3435,FCFF!$C$9:$I$9)+FCFF!$B$9+FCFF!$I$9*(1+Inputs!$B$6)/(B3435-Inputs!$B$6)/(1+B3435)^7</f>
        <v>-1400.530472</v>
      </c>
    </row>
    <row r="3436" ht="14.25" customHeight="1">
      <c r="A3436" s="7">
        <v>3423.0</v>
      </c>
      <c r="B3436" s="14">
        <f t="shared" si="1"/>
        <v>0.1033013003</v>
      </c>
      <c r="C3436" s="39">
        <f t="array" ref="C3436">NPV(B3436,FCFF!$C$9:$I$9)+FCFF!$B$9+FCFF!$I$9*(1+Inputs!$B$6)/(B3436-Inputs!$B$6)/(1+B3436)^7</f>
        <v>-1472.915626</v>
      </c>
    </row>
    <row r="3437" ht="14.25" customHeight="1">
      <c r="A3437" s="7">
        <v>3424.0</v>
      </c>
      <c r="B3437" s="14">
        <f t="shared" si="1"/>
        <v>0.1026680297</v>
      </c>
      <c r="C3437" s="39">
        <f t="array" ref="C3437">NPV(B3437,FCFF!$C$9:$I$9)+FCFF!$B$9+FCFF!$I$9*(1+Inputs!$B$6)/(B3437-Inputs!$B$6)/(1+B3437)^7</f>
        <v>-1456.436151</v>
      </c>
    </row>
    <row r="3438" ht="14.25" customHeight="1">
      <c r="A3438" s="7">
        <v>3425.0</v>
      </c>
      <c r="B3438" s="14">
        <f t="shared" si="1"/>
        <v>0.1227611512</v>
      </c>
      <c r="C3438" s="39">
        <f t="array" ref="C3438">NPV(B3438,FCFF!$C$9:$I$9)+FCFF!$B$9+FCFF!$I$9*(1+Inputs!$B$6)/(B3438-Inputs!$B$6)/(1+B3438)^7</f>
        <v>-1866.822057</v>
      </c>
    </row>
    <row r="3439" ht="14.25" customHeight="1">
      <c r="A3439" s="7">
        <v>3426.0</v>
      </c>
      <c r="B3439" s="14">
        <f t="shared" si="1"/>
        <v>0.1255567956</v>
      </c>
      <c r="C3439" s="39">
        <f t="array" ref="C3439">NPV(B3439,FCFF!$C$9:$I$9)+FCFF!$B$9+FCFF!$I$9*(1+Inputs!$B$6)/(B3439-Inputs!$B$6)/(1+B3439)^7</f>
        <v>-1909.640293</v>
      </c>
    </row>
    <row r="3440" ht="14.25" customHeight="1">
      <c r="A3440" s="7">
        <v>3427.0</v>
      </c>
      <c r="B3440" s="14">
        <f t="shared" si="1"/>
        <v>0.1308507284</v>
      </c>
      <c r="C3440" s="39">
        <f t="array" ref="C3440">NPV(B3440,FCFF!$C$9:$I$9)+FCFF!$B$9+FCFF!$I$9*(1+Inputs!$B$6)/(B3440-Inputs!$B$6)/(1+B3440)^7</f>
        <v>-1983.751565</v>
      </c>
    </row>
    <row r="3441" ht="14.25" customHeight="1">
      <c r="A3441" s="7">
        <v>3428.0</v>
      </c>
      <c r="B3441" s="14">
        <f t="shared" si="1"/>
        <v>0.1112544726</v>
      </c>
      <c r="C3441" s="39">
        <f t="array" ref="C3441">NPV(B3441,FCFF!$C$9:$I$9)+FCFF!$B$9+FCFF!$I$9*(1+Inputs!$B$6)/(B3441-Inputs!$B$6)/(1+B3441)^7</f>
        <v>-1657.575628</v>
      </c>
    </row>
    <row r="3442" ht="14.25" customHeight="1">
      <c r="A3442" s="7">
        <v>3429.0</v>
      </c>
      <c r="B3442" s="14">
        <f t="shared" si="1"/>
        <v>0.1161656208</v>
      </c>
      <c r="C3442" s="39">
        <f t="array" ref="C3442">NPV(B3442,FCFF!$C$9:$I$9)+FCFF!$B$9+FCFF!$I$9*(1+Inputs!$B$6)/(B3442-Inputs!$B$6)/(1+B3442)^7</f>
        <v>-1754.062495</v>
      </c>
    </row>
    <row r="3443" ht="14.25" customHeight="1">
      <c r="A3443" s="7">
        <v>3430.0</v>
      </c>
      <c r="B3443" s="14">
        <f t="shared" si="1"/>
        <v>0.1062685271</v>
      </c>
      <c r="C3443" s="39">
        <f t="array" ref="C3443">NPV(B3443,FCFF!$C$9:$I$9)+FCFF!$B$9+FCFF!$I$9*(1+Inputs!$B$6)/(B3443-Inputs!$B$6)/(1+B3443)^7</f>
        <v>-1546.425145</v>
      </c>
    </row>
    <row r="3444" ht="14.25" customHeight="1">
      <c r="A3444" s="7">
        <v>3431.0</v>
      </c>
      <c r="B3444" s="14">
        <f t="shared" si="1"/>
        <v>0.1288639787</v>
      </c>
      <c r="C3444" s="39">
        <f t="array" ref="C3444">NPV(B3444,FCFF!$C$9:$I$9)+FCFF!$B$9+FCFF!$I$9*(1+Inputs!$B$6)/(B3444-Inputs!$B$6)/(1+B3444)^7</f>
        <v>-1956.9438</v>
      </c>
    </row>
    <row r="3445" ht="14.25" customHeight="1">
      <c r="A3445" s="7">
        <v>3432.0</v>
      </c>
      <c r="B3445" s="14">
        <f t="shared" si="1"/>
        <v>0.1314384671</v>
      </c>
      <c r="C3445" s="39">
        <f t="array" ref="C3445">NPV(B3445,FCFF!$C$9:$I$9)+FCFF!$B$9+FCFF!$I$9*(1+Inputs!$B$6)/(B3445-Inputs!$B$6)/(1+B3445)^7</f>
        <v>-1991.463656</v>
      </c>
    </row>
    <row r="3446" ht="14.25" customHeight="1">
      <c r="A3446" s="7">
        <v>3433.0</v>
      </c>
      <c r="B3446" s="14">
        <f t="shared" si="1"/>
        <v>0.103293169</v>
      </c>
      <c r="C3446" s="39">
        <f t="array" ref="C3446">NPV(B3446,FCFF!$C$9:$I$9)+FCFF!$B$9+FCFF!$I$9*(1+Inputs!$B$6)/(B3446-Inputs!$B$6)/(1+B3446)^7</f>
        <v>-1472.705858</v>
      </c>
    </row>
    <row r="3447" ht="14.25" customHeight="1">
      <c r="A3447" s="7">
        <v>3434.0</v>
      </c>
      <c r="B3447" s="14">
        <f t="shared" si="1"/>
        <v>0.09502938885</v>
      </c>
      <c r="C3447" s="39">
        <f t="array" ref="C3447">NPV(B3447,FCFF!$C$9:$I$9)+FCFF!$B$9+FCFF!$I$9*(1+Inputs!$B$6)/(B3447-Inputs!$B$6)/(1+B3447)^7</f>
        <v>-1232.178276</v>
      </c>
    </row>
    <row r="3448" ht="14.25" customHeight="1">
      <c r="A3448" s="7">
        <v>3435.0</v>
      </c>
      <c r="B3448" s="14">
        <f t="shared" si="1"/>
        <v>0.1022027941</v>
      </c>
      <c r="C3448" s="39">
        <f t="array" ref="C3448">NPV(B3448,FCFF!$C$9:$I$9)+FCFF!$B$9+FCFF!$I$9*(1+Inputs!$B$6)/(B3448-Inputs!$B$6)/(1+B3448)^7</f>
        <v>-1444.142684</v>
      </c>
    </row>
    <row r="3449" ht="14.25" customHeight="1">
      <c r="A3449" s="7">
        <v>3436.0</v>
      </c>
      <c r="B3449" s="14">
        <f t="shared" si="1"/>
        <v>0.1022226342</v>
      </c>
      <c r="C3449" s="39">
        <f t="array" ref="C3449">NPV(B3449,FCFF!$C$9:$I$9)+FCFF!$B$9+FCFF!$I$9*(1+Inputs!$B$6)/(B3449-Inputs!$B$6)/(1+B3449)^7</f>
        <v>-1444.670217</v>
      </c>
    </row>
    <row r="3450" ht="14.25" customHeight="1">
      <c r="A3450" s="7">
        <v>3437.0</v>
      </c>
      <c r="B3450" s="14">
        <f t="shared" si="1"/>
        <v>0.09802393408</v>
      </c>
      <c r="C3450" s="39">
        <f t="array" ref="C3450">NPV(B3450,FCFF!$C$9:$I$9)+FCFF!$B$9+FCFF!$I$9*(1+Inputs!$B$6)/(B3450-Inputs!$B$6)/(1+B3450)^7</f>
        <v>-1326.110508</v>
      </c>
    </row>
    <row r="3451" ht="14.25" customHeight="1">
      <c r="A3451" s="7">
        <v>3438.0</v>
      </c>
      <c r="B3451" s="14">
        <f t="shared" si="1"/>
        <v>0.09483128204</v>
      </c>
      <c r="C3451" s="39">
        <f t="array" ref="C3451">NPV(B3451,FCFF!$C$9:$I$9)+FCFF!$B$9+FCFF!$I$9*(1+Inputs!$B$6)/(B3451-Inputs!$B$6)/(1+B3451)^7</f>
        <v>-1225.659421</v>
      </c>
    </row>
    <row r="3452" ht="14.25" customHeight="1">
      <c r="A3452" s="7">
        <v>3439.0</v>
      </c>
      <c r="B3452" s="14">
        <f t="shared" si="1"/>
        <v>0.1220748584</v>
      </c>
      <c r="C3452" s="39">
        <f t="array" ref="C3452">NPV(B3452,FCFF!$C$9:$I$9)+FCFF!$B$9+FCFF!$I$9*(1+Inputs!$B$6)/(B3452-Inputs!$B$6)/(1+B3452)^7</f>
        <v>-1855.88586</v>
      </c>
    </row>
    <row r="3453" ht="14.25" customHeight="1">
      <c r="A3453" s="7">
        <v>3440.0</v>
      </c>
      <c r="B3453" s="14">
        <f t="shared" si="1"/>
        <v>0.1238384807</v>
      </c>
      <c r="C3453" s="39">
        <f t="array" ref="C3453">NPV(B3453,FCFF!$C$9:$I$9)+FCFF!$B$9+FCFF!$I$9*(1+Inputs!$B$6)/(B3453-Inputs!$B$6)/(1+B3453)^7</f>
        <v>-1883.645662</v>
      </c>
    </row>
    <row r="3454" ht="14.25" customHeight="1">
      <c r="A3454" s="7">
        <v>3441.0</v>
      </c>
      <c r="B3454" s="14">
        <f t="shared" si="1"/>
        <v>0.1053875099</v>
      </c>
      <c r="C3454" s="39">
        <f t="array" ref="C3454">NPV(B3454,FCFF!$C$9:$I$9)+FCFF!$B$9+FCFF!$I$9*(1+Inputs!$B$6)/(B3454-Inputs!$B$6)/(1+B3454)^7</f>
        <v>-1525.214753</v>
      </c>
    </row>
    <row r="3455" ht="14.25" customHeight="1">
      <c r="A3455" s="7">
        <v>3442.0</v>
      </c>
      <c r="B3455" s="14">
        <f t="shared" si="1"/>
        <v>0.1200063181</v>
      </c>
      <c r="C3455" s="39">
        <f t="array" ref="C3455">NPV(B3455,FCFF!$C$9:$I$9)+FCFF!$B$9+FCFF!$I$9*(1+Inputs!$B$6)/(B3455-Inputs!$B$6)/(1+B3455)^7</f>
        <v>-1821.84965</v>
      </c>
    </row>
    <row r="3456" ht="14.25" customHeight="1">
      <c r="A3456" s="7">
        <v>3443.0</v>
      </c>
      <c r="B3456" s="14">
        <f t="shared" si="1"/>
        <v>0.1162694542</v>
      </c>
      <c r="C3456" s="39">
        <f t="array" ref="C3456">NPV(B3456,FCFF!$C$9:$I$9)+FCFF!$B$9+FCFF!$I$9*(1+Inputs!$B$6)/(B3456-Inputs!$B$6)/(1+B3456)^7</f>
        <v>-1755.978706</v>
      </c>
    </row>
    <row r="3457" ht="14.25" customHeight="1">
      <c r="A3457" s="7">
        <v>3444.0</v>
      </c>
      <c r="B3457" s="14">
        <f t="shared" si="1"/>
        <v>0.1132773246</v>
      </c>
      <c r="C3457" s="39">
        <f t="array" ref="C3457">NPV(B3457,FCFF!$C$9:$I$9)+FCFF!$B$9+FCFF!$I$9*(1+Inputs!$B$6)/(B3457-Inputs!$B$6)/(1+B3457)^7</f>
        <v>-1698.753927</v>
      </c>
    </row>
    <row r="3458" ht="14.25" customHeight="1">
      <c r="A3458" s="7">
        <v>3445.0</v>
      </c>
      <c r="B3458" s="14">
        <f t="shared" si="1"/>
        <v>0.1289807042</v>
      </c>
      <c r="C3458" s="39">
        <f t="array" ref="C3458">NPV(B3458,FCFF!$C$9:$I$9)+FCFF!$B$9+FCFF!$I$9*(1+Inputs!$B$6)/(B3458-Inputs!$B$6)/(1+B3458)^7</f>
        <v>-1958.551082</v>
      </c>
    </row>
    <row r="3459" ht="14.25" customHeight="1">
      <c r="A3459" s="7">
        <v>3446.0</v>
      </c>
      <c r="B3459" s="14">
        <f t="shared" si="1"/>
        <v>0.1220601174</v>
      </c>
      <c r="C3459" s="39">
        <f t="array" ref="C3459">NPV(B3459,FCFF!$C$9:$I$9)+FCFF!$B$9+FCFF!$I$9*(1+Inputs!$B$6)/(B3459-Inputs!$B$6)/(1+B3459)^7</f>
        <v>-1855.649054</v>
      </c>
    </row>
    <row r="3460" ht="14.25" customHeight="1">
      <c r="A3460" s="7">
        <v>3447.0</v>
      </c>
      <c r="B3460" s="14">
        <f t="shared" si="1"/>
        <v>0.1123965474</v>
      </c>
      <c r="C3460" s="39">
        <f t="array" ref="C3460">NPV(B3460,FCFF!$C$9:$I$9)+FCFF!$B$9+FCFF!$I$9*(1+Inputs!$B$6)/(B3460-Inputs!$B$6)/(1+B3460)^7</f>
        <v>-1681.082463</v>
      </c>
    </row>
    <row r="3461" ht="14.25" customHeight="1">
      <c r="A3461" s="7">
        <v>3448.0</v>
      </c>
      <c r="B3461" s="14">
        <f t="shared" si="1"/>
        <v>0.1139504393</v>
      </c>
      <c r="C3461" s="39">
        <f t="array" ref="C3461">NPV(B3461,FCFF!$C$9:$I$9)+FCFF!$B$9+FCFF!$I$9*(1+Inputs!$B$6)/(B3461-Inputs!$B$6)/(1+B3461)^7</f>
        <v>-1711.998818</v>
      </c>
    </row>
    <row r="3462" ht="14.25" customHeight="1">
      <c r="A3462" s="7">
        <v>3449.0</v>
      </c>
      <c r="B3462" s="14">
        <f t="shared" si="1"/>
        <v>0.112754082</v>
      </c>
      <c r="C3462" s="39">
        <f t="array" ref="C3462">NPV(B3462,FCFF!$C$9:$I$9)+FCFF!$B$9+FCFF!$I$9*(1+Inputs!$B$6)/(B3462-Inputs!$B$6)/(1+B3462)^7</f>
        <v>-1688.303027</v>
      </c>
    </row>
    <row r="3463" ht="14.25" customHeight="1">
      <c r="A3463" s="7">
        <v>3450.0</v>
      </c>
      <c r="B3463" s="14">
        <f t="shared" si="1"/>
        <v>0.1283092492</v>
      </c>
      <c r="C3463" s="39">
        <f t="array" ref="C3463">NPV(B3463,FCFF!$C$9:$I$9)+FCFF!$B$9+FCFF!$I$9*(1+Inputs!$B$6)/(B3463-Inputs!$B$6)/(1+B3463)^7</f>
        <v>-1949.248851</v>
      </c>
    </row>
    <row r="3464" ht="14.25" customHeight="1">
      <c r="A3464" s="7">
        <v>3451.0</v>
      </c>
      <c r="B3464" s="14">
        <f t="shared" si="1"/>
        <v>0.1241744671</v>
      </c>
      <c r="C3464" s="39">
        <f t="array" ref="C3464">NPV(B3464,FCFF!$C$9:$I$9)+FCFF!$B$9+FCFF!$I$9*(1+Inputs!$B$6)/(B3464-Inputs!$B$6)/(1+B3464)^7</f>
        <v>-1888.808357</v>
      </c>
    </row>
    <row r="3465" ht="14.25" customHeight="1">
      <c r="A3465" s="7">
        <v>3452.0</v>
      </c>
      <c r="B3465" s="14">
        <f t="shared" si="1"/>
        <v>0.1298458488</v>
      </c>
      <c r="C3465" s="39">
        <f t="array" ref="C3465">NPV(B3465,FCFF!$C$9:$I$9)+FCFF!$B$9+FCFF!$I$9*(1+Inputs!$B$6)/(B3465-Inputs!$B$6)/(1+B3465)^7</f>
        <v>-1970.33709</v>
      </c>
    </row>
    <row r="3466" ht="14.25" customHeight="1">
      <c r="A3466" s="7">
        <v>3453.0</v>
      </c>
      <c r="B3466" s="14">
        <f t="shared" si="1"/>
        <v>0.1063726146</v>
      </c>
      <c r="C3466" s="39">
        <f t="array" ref="C3466">NPV(B3466,FCFF!$C$9:$I$9)+FCFF!$B$9+FCFF!$I$9*(1+Inputs!$B$6)/(B3466-Inputs!$B$6)/(1+B3466)^7</f>
        <v>-1548.898</v>
      </c>
    </row>
    <row r="3467" ht="14.25" customHeight="1">
      <c r="A3467" s="7">
        <v>3454.0</v>
      </c>
      <c r="B3467" s="14">
        <f t="shared" si="1"/>
        <v>0.1255066666</v>
      </c>
      <c r="C3467" s="39">
        <f t="array" ref="C3467">NPV(B3467,FCFF!$C$9:$I$9)+FCFF!$B$9+FCFF!$I$9*(1+Inputs!$B$6)/(B3467-Inputs!$B$6)/(1+B3467)^7</f>
        <v>-1908.896136</v>
      </c>
    </row>
    <row r="3468" ht="14.25" customHeight="1">
      <c r="A3468" s="7">
        <v>3455.0</v>
      </c>
      <c r="B3468" s="14">
        <f t="shared" si="1"/>
        <v>0.1106941458</v>
      </c>
      <c r="C3468" s="39">
        <f t="array" ref="C3468">NPV(B3468,FCFF!$C$9:$I$9)+FCFF!$B$9+FCFF!$I$9*(1+Inputs!$B$6)/(B3468-Inputs!$B$6)/(1+B3468)^7</f>
        <v>-1645.790392</v>
      </c>
    </row>
    <row r="3469" ht="14.25" customHeight="1">
      <c r="A3469" s="7">
        <v>3456.0</v>
      </c>
      <c r="B3469" s="14">
        <f t="shared" si="1"/>
        <v>0.1222445199</v>
      </c>
      <c r="C3469" s="39">
        <f t="array" ref="C3469">NPV(B3469,FCFF!$C$9:$I$9)+FCFF!$B$9+FCFF!$I$9*(1+Inputs!$B$6)/(B3469-Inputs!$B$6)/(1+B3469)^7</f>
        <v>-1858.605573</v>
      </c>
    </row>
    <row r="3470" ht="14.25" customHeight="1">
      <c r="A3470" s="7">
        <v>3457.0</v>
      </c>
      <c r="B3470" s="14">
        <f t="shared" si="1"/>
        <v>0.1313635629</v>
      </c>
      <c r="C3470" s="39">
        <f t="array" ref="C3470">NPV(B3470,FCFF!$C$9:$I$9)+FCFF!$B$9+FCFF!$I$9*(1+Inputs!$B$6)/(B3470-Inputs!$B$6)/(1+B3470)^7</f>
        <v>-1990.486203</v>
      </c>
    </row>
    <row r="3471" ht="14.25" customHeight="1">
      <c r="A3471" s="7">
        <v>3458.0</v>
      </c>
      <c r="B3471" s="14">
        <f t="shared" si="1"/>
        <v>0.1014592582</v>
      </c>
      <c r="C3471" s="39">
        <f t="array" ref="C3471">NPV(B3471,FCFF!$C$9:$I$9)+FCFF!$B$9+FCFF!$I$9*(1+Inputs!$B$6)/(B3471-Inputs!$B$6)/(1+B3471)^7</f>
        <v>-1424.158971</v>
      </c>
    </row>
    <row r="3472" ht="14.25" customHeight="1">
      <c r="A3472" s="7">
        <v>3459.0</v>
      </c>
      <c r="B3472" s="14">
        <f t="shared" si="1"/>
        <v>0.1047207311</v>
      </c>
      <c r="C3472" s="39">
        <f t="array" ref="C3472">NPV(B3472,FCFF!$C$9:$I$9)+FCFF!$B$9+FCFF!$I$9*(1+Inputs!$B$6)/(B3472-Inputs!$B$6)/(1+B3472)^7</f>
        <v>-1508.822605</v>
      </c>
    </row>
    <row r="3473" ht="14.25" customHeight="1">
      <c r="A3473" s="7">
        <v>3460.0</v>
      </c>
      <c r="B3473" s="14">
        <f t="shared" si="1"/>
        <v>0.1310040029</v>
      </c>
      <c r="C3473" s="39">
        <f t="array" ref="C3473">NPV(B3473,FCFF!$C$9:$I$9)+FCFF!$B$9+FCFF!$I$9*(1+Inputs!$B$6)/(B3473-Inputs!$B$6)/(1+B3473)^7</f>
        <v>-1985.77219</v>
      </c>
    </row>
    <row r="3474" ht="14.25" customHeight="1">
      <c r="A3474" s="7">
        <v>3461.0</v>
      </c>
      <c r="B3474" s="14">
        <f t="shared" si="1"/>
        <v>0.09952255367</v>
      </c>
      <c r="C3474" s="39">
        <f t="array" ref="C3474">NPV(B3474,FCFF!$C$9:$I$9)+FCFF!$B$9+FCFF!$I$9*(1+Inputs!$B$6)/(B3474-Inputs!$B$6)/(1+B3474)^7</f>
        <v>-1370.081186</v>
      </c>
    </row>
    <row r="3475" ht="14.25" customHeight="1">
      <c r="A3475" s="7">
        <v>3462.0</v>
      </c>
      <c r="B3475" s="14">
        <f t="shared" si="1"/>
        <v>0.1147120161</v>
      </c>
      <c r="C3475" s="39">
        <f t="array" ref="C3475">NPV(B3475,FCFF!$C$9:$I$9)+FCFF!$B$9+FCFF!$I$9*(1+Inputs!$B$6)/(B3475-Inputs!$B$6)/(1+B3475)^7</f>
        <v>-1726.719749</v>
      </c>
    </row>
    <row r="3476" ht="14.25" customHeight="1">
      <c r="A3476" s="7">
        <v>3463.0</v>
      </c>
      <c r="B3476" s="14">
        <f t="shared" si="1"/>
        <v>0.09847615618</v>
      </c>
      <c r="C3476" s="39">
        <f t="array" ref="C3476">NPV(B3476,FCFF!$C$9:$I$9)+FCFF!$B$9+FCFF!$I$9*(1+Inputs!$B$6)/(B3476-Inputs!$B$6)/(1+B3476)^7</f>
        <v>-1339.582426</v>
      </c>
    </row>
    <row r="3477" ht="14.25" customHeight="1">
      <c r="A3477" s="7">
        <v>3464.0</v>
      </c>
      <c r="B3477" s="14">
        <f t="shared" si="1"/>
        <v>0.1226128949</v>
      </c>
      <c r="C3477" s="39">
        <f t="array" ref="C3477">NPV(B3477,FCFF!$C$9:$I$9)+FCFF!$B$9+FCFF!$I$9*(1+Inputs!$B$6)/(B3477-Inputs!$B$6)/(1+B3477)^7</f>
        <v>-1864.474187</v>
      </c>
    </row>
    <row r="3478" ht="14.25" customHeight="1">
      <c r="A3478" s="7">
        <v>3465.0</v>
      </c>
      <c r="B3478" s="14">
        <f t="shared" si="1"/>
        <v>0.09555659673</v>
      </c>
      <c r="C3478" s="39">
        <f t="array" ref="C3478">NPV(B3478,FCFF!$C$9:$I$9)+FCFF!$B$9+FCFF!$I$9*(1+Inputs!$B$6)/(B3478-Inputs!$B$6)/(1+B3478)^7</f>
        <v>-1249.335744</v>
      </c>
    </row>
    <row r="3479" ht="14.25" customHeight="1">
      <c r="A3479" s="7">
        <v>3466.0</v>
      </c>
      <c r="B3479" s="14">
        <f t="shared" si="1"/>
        <v>0.09569356179</v>
      </c>
      <c r="C3479" s="39">
        <f t="array" ref="C3479">NPV(B3479,FCFF!$C$9:$I$9)+FCFF!$B$9+FCFF!$I$9*(1+Inputs!$B$6)/(B3479-Inputs!$B$6)/(1+B3479)^7</f>
        <v>-1253.748329</v>
      </c>
    </row>
    <row r="3480" ht="14.25" customHeight="1">
      <c r="A3480" s="7">
        <v>3467.0</v>
      </c>
      <c r="B3480" s="14">
        <f t="shared" si="1"/>
        <v>0.1139790932</v>
      </c>
      <c r="C3480" s="39">
        <f t="array" ref="C3480">NPV(B3480,FCFF!$C$9:$I$9)+FCFF!$B$9+FCFF!$I$9*(1+Inputs!$B$6)/(B3480-Inputs!$B$6)/(1+B3480)^7</f>
        <v>-1712.55773</v>
      </c>
    </row>
    <row r="3481" ht="14.25" customHeight="1">
      <c r="A3481" s="7">
        <v>3468.0</v>
      </c>
      <c r="B3481" s="14">
        <f t="shared" si="1"/>
        <v>0.1236648057</v>
      </c>
      <c r="C3481" s="39">
        <f t="array" ref="C3481">NPV(B3481,FCFF!$C$9:$I$9)+FCFF!$B$9+FCFF!$I$9*(1+Inputs!$B$6)/(B3481-Inputs!$B$6)/(1+B3481)^7</f>
        <v>-1880.961483</v>
      </c>
    </row>
    <row r="3482" ht="14.25" customHeight="1">
      <c r="A3482" s="7">
        <v>3469.0</v>
      </c>
      <c r="B3482" s="14">
        <f t="shared" si="1"/>
        <v>0.1027006229</v>
      </c>
      <c r="C3482" s="39">
        <f t="array" ref="C3482">NPV(B3482,FCFF!$C$9:$I$9)+FCFF!$B$9+FCFF!$I$9*(1+Inputs!$B$6)/(B3482-Inputs!$B$6)/(1+B3482)^7</f>
        <v>-1457.291424</v>
      </c>
    </row>
    <row r="3483" ht="14.25" customHeight="1">
      <c r="A3483" s="7">
        <v>3470.0</v>
      </c>
      <c r="B3483" s="14">
        <f t="shared" si="1"/>
        <v>0.1322881368</v>
      </c>
      <c r="C3483" s="39">
        <f t="array" ref="C3483">NPV(B3483,FCFF!$C$9:$I$9)+FCFF!$B$9+FCFF!$I$9*(1+Inputs!$B$6)/(B3483-Inputs!$B$6)/(1+B3483)^7</f>
        <v>-2002.442168</v>
      </c>
    </row>
    <row r="3484" ht="14.25" customHeight="1">
      <c r="A3484" s="7">
        <v>3471.0</v>
      </c>
      <c r="B3484" s="14">
        <f t="shared" si="1"/>
        <v>0.109901513</v>
      </c>
      <c r="C3484" s="39">
        <f t="array" ref="C3484">NPV(B3484,FCFF!$C$9:$I$9)+FCFF!$B$9+FCFF!$I$9*(1+Inputs!$B$6)/(B3484-Inputs!$B$6)/(1+B3484)^7</f>
        <v>-1628.82705</v>
      </c>
    </row>
    <row r="3485" ht="14.25" customHeight="1">
      <c r="A3485" s="7">
        <v>3472.0</v>
      </c>
      <c r="B3485" s="14">
        <f t="shared" si="1"/>
        <v>0.1110958169</v>
      </c>
      <c r="C3485" s="39">
        <f t="array" ref="C3485">NPV(B3485,FCFF!$C$9:$I$9)+FCFF!$B$9+FCFF!$I$9*(1+Inputs!$B$6)/(B3485-Inputs!$B$6)/(1+B3485)^7</f>
        <v>-1654.255768</v>
      </c>
    </row>
    <row r="3486" ht="14.25" customHeight="1">
      <c r="A3486" s="7">
        <v>3473.0</v>
      </c>
      <c r="B3486" s="14">
        <f t="shared" si="1"/>
        <v>0.103051923</v>
      </c>
      <c r="C3486" s="39">
        <f t="array" ref="C3486">NPV(B3486,FCFF!$C$9:$I$9)+FCFF!$B$9+FCFF!$I$9*(1+Inputs!$B$6)/(B3486-Inputs!$B$6)/(1+B3486)^7</f>
        <v>-1466.460726</v>
      </c>
    </row>
    <row r="3487" ht="14.25" customHeight="1">
      <c r="A3487" s="7">
        <v>3474.0</v>
      </c>
      <c r="B3487" s="14">
        <f t="shared" si="1"/>
        <v>0.09861945713</v>
      </c>
      <c r="C3487" s="39">
        <f t="array" ref="C3487">NPV(B3487,FCFF!$C$9:$I$9)+FCFF!$B$9+FCFF!$I$9*(1+Inputs!$B$6)/(B3487-Inputs!$B$6)/(1+B3487)^7</f>
        <v>-1343.814302</v>
      </c>
    </row>
    <row r="3488" ht="14.25" customHeight="1">
      <c r="A3488" s="7">
        <v>3475.0</v>
      </c>
      <c r="B3488" s="14">
        <f t="shared" si="1"/>
        <v>0.1080339019</v>
      </c>
      <c r="C3488" s="39">
        <f t="array" ref="C3488">NPV(B3488,FCFF!$C$9:$I$9)+FCFF!$B$9+FCFF!$I$9*(1+Inputs!$B$6)/(B3488-Inputs!$B$6)/(1+B3488)^7</f>
        <v>-1587.451463</v>
      </c>
    </row>
    <row r="3489" ht="14.25" customHeight="1">
      <c r="A3489" s="7">
        <v>3476.0</v>
      </c>
      <c r="B3489" s="14">
        <f t="shared" si="1"/>
        <v>0.1194747468</v>
      </c>
      <c r="C3489" s="39">
        <f t="array" ref="C3489">NPV(B3489,FCFF!$C$9:$I$9)+FCFF!$B$9+FCFF!$I$9*(1+Inputs!$B$6)/(B3489-Inputs!$B$6)/(1+B3489)^7</f>
        <v>-1812.833416</v>
      </c>
    </row>
    <row r="3490" ht="14.25" customHeight="1">
      <c r="A3490" s="7">
        <v>3477.0</v>
      </c>
      <c r="B3490" s="14">
        <f t="shared" si="1"/>
        <v>0.1036246915</v>
      </c>
      <c r="C3490" s="39">
        <f t="array" ref="C3490">NPV(B3490,FCFF!$C$9:$I$9)+FCFF!$B$9+FCFF!$I$9*(1+Inputs!$B$6)/(B3490-Inputs!$B$6)/(1+B3490)^7</f>
        <v>-1481.2202</v>
      </c>
    </row>
    <row r="3491" ht="14.25" customHeight="1">
      <c r="A3491" s="7">
        <v>3478.0</v>
      </c>
      <c r="B3491" s="14">
        <f t="shared" si="1"/>
        <v>0.127902138</v>
      </c>
      <c r="C3491" s="39">
        <f t="array" ref="C3491">NPV(B3491,FCFF!$C$9:$I$9)+FCFF!$B$9+FCFF!$I$9*(1+Inputs!$B$6)/(B3491-Inputs!$B$6)/(1+B3491)^7</f>
        <v>-1943.541605</v>
      </c>
    </row>
    <row r="3492" ht="14.25" customHeight="1">
      <c r="A3492" s="7">
        <v>3479.0</v>
      </c>
      <c r="B3492" s="14">
        <f t="shared" si="1"/>
        <v>0.1198339721</v>
      </c>
      <c r="C3492" s="39">
        <f t="array" ref="C3492">NPV(B3492,FCFF!$C$9:$I$9)+FCFF!$B$9+FCFF!$I$9*(1+Inputs!$B$6)/(B3492-Inputs!$B$6)/(1+B3492)^7</f>
        <v>-1818.938777</v>
      </c>
    </row>
    <row r="3493" ht="14.25" customHeight="1">
      <c r="A3493" s="7">
        <v>3480.0</v>
      </c>
      <c r="B3493" s="14">
        <f t="shared" si="1"/>
        <v>0.1308308401</v>
      </c>
      <c r="C3493" s="39">
        <f t="array" ref="C3493">NPV(B3493,FCFF!$C$9:$I$9)+FCFF!$B$9+FCFF!$I$9*(1+Inputs!$B$6)/(B3493-Inputs!$B$6)/(1+B3493)^7</f>
        <v>-1983.488886</v>
      </c>
    </row>
    <row r="3494" ht="14.25" customHeight="1">
      <c r="A3494" s="7">
        <v>3481.0</v>
      </c>
      <c r="B3494" s="14">
        <f t="shared" si="1"/>
        <v>0.1046346749</v>
      </c>
      <c r="C3494" s="39">
        <f t="array" ref="C3494">NPV(B3494,FCFF!$C$9:$I$9)+FCFF!$B$9+FCFF!$I$9*(1+Inputs!$B$6)/(B3494-Inputs!$B$6)/(1+B3494)^7</f>
        <v>-1506.685234</v>
      </c>
    </row>
    <row r="3495" ht="14.25" customHeight="1">
      <c r="A3495" s="7">
        <v>3482.0</v>
      </c>
      <c r="B3495" s="14">
        <f t="shared" si="1"/>
        <v>0.1285367167</v>
      </c>
      <c r="C3495" s="39">
        <f t="array" ref="C3495">NPV(B3495,FCFF!$C$9:$I$9)+FCFF!$B$9+FCFF!$I$9*(1+Inputs!$B$6)/(B3495-Inputs!$B$6)/(1+B3495)^7</f>
        <v>-1952.415506</v>
      </c>
    </row>
    <row r="3496" ht="14.25" customHeight="1">
      <c r="A3496" s="7">
        <v>3483.0</v>
      </c>
      <c r="B3496" s="14">
        <f t="shared" si="1"/>
        <v>0.11716655</v>
      </c>
      <c r="C3496" s="39">
        <f t="array" ref="C3496">NPV(B3496,FCFF!$C$9:$I$9)+FCFF!$B$9+FCFF!$I$9*(1+Inputs!$B$6)/(B3496-Inputs!$B$6)/(1+B3496)^7</f>
        <v>-1772.334823</v>
      </c>
    </row>
    <row r="3497" ht="14.25" customHeight="1">
      <c r="A3497" s="7">
        <v>3484.0</v>
      </c>
      <c r="B3497" s="14">
        <f t="shared" si="1"/>
        <v>0.09394880314</v>
      </c>
      <c r="C3497" s="39">
        <f t="array" ref="C3497">NPV(B3497,FCFF!$C$9:$I$9)+FCFF!$B$9+FCFF!$I$9*(1+Inputs!$B$6)/(B3497-Inputs!$B$6)/(1+B3497)^7</f>
        <v>-1196.134018</v>
      </c>
    </row>
    <row r="3498" ht="14.25" customHeight="1">
      <c r="A3498" s="7">
        <v>3485.0</v>
      </c>
      <c r="B3498" s="14">
        <f t="shared" si="1"/>
        <v>0.09828175692</v>
      </c>
      <c r="C3498" s="39">
        <f t="array" ref="C3498">NPV(B3498,FCFF!$C$9:$I$9)+FCFF!$B$9+FCFF!$I$9*(1+Inputs!$B$6)/(B3498-Inputs!$B$6)/(1+B3498)^7</f>
        <v>-1333.813085</v>
      </c>
    </row>
    <row r="3499" ht="14.25" customHeight="1">
      <c r="A3499" s="7">
        <v>3486.0</v>
      </c>
      <c r="B3499" s="14">
        <f t="shared" si="1"/>
        <v>0.09719461723</v>
      </c>
      <c r="C3499" s="39">
        <f t="array" ref="C3499">NPV(B3499,FCFF!$C$9:$I$9)+FCFF!$B$9+FCFF!$I$9*(1+Inputs!$B$6)/(B3499-Inputs!$B$6)/(1+B3499)^7</f>
        <v>-1300.933123</v>
      </c>
    </row>
    <row r="3500" ht="14.25" customHeight="1">
      <c r="A3500" s="7">
        <v>3487.0</v>
      </c>
      <c r="B3500" s="14">
        <f t="shared" si="1"/>
        <v>0.1012251113</v>
      </c>
      <c r="C3500" s="39">
        <f t="array" ref="C3500">NPV(B3500,FCFF!$C$9:$I$9)+FCFF!$B$9+FCFF!$I$9*(1+Inputs!$B$6)/(B3500-Inputs!$B$6)/(1+B3500)^7</f>
        <v>-1417.778577</v>
      </c>
    </row>
    <row r="3501" ht="14.25" customHeight="1">
      <c r="A3501" s="7">
        <v>3488.0</v>
      </c>
      <c r="B3501" s="14">
        <f t="shared" si="1"/>
        <v>0.1177564461</v>
      </c>
      <c r="C3501" s="39">
        <f t="array" ref="C3501">NPV(B3501,FCFF!$C$9:$I$9)+FCFF!$B$9+FCFF!$I$9*(1+Inputs!$B$6)/(B3501-Inputs!$B$6)/(1+B3501)^7</f>
        <v>-1782.898505</v>
      </c>
    </row>
    <row r="3502" ht="14.25" customHeight="1">
      <c r="A3502" s="7">
        <v>3489.0</v>
      </c>
      <c r="B3502" s="14">
        <f t="shared" si="1"/>
        <v>0.1043061083</v>
      </c>
      <c r="C3502" s="39">
        <f t="array" ref="C3502">NPV(B3502,FCFF!$C$9:$I$9)+FCFF!$B$9+FCFF!$I$9*(1+Inputs!$B$6)/(B3502-Inputs!$B$6)/(1+B3502)^7</f>
        <v>-1498.478279</v>
      </c>
    </row>
    <row r="3503" ht="14.25" customHeight="1">
      <c r="A3503" s="7">
        <v>3490.0</v>
      </c>
      <c r="B3503" s="14">
        <f t="shared" si="1"/>
        <v>0.1134596926</v>
      </c>
      <c r="C3503" s="39">
        <f t="array" ref="C3503">NPV(B3503,FCFF!$C$9:$I$9)+FCFF!$B$9+FCFF!$I$9*(1+Inputs!$B$6)/(B3503-Inputs!$B$6)/(1+B3503)^7</f>
        <v>-1702.364374</v>
      </c>
    </row>
    <row r="3504" ht="14.25" customHeight="1">
      <c r="A3504" s="7">
        <v>3491.0</v>
      </c>
      <c r="B3504" s="14">
        <f t="shared" si="1"/>
        <v>0.1197582503</v>
      </c>
      <c r="C3504" s="39">
        <f t="array" ref="C3504">NPV(B3504,FCFF!$C$9:$I$9)+FCFF!$B$9+FCFF!$I$9*(1+Inputs!$B$6)/(B3504-Inputs!$B$6)/(1+B3504)^7</f>
        <v>-1817.656117</v>
      </c>
    </row>
    <row r="3505" ht="14.25" customHeight="1">
      <c r="A3505" s="7">
        <v>3492.0</v>
      </c>
      <c r="B3505" s="14">
        <f t="shared" si="1"/>
        <v>0.09737547453</v>
      </c>
      <c r="C3505" s="39">
        <f t="array" ref="C3505">NPV(B3505,FCFF!$C$9:$I$9)+FCFF!$B$9+FCFF!$I$9*(1+Inputs!$B$6)/(B3505-Inputs!$B$6)/(1+B3505)^7</f>
        <v>-1306.476646</v>
      </c>
    </row>
    <row r="3506" ht="14.25" customHeight="1">
      <c r="A3506" s="7">
        <v>3493.0</v>
      </c>
      <c r="B3506" s="14">
        <f t="shared" si="1"/>
        <v>0.1328513525</v>
      </c>
      <c r="C3506" s="39">
        <f t="array" ref="C3506">NPV(B3506,FCFF!$C$9:$I$9)+FCFF!$B$9+FCFF!$I$9*(1+Inputs!$B$6)/(B3506-Inputs!$B$6)/(1+B3506)^7</f>
        <v>-2009.610422</v>
      </c>
    </row>
    <row r="3507" ht="14.25" customHeight="1">
      <c r="A3507" s="7">
        <v>3494.0</v>
      </c>
      <c r="B3507" s="14">
        <f t="shared" si="1"/>
        <v>0.12766333</v>
      </c>
      <c r="C3507" s="39">
        <f t="array" ref="C3507">NPV(B3507,FCFF!$C$9:$I$9)+FCFF!$B$9+FCFF!$I$9*(1+Inputs!$B$6)/(B3507-Inputs!$B$6)/(1+B3507)^7</f>
        <v>-1940.16987</v>
      </c>
    </row>
    <row r="3508" ht="14.25" customHeight="1">
      <c r="A3508" s="7">
        <v>3495.0</v>
      </c>
      <c r="B3508" s="14">
        <f t="shared" si="1"/>
        <v>0.1051072004</v>
      </c>
      <c r="C3508" s="39">
        <f t="array" ref="C3508">NPV(B3508,FCFF!$C$9:$I$9)+FCFF!$B$9+FCFF!$I$9*(1+Inputs!$B$6)/(B3508-Inputs!$B$6)/(1+B3508)^7</f>
        <v>-1518.359762</v>
      </c>
    </row>
    <row r="3509" ht="14.25" customHeight="1">
      <c r="A3509" s="7">
        <v>3496.0</v>
      </c>
      <c r="B3509" s="14">
        <f t="shared" si="1"/>
        <v>0.1216013071</v>
      </c>
      <c r="C3509" s="39">
        <f t="array" ref="C3509">NPV(B3509,FCFF!$C$9:$I$9)+FCFF!$B$9+FCFF!$I$9*(1+Inputs!$B$6)/(B3509-Inputs!$B$6)/(1+B3509)^7</f>
        <v>-1848.237994</v>
      </c>
    </row>
    <row r="3510" ht="14.25" customHeight="1">
      <c r="A3510" s="7">
        <v>3497.0</v>
      </c>
      <c r="B3510" s="14">
        <f t="shared" si="1"/>
        <v>0.09567600328</v>
      </c>
      <c r="C3510" s="39">
        <f t="array" ref="C3510">NPV(B3510,FCFF!$C$9:$I$9)+FCFF!$B$9+FCFF!$I$9*(1+Inputs!$B$6)/(B3510-Inputs!$B$6)/(1+B3510)^7</f>
        <v>-1253.183671</v>
      </c>
    </row>
    <row r="3511" ht="14.25" customHeight="1">
      <c r="A3511" s="7">
        <v>3498.0</v>
      </c>
      <c r="B3511" s="14">
        <f t="shared" si="1"/>
        <v>0.0968703715</v>
      </c>
      <c r="C3511" s="39">
        <f t="array" ref="C3511">NPV(B3511,FCFF!$C$9:$I$9)+FCFF!$B$9+FCFF!$I$9*(1+Inputs!$B$6)/(B3511-Inputs!$B$6)/(1+B3511)^7</f>
        <v>-1290.919559</v>
      </c>
    </row>
    <row r="3512" ht="14.25" customHeight="1">
      <c r="A3512" s="7">
        <v>3499.0</v>
      </c>
      <c r="B3512" s="14">
        <f t="shared" si="1"/>
        <v>0.0941933042</v>
      </c>
      <c r="C3512" s="39">
        <f t="array" ref="C3512">NPV(B3512,FCFF!$C$9:$I$9)+FCFF!$B$9+FCFF!$I$9*(1+Inputs!$B$6)/(B3512-Inputs!$B$6)/(1+B3512)^7</f>
        <v>-1204.394969</v>
      </c>
    </row>
    <row r="3513" ht="14.25" customHeight="1">
      <c r="A3513" s="7">
        <v>3500.0</v>
      </c>
      <c r="B3513" s="14">
        <f t="shared" si="1"/>
        <v>0.09702309507</v>
      </c>
      <c r="C3513" s="39">
        <f t="array" ref="C3513">NPV(B3513,FCFF!$C$9:$I$9)+FCFF!$B$9+FCFF!$I$9*(1+Inputs!$B$6)/(B3513-Inputs!$B$6)/(1+B3513)^7</f>
        <v>-1295.648119</v>
      </c>
    </row>
    <row r="3514" ht="14.25" customHeight="1">
      <c r="A3514" s="7">
        <v>3501.0</v>
      </c>
      <c r="B3514" s="14">
        <f t="shared" si="1"/>
        <v>0.1035122551</v>
      </c>
      <c r="C3514" s="39">
        <f t="array" ref="C3514">NPV(B3514,FCFF!$C$9:$I$9)+FCFF!$B$9+FCFF!$I$9*(1+Inputs!$B$6)/(B3514-Inputs!$B$6)/(1+B3514)^7</f>
        <v>-1478.341288</v>
      </c>
    </row>
    <row r="3515" ht="14.25" customHeight="1">
      <c r="A3515" s="7">
        <v>3502.0</v>
      </c>
      <c r="B3515" s="14">
        <f t="shared" si="1"/>
        <v>0.1235434505</v>
      </c>
      <c r="C3515" s="39">
        <f t="array" ref="C3515">NPV(B3515,FCFF!$C$9:$I$9)+FCFF!$B$9+FCFF!$I$9*(1+Inputs!$B$6)/(B3515-Inputs!$B$6)/(1+B3515)^7</f>
        <v>-1879.079595</v>
      </c>
    </row>
    <row r="3516" ht="14.25" customHeight="1">
      <c r="A3516" s="7">
        <v>3503.0</v>
      </c>
      <c r="B3516" s="14">
        <f t="shared" si="1"/>
        <v>0.1064771797</v>
      </c>
      <c r="C3516" s="39">
        <f t="array" ref="C3516">NPV(B3516,FCFF!$C$9:$I$9)+FCFF!$B$9+FCFF!$I$9*(1+Inputs!$B$6)/(B3516-Inputs!$B$6)/(1+B3516)^7</f>
        <v>-1551.375267</v>
      </c>
    </row>
    <row r="3517" ht="14.25" customHeight="1">
      <c r="A3517" s="7">
        <v>3504.0</v>
      </c>
      <c r="B3517" s="14">
        <f t="shared" si="1"/>
        <v>0.106690446</v>
      </c>
      <c r="C3517" s="39">
        <f t="array" ref="C3517">NPV(B3517,FCFF!$C$9:$I$9)+FCFF!$B$9+FCFF!$I$9*(1+Inputs!$B$6)/(B3517-Inputs!$B$6)/(1+B3517)^7</f>
        <v>-1556.406356</v>
      </c>
    </row>
    <row r="3518" ht="14.25" customHeight="1">
      <c r="A3518" s="7">
        <v>3505.0</v>
      </c>
      <c r="B3518" s="14">
        <f t="shared" si="1"/>
        <v>0.1303789932</v>
      </c>
      <c r="C3518" s="39">
        <f t="array" ref="C3518">NPV(B3518,FCFF!$C$9:$I$9)+FCFF!$B$9+FCFF!$I$9*(1+Inputs!$B$6)/(B3518-Inputs!$B$6)/(1+B3518)^7</f>
        <v>-1977.490542</v>
      </c>
    </row>
    <row r="3519" ht="14.25" customHeight="1">
      <c r="A3519" s="7">
        <v>3506.0</v>
      </c>
      <c r="B3519" s="14">
        <f t="shared" si="1"/>
        <v>0.1272336449</v>
      </c>
      <c r="C3519" s="39">
        <f t="array" ref="C3519">NPV(B3519,FCFF!$C$9:$I$9)+FCFF!$B$9+FCFF!$I$9*(1+Inputs!$B$6)/(B3519-Inputs!$B$6)/(1+B3519)^7</f>
        <v>-1934.058127</v>
      </c>
    </row>
    <row r="3520" ht="14.25" customHeight="1">
      <c r="A3520" s="7">
        <v>3507.0</v>
      </c>
      <c r="B3520" s="14">
        <f t="shared" si="1"/>
        <v>0.09704410644</v>
      </c>
      <c r="C3520" s="39">
        <f t="array" ref="C3520">NPV(B3520,FCFF!$C$9:$I$9)+FCFF!$B$9+FCFF!$I$9*(1+Inputs!$B$6)/(B3520-Inputs!$B$6)/(1+B3520)^7</f>
        <v>-1296.296981</v>
      </c>
    </row>
    <row r="3521" ht="14.25" customHeight="1">
      <c r="A3521" s="7">
        <v>3508.0</v>
      </c>
      <c r="B3521" s="14">
        <f t="shared" si="1"/>
        <v>0.1001786515</v>
      </c>
      <c r="C3521" s="39">
        <f t="array" ref="C3521">NPV(B3521,FCFF!$C$9:$I$9)+FCFF!$B$9+FCFF!$I$9*(1+Inputs!$B$6)/(B3521-Inputs!$B$6)/(1+B3521)^7</f>
        <v>-1388.737947</v>
      </c>
    </row>
    <row r="3522" ht="14.25" customHeight="1">
      <c r="A3522" s="7">
        <v>3509.0</v>
      </c>
      <c r="B3522" s="14">
        <f t="shared" si="1"/>
        <v>0.0949137472</v>
      </c>
      <c r="C3522" s="39">
        <f t="array" ref="C3522">NPV(B3522,FCFF!$C$9:$I$9)+FCFF!$B$9+FCFF!$I$9*(1+Inputs!$B$6)/(B3522-Inputs!$B$6)/(1+B3522)^7</f>
        <v>-1228.3778</v>
      </c>
    </row>
    <row r="3523" ht="14.25" customHeight="1">
      <c r="A3523" s="7">
        <v>3510.0</v>
      </c>
      <c r="B3523" s="14">
        <f t="shared" si="1"/>
        <v>0.1117156552</v>
      </c>
      <c r="C3523" s="39">
        <f t="array" ref="C3523">NPV(B3523,FCFF!$C$9:$I$9)+FCFF!$B$9+FCFF!$I$9*(1+Inputs!$B$6)/(B3523-Inputs!$B$6)/(1+B3523)^7</f>
        <v>-1667.150004</v>
      </c>
    </row>
    <row r="3524" ht="14.25" customHeight="1">
      <c r="A3524" s="7">
        <v>3511.0</v>
      </c>
      <c r="B3524" s="14">
        <f t="shared" si="1"/>
        <v>0.1293530021</v>
      </c>
      <c r="C3524" s="39">
        <f t="array" ref="C3524">NPV(B3524,FCFF!$C$9:$I$9)+FCFF!$B$9+FCFF!$I$9*(1+Inputs!$B$6)/(B3524-Inputs!$B$6)/(1+B3524)^7</f>
        <v>-1963.65022</v>
      </c>
    </row>
    <row r="3525" ht="14.25" customHeight="1">
      <c r="A3525" s="7">
        <v>3512.0</v>
      </c>
      <c r="B3525" s="14">
        <f t="shared" si="1"/>
        <v>0.1070995399</v>
      </c>
      <c r="C3525" s="39">
        <f t="array" ref="C3525">NPV(B3525,FCFF!$C$9:$I$9)+FCFF!$B$9+FCFF!$I$9*(1+Inputs!$B$6)/(B3525-Inputs!$B$6)/(1+B3525)^7</f>
        <v>-1565.977364</v>
      </c>
    </row>
    <row r="3526" ht="14.25" customHeight="1">
      <c r="A3526" s="7">
        <v>3513.0</v>
      </c>
      <c r="B3526" s="14">
        <f t="shared" si="1"/>
        <v>0.1242960686</v>
      </c>
      <c r="C3526" s="39">
        <f t="array" ref="C3526">NPV(B3526,FCFF!$C$9:$I$9)+FCFF!$B$9+FCFF!$I$9*(1+Inputs!$B$6)/(B3526-Inputs!$B$6)/(1+B3526)^7</f>
        <v>-1890.667163</v>
      </c>
    </row>
    <row r="3527" ht="14.25" customHeight="1">
      <c r="A3527" s="7">
        <v>3514.0</v>
      </c>
      <c r="B3527" s="14">
        <f t="shared" si="1"/>
        <v>0.1183060319</v>
      </c>
      <c r="C3527" s="39">
        <f t="array" ref="C3527">NPV(B3527,FCFF!$C$9:$I$9)+FCFF!$B$9+FCFF!$I$9*(1+Inputs!$B$6)/(B3527-Inputs!$B$6)/(1+B3527)^7</f>
        <v>-1792.606654</v>
      </c>
    </row>
    <row r="3528" ht="14.25" customHeight="1">
      <c r="A3528" s="7">
        <v>3515.0</v>
      </c>
      <c r="B3528" s="14">
        <f t="shared" si="1"/>
        <v>0.1058191378</v>
      </c>
      <c r="C3528" s="39">
        <f t="array" ref="C3528">NPV(B3528,FCFF!$C$9:$I$9)+FCFF!$B$9+FCFF!$I$9*(1+Inputs!$B$6)/(B3528-Inputs!$B$6)/(1+B3528)^7</f>
        <v>-1535.669081</v>
      </c>
    </row>
    <row r="3529" ht="14.25" customHeight="1">
      <c r="A3529" s="7">
        <v>3516.0</v>
      </c>
      <c r="B3529" s="14">
        <f t="shared" si="1"/>
        <v>0.117550385</v>
      </c>
      <c r="C3529" s="39">
        <f t="array" ref="C3529">NPV(B3529,FCFF!$C$9:$I$9)+FCFF!$B$9+FCFF!$I$9*(1+Inputs!$B$6)/(B3529-Inputs!$B$6)/(1+B3529)^7</f>
        <v>-1779.225446</v>
      </c>
    </row>
    <row r="3530" ht="14.25" customHeight="1">
      <c r="A3530" s="7">
        <v>3517.0</v>
      </c>
      <c r="B3530" s="14">
        <f t="shared" si="1"/>
        <v>0.1280926777</v>
      </c>
      <c r="C3530" s="39">
        <f t="array" ref="C3530">NPV(B3530,FCFF!$C$9:$I$9)+FCFF!$B$9+FCFF!$I$9*(1+Inputs!$B$6)/(B3530-Inputs!$B$6)/(1+B3530)^7</f>
        <v>-1946.21913</v>
      </c>
    </row>
    <row r="3531" ht="14.25" customHeight="1">
      <c r="A3531" s="7">
        <v>3518.0</v>
      </c>
      <c r="B3531" s="14">
        <f t="shared" si="1"/>
        <v>0.1206732986</v>
      </c>
      <c r="C3531" s="39">
        <f t="array" ref="C3531">NPV(B3531,FCFF!$C$9:$I$9)+FCFF!$B$9+FCFF!$I$9*(1+Inputs!$B$6)/(B3531-Inputs!$B$6)/(1+B3531)^7</f>
        <v>-1833.004339</v>
      </c>
    </row>
    <row r="3532" ht="14.25" customHeight="1">
      <c r="A3532" s="7">
        <v>3519.0</v>
      </c>
      <c r="B3532" s="14">
        <f t="shared" si="1"/>
        <v>0.09428358969</v>
      </c>
      <c r="C3532" s="39">
        <f t="array" ref="C3532">NPV(B3532,FCFF!$C$9:$I$9)+FCFF!$B$9+FCFF!$I$9*(1+Inputs!$B$6)/(B3532-Inputs!$B$6)/(1+B3532)^7</f>
        <v>-1207.429701</v>
      </c>
    </row>
    <row r="3533" ht="14.25" customHeight="1">
      <c r="A3533" s="7">
        <v>3520.0</v>
      </c>
      <c r="B3533" s="14">
        <f t="shared" si="1"/>
        <v>0.1206886208</v>
      </c>
      <c r="C3533" s="39">
        <f t="array" ref="C3533">NPV(B3533,FCFF!$C$9:$I$9)+FCFF!$B$9+FCFF!$I$9*(1+Inputs!$B$6)/(B3533-Inputs!$B$6)/(1+B3533)^7</f>
        <v>-1833.258546</v>
      </c>
    </row>
    <row r="3534" ht="14.25" customHeight="1">
      <c r="A3534" s="7">
        <v>3521.0</v>
      </c>
      <c r="B3534" s="14">
        <f t="shared" si="1"/>
        <v>0.09736250528</v>
      </c>
      <c r="C3534" s="39">
        <f t="array" ref="C3534">NPV(B3534,FCFF!$C$9:$I$9)+FCFF!$B$9+FCFF!$I$9*(1+Inputs!$B$6)/(B3534-Inputs!$B$6)/(1+B3534)^7</f>
        <v>-1306.080111</v>
      </c>
    </row>
    <row r="3535" ht="14.25" customHeight="1">
      <c r="A3535" s="7">
        <v>3522.0</v>
      </c>
      <c r="B3535" s="14">
        <f t="shared" si="1"/>
        <v>0.09726910875</v>
      </c>
      <c r="C3535" s="39">
        <f t="array" ref="C3535">NPV(B3535,FCFF!$C$9:$I$9)+FCFF!$B$9+FCFF!$I$9*(1+Inputs!$B$6)/(B3535-Inputs!$B$6)/(1+B3535)^7</f>
        <v>-1303.219997</v>
      </c>
    </row>
    <row r="3536" ht="14.25" customHeight="1">
      <c r="A3536" s="7">
        <v>3523.0</v>
      </c>
      <c r="B3536" s="14">
        <f t="shared" si="1"/>
        <v>0.09455519877</v>
      </c>
      <c r="C3536" s="39">
        <f t="array" ref="C3536">NPV(B3536,FCFF!$C$9:$I$9)+FCFF!$B$9+FCFF!$I$9*(1+Inputs!$B$6)/(B3536-Inputs!$B$6)/(1+B3536)^7</f>
        <v>-1216.508453</v>
      </c>
    </row>
    <row r="3537" ht="14.25" customHeight="1">
      <c r="A3537" s="7">
        <v>3524.0</v>
      </c>
      <c r="B3537" s="14">
        <f t="shared" si="1"/>
        <v>0.09656540577</v>
      </c>
      <c r="C3537" s="39">
        <f t="array" ref="C3537">NPV(B3537,FCFF!$C$9:$I$9)+FCFF!$B$9+FCFF!$I$9*(1+Inputs!$B$6)/(B3537-Inputs!$B$6)/(1+B3537)^7</f>
        <v>-1281.412548</v>
      </c>
    </row>
    <row r="3538" ht="14.25" customHeight="1">
      <c r="A3538" s="7">
        <v>3525.0</v>
      </c>
      <c r="B3538" s="14">
        <f t="shared" si="1"/>
        <v>0.1186175718</v>
      </c>
      <c r="C3538" s="39">
        <f t="array" ref="C3538">NPV(B3538,FCFF!$C$9:$I$9)+FCFF!$B$9+FCFF!$I$9*(1+Inputs!$B$6)/(B3538-Inputs!$B$6)/(1+B3538)^7</f>
        <v>-1798.053486</v>
      </c>
    </row>
    <row r="3539" ht="14.25" customHeight="1">
      <c r="A3539" s="7">
        <v>3526.0</v>
      </c>
      <c r="B3539" s="14">
        <f t="shared" si="1"/>
        <v>0.1145799112</v>
      </c>
      <c r="C3539" s="39">
        <f t="array" ref="C3539">NPV(B3539,FCFF!$C$9:$I$9)+FCFF!$B$9+FCFF!$I$9*(1+Inputs!$B$6)/(B3539-Inputs!$B$6)/(1+B3539)^7</f>
        <v>-1724.186063</v>
      </c>
    </row>
    <row r="3540" ht="14.25" customHeight="1">
      <c r="A3540" s="7">
        <v>3527.0</v>
      </c>
      <c r="B3540" s="14">
        <f t="shared" si="1"/>
        <v>0.1215936567</v>
      </c>
      <c r="C3540" s="39">
        <f t="array" ref="C3540">NPV(B3540,FCFF!$C$9:$I$9)+FCFF!$B$9+FCFF!$I$9*(1+Inputs!$B$6)/(B3540-Inputs!$B$6)/(1+B3540)^7</f>
        <v>-1848.11375</v>
      </c>
    </row>
    <row r="3541" ht="14.25" customHeight="1">
      <c r="A3541" s="7">
        <v>3528.0</v>
      </c>
      <c r="B3541" s="14">
        <f t="shared" si="1"/>
        <v>0.09654642079</v>
      </c>
      <c r="C3541" s="39">
        <f t="array" ref="C3541">NPV(B3541,FCFF!$C$9:$I$9)+FCFF!$B$9+FCFF!$I$9*(1+Inputs!$B$6)/(B3541-Inputs!$B$6)/(1+B3541)^7</f>
        <v>-1280.817835</v>
      </c>
    </row>
    <row r="3542" ht="14.25" customHeight="1">
      <c r="A3542" s="7">
        <v>3529.0</v>
      </c>
      <c r="B3542" s="14">
        <f t="shared" si="1"/>
        <v>0.1127434743</v>
      </c>
      <c r="C3542" s="39">
        <f t="array" ref="C3542">NPV(B3542,FCFF!$C$9:$I$9)+FCFF!$B$9+FCFF!$I$9*(1+Inputs!$B$6)/(B3542-Inputs!$B$6)/(1+B3542)^7</f>
        <v>-1688.089735</v>
      </c>
    </row>
    <row r="3543" ht="14.25" customHeight="1">
      <c r="A3543" s="7">
        <v>3530.0</v>
      </c>
      <c r="B3543" s="14">
        <f t="shared" si="1"/>
        <v>0.1077188949</v>
      </c>
      <c r="C3543" s="39">
        <f t="array" ref="C3543">NPV(B3543,FCFF!$C$9:$I$9)+FCFF!$B$9+FCFF!$I$9*(1+Inputs!$B$6)/(B3543-Inputs!$B$6)/(1+B3543)^7</f>
        <v>-1580.270995</v>
      </c>
    </row>
    <row r="3544" ht="14.25" customHeight="1">
      <c r="A3544" s="7">
        <v>3531.0</v>
      </c>
      <c r="B3544" s="14">
        <f t="shared" si="1"/>
        <v>0.1005351272</v>
      </c>
      <c r="C3544" s="39">
        <f t="array" ref="C3544">NPV(B3544,FCFF!$C$9:$I$9)+FCFF!$B$9+FCFF!$I$9*(1+Inputs!$B$6)/(B3544-Inputs!$B$6)/(1+B3544)^7</f>
        <v>-1398.728183</v>
      </c>
    </row>
    <row r="3545" ht="14.25" customHeight="1">
      <c r="A3545" s="7">
        <v>3532.0</v>
      </c>
      <c r="B3545" s="14">
        <f t="shared" si="1"/>
        <v>0.1240935733</v>
      </c>
      <c r="C3545" s="39">
        <f t="array" ref="C3545">NPV(B3545,FCFF!$C$9:$I$9)+FCFF!$B$9+FCFF!$I$9*(1+Inputs!$B$6)/(B3545-Inputs!$B$6)/(1+B3545)^7</f>
        <v>-1887.568963</v>
      </c>
    </row>
    <row r="3546" ht="14.25" customHeight="1">
      <c r="A3546" s="7">
        <v>3533.0</v>
      </c>
      <c r="B3546" s="14">
        <f t="shared" si="1"/>
        <v>0.09574104437</v>
      </c>
      <c r="C3546" s="39">
        <f t="array" ref="C3546">NPV(B3546,FCFF!$C$9:$I$9)+FCFF!$B$9+FCFF!$I$9*(1+Inputs!$B$6)/(B3546-Inputs!$B$6)/(1+B3546)^7</f>
        <v>-1255.273798</v>
      </c>
    </row>
    <row r="3547" ht="14.25" customHeight="1">
      <c r="A3547" s="7">
        <v>3534.0</v>
      </c>
      <c r="B3547" s="14">
        <f t="shared" si="1"/>
        <v>0.1144482908</v>
      </c>
      <c r="C3547" s="39">
        <f t="array" ref="C3547">NPV(B3547,FCFF!$C$9:$I$9)+FCFF!$B$9+FCFF!$I$9*(1+Inputs!$B$6)/(B3547-Inputs!$B$6)/(1+B3547)^7</f>
        <v>-1721.653435</v>
      </c>
    </row>
    <row r="3548" ht="14.25" customHeight="1">
      <c r="A3548" s="7">
        <v>3535.0</v>
      </c>
      <c r="B3548" s="14">
        <f t="shared" si="1"/>
        <v>0.1136446357</v>
      </c>
      <c r="C3548" s="39">
        <f t="array" ref="C3548">NPV(B3548,FCFF!$C$9:$I$9)+FCFF!$B$9+FCFF!$I$9*(1+Inputs!$B$6)/(B3548-Inputs!$B$6)/(1+B3548)^7</f>
        <v>-1706.009053</v>
      </c>
    </row>
    <row r="3549" ht="14.25" customHeight="1">
      <c r="A3549" s="7">
        <v>3536.0</v>
      </c>
      <c r="B3549" s="14">
        <f t="shared" si="1"/>
        <v>0.1003766045</v>
      </c>
      <c r="C3549" s="39">
        <f t="array" ref="C3549">NPV(B3549,FCFF!$C$9:$I$9)+FCFF!$B$9+FCFF!$I$9*(1+Inputs!$B$6)/(B3549-Inputs!$B$6)/(1+B3549)^7</f>
        <v>-1394.298172</v>
      </c>
    </row>
    <row r="3550" ht="14.25" customHeight="1">
      <c r="A3550" s="7">
        <v>3537.0</v>
      </c>
      <c r="B3550" s="14">
        <f t="shared" si="1"/>
        <v>0.1111585698</v>
      </c>
      <c r="C3550" s="39">
        <f t="array" ref="C3550">NPV(B3550,FCFF!$C$9:$I$9)+FCFF!$B$9+FCFF!$I$9*(1+Inputs!$B$6)/(B3550-Inputs!$B$6)/(1+B3550)^7</f>
        <v>-1655.570477</v>
      </c>
    </row>
    <row r="3551" ht="14.25" customHeight="1">
      <c r="A3551" s="7">
        <v>3538.0</v>
      </c>
      <c r="B3551" s="14">
        <f t="shared" si="1"/>
        <v>0.124542452</v>
      </c>
      <c r="C3551" s="39">
        <f t="array" ref="C3551">NPV(B3551,FCFF!$C$9:$I$9)+FCFF!$B$9+FCFF!$I$9*(1+Inputs!$B$6)/(B3551-Inputs!$B$6)/(1+B3551)^7</f>
        <v>-1894.417705</v>
      </c>
    </row>
    <row r="3552" ht="14.25" customHeight="1">
      <c r="A3552" s="7">
        <v>3539.0</v>
      </c>
      <c r="B3552" s="14">
        <f t="shared" si="1"/>
        <v>0.1304122586</v>
      </c>
      <c r="C3552" s="39">
        <f t="array" ref="C3552">NPV(B3552,FCFF!$C$9:$I$9)+FCFF!$B$9+FCFF!$I$9*(1+Inputs!$B$6)/(B3552-Inputs!$B$6)/(1+B3552)^7</f>
        <v>-1977.934146</v>
      </c>
    </row>
    <row r="3553" ht="14.25" customHeight="1">
      <c r="A3553" s="7">
        <v>3540.0</v>
      </c>
      <c r="B3553" s="14">
        <f t="shared" si="1"/>
        <v>0.1281289044</v>
      </c>
      <c r="C3553" s="39">
        <f t="array" ref="C3553">NPV(B3553,FCFF!$C$9:$I$9)+FCFF!$B$9+FCFF!$I$9*(1+Inputs!$B$6)/(B3553-Inputs!$B$6)/(1+B3553)^7</f>
        <v>-1946.726929</v>
      </c>
    </row>
    <row r="3554" ht="14.25" customHeight="1">
      <c r="A3554" s="7">
        <v>3541.0</v>
      </c>
      <c r="B3554" s="14">
        <f t="shared" si="1"/>
        <v>0.1033417645</v>
      </c>
      <c r="C3554" s="39">
        <f t="array" ref="C3554">NPV(B3554,FCFF!$C$9:$I$9)+FCFF!$B$9+FCFF!$I$9*(1+Inputs!$B$6)/(B3554-Inputs!$B$6)/(1+B3554)^7</f>
        <v>-1473.958805</v>
      </c>
    </row>
    <row r="3555" ht="14.25" customHeight="1">
      <c r="A3555" s="7">
        <v>3542.0</v>
      </c>
      <c r="B3555" s="14">
        <f t="shared" si="1"/>
        <v>0.1284724106</v>
      </c>
      <c r="C3555" s="39">
        <f t="array" ref="C3555">NPV(B3555,FCFF!$C$9:$I$9)+FCFF!$B$9+FCFF!$I$9*(1+Inputs!$B$6)/(B3555-Inputs!$B$6)/(1+B3555)^7</f>
        <v>-1951.521881</v>
      </c>
    </row>
    <row r="3556" ht="14.25" customHeight="1">
      <c r="A3556" s="7">
        <v>3543.0</v>
      </c>
      <c r="B3556" s="14">
        <f t="shared" si="1"/>
        <v>0.1293929812</v>
      </c>
      <c r="C3556" s="39">
        <f t="array" ref="C3556">NPV(B3556,FCFF!$C$9:$I$9)+FCFF!$B$9+FCFF!$I$9*(1+Inputs!$B$6)/(B3556-Inputs!$B$6)/(1+B3556)^7</f>
        <v>-1964.195331</v>
      </c>
    </row>
    <row r="3557" ht="14.25" customHeight="1">
      <c r="A3557" s="7">
        <v>3544.0</v>
      </c>
      <c r="B3557" s="14">
        <f t="shared" si="1"/>
        <v>0.1123571568</v>
      </c>
      <c r="C3557" s="39">
        <f t="array" ref="C3557">NPV(B3557,FCFF!$C$9:$I$9)+FCFF!$B$9+FCFF!$I$9*(1+Inputs!$B$6)/(B3557-Inputs!$B$6)/(1+B3557)^7</f>
        <v>-1680.282968</v>
      </c>
    </row>
    <row r="3558" ht="14.25" customHeight="1">
      <c r="A3558" s="7">
        <v>3545.0</v>
      </c>
      <c r="B3558" s="14">
        <f t="shared" si="1"/>
        <v>0.1261365172</v>
      </c>
      <c r="C3558" s="39">
        <f t="array" ref="C3558">NPV(B3558,FCFF!$C$9:$I$9)+FCFF!$B$9+FCFF!$I$9*(1+Inputs!$B$6)/(B3558-Inputs!$B$6)/(1+B3558)^7</f>
        <v>-1918.185661</v>
      </c>
    </row>
    <row r="3559" ht="14.25" customHeight="1">
      <c r="A3559" s="7">
        <v>3546.0</v>
      </c>
      <c r="B3559" s="14">
        <f t="shared" si="1"/>
        <v>0.1077129331</v>
      </c>
      <c r="C3559" s="39">
        <f t="array" ref="C3559">NPV(B3559,FCFF!$C$9:$I$9)+FCFF!$B$9+FCFF!$I$9*(1+Inputs!$B$6)/(B3559-Inputs!$B$6)/(1+B3559)^7</f>
        <v>-1580.13452</v>
      </c>
    </row>
    <row r="3560" ht="14.25" customHeight="1">
      <c r="A3560" s="7">
        <v>3547.0</v>
      </c>
      <c r="B3560" s="14">
        <f t="shared" si="1"/>
        <v>0.1240228721</v>
      </c>
      <c r="C3560" s="39">
        <f t="array" ref="C3560">NPV(B3560,FCFF!$C$9:$I$9)+FCFF!$B$9+FCFF!$I$9*(1+Inputs!$B$6)/(B3560-Inputs!$B$6)/(1+B3560)^7</f>
        <v>-1886.483866</v>
      </c>
    </row>
    <row r="3561" ht="14.25" customHeight="1">
      <c r="A3561" s="7">
        <v>3548.0</v>
      </c>
      <c r="B3561" s="14">
        <f t="shared" si="1"/>
        <v>0.1179597452</v>
      </c>
      <c r="C3561" s="39">
        <f t="array" ref="C3561">NPV(B3561,FCFF!$C$9:$I$9)+FCFF!$B$9+FCFF!$I$9*(1+Inputs!$B$6)/(B3561-Inputs!$B$6)/(1+B3561)^7</f>
        <v>-1786.504574</v>
      </c>
    </row>
    <row r="3562" ht="14.25" customHeight="1">
      <c r="A3562" s="7">
        <v>3549.0</v>
      </c>
      <c r="B3562" s="14">
        <f t="shared" si="1"/>
        <v>0.0934372164</v>
      </c>
      <c r="C3562" s="39">
        <f t="array" ref="C3562">NPV(B3562,FCFF!$C$9:$I$9)+FCFF!$B$9+FCFF!$I$9*(1+Inputs!$B$6)/(B3562-Inputs!$B$6)/(1+B3562)^7</f>
        <v>-1178.645093</v>
      </c>
    </row>
    <row r="3563" ht="14.25" customHeight="1">
      <c r="A3563" s="7">
        <v>3550.0</v>
      </c>
      <c r="B3563" s="14">
        <f t="shared" si="1"/>
        <v>0.1235434269</v>
      </c>
      <c r="C3563" s="39">
        <f t="array" ref="C3563">NPV(B3563,FCFF!$C$9:$I$9)+FCFF!$B$9+FCFF!$I$9*(1+Inputs!$B$6)/(B3563-Inputs!$B$6)/(1+B3563)^7</f>
        <v>-1879.079228</v>
      </c>
    </row>
    <row r="3564" ht="14.25" customHeight="1">
      <c r="A3564" s="7">
        <v>3551.0</v>
      </c>
      <c r="B3564" s="14">
        <f t="shared" si="1"/>
        <v>0.114527073</v>
      </c>
      <c r="C3564" s="39">
        <f t="array" ref="C3564">NPV(B3564,FCFF!$C$9:$I$9)+FCFF!$B$9+FCFF!$I$9*(1+Inputs!$B$6)/(B3564-Inputs!$B$6)/(1+B3564)^7</f>
        <v>-1723.170346</v>
      </c>
    </row>
    <row r="3565" ht="14.25" customHeight="1">
      <c r="A3565" s="7">
        <v>3552.0</v>
      </c>
      <c r="B3565" s="14">
        <f t="shared" si="1"/>
        <v>0.1220041588</v>
      </c>
      <c r="C3565" s="39">
        <f t="array" ref="C3565">NPV(B3565,FCFF!$C$9:$I$9)+FCFF!$B$9+FCFF!$I$9*(1+Inputs!$B$6)/(B3565-Inputs!$B$6)/(1+B3565)^7</f>
        <v>-1854.749377</v>
      </c>
    </row>
    <row r="3566" ht="14.25" customHeight="1">
      <c r="A3566" s="7">
        <v>3553.0</v>
      </c>
      <c r="B3566" s="14">
        <f t="shared" si="1"/>
        <v>0.09598130813</v>
      </c>
      <c r="C3566" s="39">
        <f t="array" ref="C3566">NPV(B3566,FCFF!$C$9:$I$9)+FCFF!$B$9+FCFF!$I$9*(1+Inputs!$B$6)/(B3566-Inputs!$B$6)/(1+B3566)^7</f>
        <v>-1262.959229</v>
      </c>
    </row>
    <row r="3567" ht="14.25" customHeight="1">
      <c r="A3567" s="7">
        <v>3554.0</v>
      </c>
      <c r="B3567" s="14">
        <f t="shared" si="1"/>
        <v>0.1320343378</v>
      </c>
      <c r="C3567" s="39">
        <f t="array" ref="C3567">NPV(B3567,FCFF!$C$9:$I$9)+FCFF!$B$9+FCFF!$I$9*(1+Inputs!$B$6)/(B3567-Inputs!$B$6)/(1+B3567)^7</f>
        <v>-1999.183729</v>
      </c>
    </row>
    <row r="3568" ht="14.25" customHeight="1">
      <c r="A3568" s="7">
        <v>3555.0</v>
      </c>
      <c r="B3568" s="14">
        <f t="shared" si="1"/>
        <v>0.1241678747</v>
      </c>
      <c r="C3568" s="39">
        <f t="array" ref="C3568">NPV(B3568,FCFF!$C$9:$I$9)+FCFF!$B$9+FCFF!$I$9*(1+Inputs!$B$6)/(B3568-Inputs!$B$6)/(1+B3568)^7</f>
        <v>-1888.707439</v>
      </c>
    </row>
    <row r="3569" ht="14.25" customHeight="1">
      <c r="A3569" s="7">
        <v>3556.0</v>
      </c>
      <c r="B3569" s="14">
        <f t="shared" si="1"/>
        <v>0.1323589654</v>
      </c>
      <c r="C3569" s="39">
        <f t="array" ref="C3569">NPV(B3569,FCFF!$C$9:$I$9)+FCFF!$B$9+FCFF!$I$9*(1+Inputs!$B$6)/(B3569-Inputs!$B$6)/(1+B3569)^7</f>
        <v>-2003.348364</v>
      </c>
    </row>
    <row r="3570" ht="14.25" customHeight="1">
      <c r="A3570" s="7">
        <v>3557.0</v>
      </c>
      <c r="B3570" s="14">
        <f t="shared" si="1"/>
        <v>0.09304851854</v>
      </c>
      <c r="C3570" s="39">
        <f t="array" ref="C3570">NPV(B3570,FCFF!$C$9:$I$9)+FCFF!$B$9+FCFF!$I$9*(1+Inputs!$B$6)/(B3570-Inputs!$B$6)/(1+B3570)^7</f>
        <v>-1165.169554</v>
      </c>
    </row>
    <row r="3571" ht="14.25" customHeight="1">
      <c r="A3571" s="7">
        <v>3558.0</v>
      </c>
      <c r="B3571" s="14">
        <f t="shared" si="1"/>
        <v>0.1199810022</v>
      </c>
      <c r="C3571" s="39">
        <f t="array" ref="C3571">NPV(B3571,FCFF!$C$9:$I$9)+FCFF!$B$9+FCFF!$I$9*(1+Inputs!$B$6)/(B3571-Inputs!$B$6)/(1+B3571)^7</f>
        <v>-1821.422811</v>
      </c>
    </row>
    <row r="3572" ht="14.25" customHeight="1">
      <c r="A3572" s="7">
        <v>3559.0</v>
      </c>
      <c r="B3572" s="14">
        <f t="shared" si="1"/>
        <v>0.1204639946</v>
      </c>
      <c r="C3572" s="39">
        <f t="array" ref="C3572">NPV(B3572,FCFF!$C$9:$I$9)+FCFF!$B$9+FCFF!$I$9*(1+Inputs!$B$6)/(B3572-Inputs!$B$6)/(1+B3572)^7</f>
        <v>-1829.522671</v>
      </c>
    </row>
    <row r="3573" ht="14.25" customHeight="1">
      <c r="A3573" s="7">
        <v>3560.0</v>
      </c>
      <c r="B3573" s="14">
        <f t="shared" si="1"/>
        <v>0.1145712086</v>
      </c>
      <c r="C3573" s="39">
        <f t="array" ref="C3573">NPV(B3573,FCFF!$C$9:$I$9)+FCFF!$B$9+FCFF!$I$9*(1+Inputs!$B$6)/(B3573-Inputs!$B$6)/(1+B3573)^7</f>
        <v>-1724.018864</v>
      </c>
    </row>
    <row r="3574" ht="14.25" customHeight="1">
      <c r="A3574" s="7">
        <v>3561.0</v>
      </c>
      <c r="B3574" s="14">
        <f t="shared" si="1"/>
        <v>0.09823100844</v>
      </c>
      <c r="C3574" s="39">
        <f t="array" ref="C3574">NPV(B3574,FCFF!$C$9:$I$9)+FCFF!$B$9+FCFF!$I$9*(1+Inputs!$B$6)/(B3574-Inputs!$B$6)/(1+B3574)^7</f>
        <v>-1332.30156</v>
      </c>
    </row>
    <row r="3575" ht="14.25" customHeight="1">
      <c r="A3575" s="7">
        <v>3562.0</v>
      </c>
      <c r="B3575" s="14">
        <f t="shared" si="1"/>
        <v>0.09986723379</v>
      </c>
      <c r="C3575" s="39">
        <f t="array" ref="C3575">NPV(B3575,FCFF!$C$9:$I$9)+FCFF!$B$9+FCFF!$I$9*(1+Inputs!$B$6)/(B3575-Inputs!$B$6)/(1+B3575)^7</f>
        <v>-1379.926445</v>
      </c>
    </row>
    <row r="3576" ht="14.25" customHeight="1">
      <c r="A3576" s="7">
        <v>3563.0</v>
      </c>
      <c r="B3576" s="14">
        <f t="shared" si="1"/>
        <v>0.1306449741</v>
      </c>
      <c r="C3576" s="39">
        <f t="array" ref="C3576">NPV(B3576,FCFF!$C$9:$I$9)+FCFF!$B$9+FCFF!$I$9*(1+Inputs!$B$6)/(B3576-Inputs!$B$6)/(1+B3576)^7</f>
        <v>-1981.02857</v>
      </c>
    </row>
    <row r="3577" ht="14.25" customHeight="1">
      <c r="A3577" s="7">
        <v>3564.0</v>
      </c>
      <c r="B3577" s="14">
        <f t="shared" si="1"/>
        <v>0.1153254199</v>
      </c>
      <c r="C3577" s="39">
        <f t="array" ref="C3577">NPV(B3577,FCFF!$C$9:$I$9)+FCFF!$B$9+FCFF!$I$9*(1+Inputs!$B$6)/(B3577-Inputs!$B$6)/(1+B3577)^7</f>
        <v>-1738.376999</v>
      </c>
    </row>
    <row r="3578" ht="14.25" customHeight="1">
      <c r="A3578" s="7">
        <v>3565.0</v>
      </c>
      <c r="B3578" s="14">
        <f t="shared" si="1"/>
        <v>0.0951985334</v>
      </c>
      <c r="C3578" s="39">
        <f t="array" ref="C3578">NPV(B3578,FCFF!$C$9:$I$9)+FCFF!$B$9+FCFF!$I$9*(1+Inputs!$B$6)/(B3578-Inputs!$B$6)/(1+B3578)^7</f>
        <v>-1237.712966</v>
      </c>
    </row>
    <row r="3579" ht="14.25" customHeight="1">
      <c r="A3579" s="7">
        <v>3566.0</v>
      </c>
      <c r="B3579" s="14">
        <f t="shared" si="1"/>
        <v>0.101511225</v>
      </c>
      <c r="C3579" s="39">
        <f t="array" ref="C3579">NPV(B3579,FCFF!$C$9:$I$9)+FCFF!$B$9+FCFF!$I$9*(1+Inputs!$B$6)/(B3579-Inputs!$B$6)/(1+B3579)^7</f>
        <v>-1425.569318</v>
      </c>
    </row>
    <row r="3580" ht="14.25" customHeight="1">
      <c r="A3580" s="7">
        <v>3567.0</v>
      </c>
      <c r="B3580" s="14">
        <f t="shared" si="1"/>
        <v>0.1154874132</v>
      </c>
      <c r="C3580" s="39">
        <f t="array" ref="C3580">NPV(B3580,FCFF!$C$9:$I$9)+FCFF!$B$9+FCFF!$I$9*(1+Inputs!$B$6)/(B3580-Inputs!$B$6)/(1+B3580)^7</f>
        <v>-1741.426343</v>
      </c>
    </row>
    <row r="3581" ht="14.25" customHeight="1">
      <c r="A3581" s="7">
        <v>3568.0</v>
      </c>
      <c r="B3581" s="14">
        <f t="shared" si="1"/>
        <v>0.1135157371</v>
      </c>
      <c r="C3581" s="39">
        <f t="array" ref="C3581">NPV(B3581,FCFF!$C$9:$I$9)+FCFF!$B$9+FCFF!$I$9*(1+Inputs!$B$6)/(B3581-Inputs!$B$6)/(1+B3581)^7</f>
        <v>-1703.470621</v>
      </c>
    </row>
    <row r="3582" ht="14.25" customHeight="1">
      <c r="A3582" s="7">
        <v>3569.0</v>
      </c>
      <c r="B3582" s="14">
        <f t="shared" si="1"/>
        <v>0.1223904892</v>
      </c>
      <c r="C3582" s="39">
        <f t="array" ref="C3582">NPV(B3582,FCFF!$C$9:$I$9)+FCFF!$B$9+FCFF!$I$9*(1+Inputs!$B$6)/(B3582-Inputs!$B$6)/(1+B3582)^7</f>
        <v>-1860.936985</v>
      </c>
    </row>
    <row r="3583" ht="14.25" customHeight="1">
      <c r="A3583" s="7">
        <v>3570.0</v>
      </c>
      <c r="B3583" s="14">
        <f t="shared" si="1"/>
        <v>0.1138666765</v>
      </c>
      <c r="C3583" s="39">
        <f t="array" ref="C3583">NPV(B3583,FCFF!$C$9:$I$9)+FCFF!$B$9+FCFF!$I$9*(1+Inputs!$B$6)/(B3583-Inputs!$B$6)/(1+B3583)^7</f>
        <v>-1710.362687</v>
      </c>
    </row>
    <row r="3584" ht="14.25" customHeight="1">
      <c r="A3584" s="7">
        <v>3571.0</v>
      </c>
      <c r="B3584" s="14">
        <f t="shared" si="1"/>
        <v>0.1268125928</v>
      </c>
      <c r="C3584" s="39">
        <f t="array" ref="C3584">NPV(B3584,FCFF!$C$9:$I$9)+FCFF!$B$9+FCFF!$I$9*(1+Inputs!$B$6)/(B3584-Inputs!$B$6)/(1+B3584)^7</f>
        <v>-1928.012434</v>
      </c>
    </row>
    <row r="3585" ht="14.25" customHeight="1">
      <c r="A3585" s="7">
        <v>3572.0</v>
      </c>
      <c r="B3585" s="14">
        <f t="shared" si="1"/>
        <v>0.1089079317</v>
      </c>
      <c r="C3585" s="39">
        <f t="array" ref="C3585">NPV(B3585,FCFF!$C$9:$I$9)+FCFF!$B$9+FCFF!$I$9*(1+Inputs!$B$6)/(B3585-Inputs!$B$6)/(1+B3585)^7</f>
        <v>-1607.066093</v>
      </c>
    </row>
    <row r="3586" ht="14.25" customHeight="1">
      <c r="A3586" s="7">
        <v>3573.0</v>
      </c>
      <c r="B3586" s="14">
        <f t="shared" si="1"/>
        <v>0.0948245397</v>
      </c>
      <c r="C3586" s="39">
        <f t="array" ref="C3586">NPV(B3586,FCFF!$C$9:$I$9)+FCFF!$B$9+FCFF!$I$9*(1+Inputs!$B$6)/(B3586-Inputs!$B$6)/(1+B3586)^7</f>
        <v>-1225.436864</v>
      </c>
    </row>
    <row r="3587" ht="14.25" customHeight="1">
      <c r="A3587" s="7">
        <v>3574.0</v>
      </c>
      <c r="B3587" s="14">
        <f t="shared" si="1"/>
        <v>0.1225223493</v>
      </c>
      <c r="C3587" s="39">
        <f t="array" ref="C3587">NPV(B3587,FCFF!$C$9:$I$9)+FCFF!$B$9+FCFF!$I$9*(1+Inputs!$B$6)/(B3587-Inputs!$B$6)/(1+B3587)^7</f>
        <v>-1863.036311</v>
      </c>
    </row>
    <row r="3588" ht="14.25" customHeight="1">
      <c r="A3588" s="7">
        <v>3575.0</v>
      </c>
      <c r="B3588" s="14">
        <f t="shared" si="1"/>
        <v>0.1013078347</v>
      </c>
      <c r="C3588" s="39">
        <f t="array" ref="C3588">NPV(B3588,FCFF!$C$9:$I$9)+FCFF!$B$9+FCFF!$I$9*(1+Inputs!$B$6)/(B3588-Inputs!$B$6)/(1+B3588)^7</f>
        <v>-1420.037586</v>
      </c>
    </row>
    <row r="3589" ht="14.25" customHeight="1">
      <c r="A3589" s="7">
        <v>3576.0</v>
      </c>
      <c r="B3589" s="14">
        <f t="shared" si="1"/>
        <v>0.09356347177</v>
      </c>
      <c r="C3589" s="39">
        <f t="array" ref="C3589">NPV(B3589,FCFF!$C$9:$I$9)+FCFF!$B$9+FCFF!$I$9*(1+Inputs!$B$6)/(B3589-Inputs!$B$6)/(1+B3589)^7</f>
        <v>-1182.987105</v>
      </c>
    </row>
    <row r="3590" ht="14.25" customHeight="1">
      <c r="A3590" s="7">
        <v>3577.0</v>
      </c>
      <c r="B3590" s="14">
        <f t="shared" si="1"/>
        <v>0.1067193436</v>
      </c>
      <c r="C3590" s="39">
        <f t="array" ref="C3590">NPV(B3590,FCFF!$C$9:$I$9)+FCFF!$B$9+FCFF!$I$9*(1+Inputs!$B$6)/(B3590-Inputs!$B$6)/(1+B3590)^7</f>
        <v>-1557.085866</v>
      </c>
    </row>
    <row r="3591" ht="14.25" customHeight="1">
      <c r="A3591" s="7">
        <v>3578.0</v>
      </c>
      <c r="B3591" s="14">
        <f t="shared" si="1"/>
        <v>0.1167635876</v>
      </c>
      <c r="C3591" s="39">
        <f t="array" ref="C3591">NPV(B3591,FCFF!$C$9:$I$9)+FCFF!$B$9+FCFF!$I$9*(1+Inputs!$B$6)/(B3591-Inputs!$B$6)/(1+B3591)^7</f>
        <v>-1765.031837</v>
      </c>
    </row>
    <row r="3592" ht="14.25" customHeight="1">
      <c r="A3592" s="7">
        <v>3579.0</v>
      </c>
      <c r="B3592" s="14">
        <f t="shared" si="1"/>
        <v>0.09696676441</v>
      </c>
      <c r="C3592" s="39">
        <f t="array" ref="C3592">NPV(B3592,FCFF!$C$9:$I$9)+FCFF!$B$9+FCFF!$I$9*(1+Inputs!$B$6)/(B3592-Inputs!$B$6)/(1+B3592)^7</f>
        <v>-1293.906541</v>
      </c>
    </row>
    <row r="3593" ht="14.25" customHeight="1">
      <c r="A3593" s="7">
        <v>3580.0</v>
      </c>
      <c r="B3593" s="14">
        <f t="shared" si="1"/>
        <v>0.1226430435</v>
      </c>
      <c r="C3593" s="39">
        <f t="array" ref="C3593">NPV(B3593,FCFF!$C$9:$I$9)+FCFF!$B$9+FCFF!$I$9*(1+Inputs!$B$6)/(B3593-Inputs!$B$6)/(1+B3593)^7</f>
        <v>-1864.952286</v>
      </c>
    </row>
    <row r="3594" ht="14.25" customHeight="1">
      <c r="A3594" s="7">
        <v>3581.0</v>
      </c>
      <c r="B3594" s="14">
        <f t="shared" si="1"/>
        <v>0.1003866959</v>
      </c>
      <c r="C3594" s="39">
        <f t="array" ref="C3594">NPV(B3594,FCFF!$C$9:$I$9)+FCFF!$B$9+FCFF!$I$9*(1+Inputs!$B$6)/(B3594-Inputs!$B$6)/(1+B3594)^7</f>
        <v>-1394.580782</v>
      </c>
    </row>
    <row r="3595" ht="14.25" customHeight="1">
      <c r="A3595" s="7">
        <v>3582.0</v>
      </c>
      <c r="B3595" s="14">
        <f t="shared" si="1"/>
        <v>0.124629625</v>
      </c>
      <c r="C3595" s="39">
        <f t="array" ref="C3595">NPV(B3595,FCFF!$C$9:$I$9)+FCFF!$B$9+FCFF!$I$9*(1+Inputs!$B$6)/(B3595-Inputs!$B$6)/(1+B3595)^7</f>
        <v>-1895.739679</v>
      </c>
    </row>
    <row r="3596" ht="14.25" customHeight="1">
      <c r="A3596" s="7">
        <v>3583.0</v>
      </c>
      <c r="B3596" s="14">
        <f t="shared" si="1"/>
        <v>0.09832646142</v>
      </c>
      <c r="C3596" s="39">
        <f t="array" ref="C3596">NPV(B3596,FCFF!$C$9:$I$9)+FCFF!$B$9+FCFF!$I$9*(1+Inputs!$B$6)/(B3596-Inputs!$B$6)/(1+B3596)^7</f>
        <v>-1335.142729</v>
      </c>
    </row>
    <row r="3597" ht="14.25" customHeight="1">
      <c r="A3597" s="7">
        <v>3584.0</v>
      </c>
      <c r="B3597" s="14">
        <f t="shared" si="1"/>
        <v>0.1089022872</v>
      </c>
      <c r="C3597" s="39">
        <f t="array" ref="C3597">NPV(B3597,FCFF!$C$9:$I$9)+FCFF!$B$9+FCFF!$I$9*(1+Inputs!$B$6)/(B3597-Inputs!$B$6)/(1+B3597)^7</f>
        <v>-1606.940855</v>
      </c>
    </row>
    <row r="3598" ht="14.25" customHeight="1">
      <c r="A3598" s="7">
        <v>3585.0</v>
      </c>
      <c r="B3598" s="14">
        <f t="shared" si="1"/>
        <v>0.09485621943</v>
      </c>
      <c r="C3598" s="39">
        <f t="array" ref="C3598">NPV(B3598,FCFF!$C$9:$I$9)+FCFF!$B$9+FCFF!$I$9*(1+Inputs!$B$6)/(B3598-Inputs!$B$6)/(1+B3598)^7</f>
        <v>-1226.482181</v>
      </c>
    </row>
    <row r="3599" ht="14.25" customHeight="1">
      <c r="A3599" s="7">
        <v>3586.0</v>
      </c>
      <c r="B3599" s="14">
        <f t="shared" si="1"/>
        <v>0.09522084567</v>
      </c>
      <c r="C3599" s="39">
        <f t="array" ref="C3599">NPV(B3599,FCFF!$C$9:$I$9)+FCFF!$B$9+FCFF!$I$9*(1+Inputs!$B$6)/(B3599-Inputs!$B$6)/(1+B3599)^7</f>
        <v>-1238.440932</v>
      </c>
    </row>
    <row r="3600" ht="14.25" customHeight="1">
      <c r="A3600" s="7">
        <v>3587.0</v>
      </c>
      <c r="B3600" s="14">
        <f t="shared" si="1"/>
        <v>0.1028122742</v>
      </c>
      <c r="C3600" s="39">
        <f t="array" ref="C3600">NPV(B3600,FCFF!$C$9:$I$9)+FCFF!$B$9+FCFF!$I$9*(1+Inputs!$B$6)/(B3600-Inputs!$B$6)/(1+B3600)^7</f>
        <v>-1460.215367</v>
      </c>
    </row>
    <row r="3601" ht="14.25" customHeight="1">
      <c r="A3601" s="7">
        <v>3588.0</v>
      </c>
      <c r="B3601" s="14">
        <f t="shared" si="1"/>
        <v>0.1291377886</v>
      </c>
      <c r="C3601" s="39">
        <f t="array" ref="C3601">NPV(B3601,FCFF!$C$9:$I$9)+FCFF!$B$9+FCFF!$I$9*(1+Inputs!$B$6)/(B3601-Inputs!$B$6)/(1+B3601)^7</f>
        <v>-1960.707629</v>
      </c>
    </row>
    <row r="3602" ht="14.25" customHeight="1">
      <c r="A3602" s="7">
        <v>3589.0</v>
      </c>
      <c r="B3602" s="14">
        <f t="shared" si="1"/>
        <v>0.121953559</v>
      </c>
      <c r="C3602" s="39">
        <f t="array" ref="C3602">NPV(B3602,FCFF!$C$9:$I$9)+FCFF!$B$9+FCFF!$I$9*(1+Inputs!$B$6)/(B3602-Inputs!$B$6)/(1+B3602)^7</f>
        <v>-1853.934854</v>
      </c>
    </row>
    <row r="3603" ht="14.25" customHeight="1">
      <c r="A3603" s="7">
        <v>3590.0</v>
      </c>
      <c r="B3603" s="14">
        <f t="shared" si="1"/>
        <v>0.1045804545</v>
      </c>
      <c r="C3603" s="39">
        <f t="array" ref="C3603">NPV(B3603,FCFF!$C$9:$I$9)+FCFF!$B$9+FCFF!$I$9*(1+Inputs!$B$6)/(B3603-Inputs!$B$6)/(1+B3603)^7</f>
        <v>-1505.335988</v>
      </c>
    </row>
    <row r="3604" ht="14.25" customHeight="1">
      <c r="A3604" s="7">
        <v>3591.0</v>
      </c>
      <c r="B3604" s="14">
        <f t="shared" si="1"/>
        <v>0.132883922</v>
      </c>
      <c r="C3604" s="39">
        <f t="array" ref="C3604">NPV(B3604,FCFF!$C$9:$I$9)+FCFF!$B$9+FCFF!$I$9*(1+Inputs!$B$6)/(B3604-Inputs!$B$6)/(1+B3604)^7</f>
        <v>-2010.022325</v>
      </c>
    </row>
    <row r="3605" ht="14.25" customHeight="1">
      <c r="A3605" s="7">
        <v>3592.0</v>
      </c>
      <c r="B3605" s="14">
        <f t="shared" si="1"/>
        <v>0.11103671</v>
      </c>
      <c r="C3605" s="39">
        <f t="array" ref="C3605">NPV(B3605,FCFF!$C$9:$I$9)+FCFF!$B$9+FCFF!$I$9*(1+Inputs!$B$6)/(B3605-Inputs!$B$6)/(1+B3605)^7</f>
        <v>-1653.015517</v>
      </c>
    </row>
    <row r="3606" ht="14.25" customHeight="1">
      <c r="A3606" s="7">
        <v>3593.0</v>
      </c>
      <c r="B3606" s="14">
        <f t="shared" si="1"/>
        <v>0.09806083012</v>
      </c>
      <c r="C3606" s="39">
        <f t="array" ref="C3606">NPV(B3606,FCFF!$C$9:$I$9)+FCFF!$B$9+FCFF!$I$9*(1+Inputs!$B$6)/(B3606-Inputs!$B$6)/(1+B3606)^7</f>
        <v>-1327.216378</v>
      </c>
    </row>
    <row r="3607" ht="14.25" customHeight="1">
      <c r="A3607" s="7">
        <v>3594.0</v>
      </c>
      <c r="B3607" s="14">
        <f t="shared" si="1"/>
        <v>0.1147953265</v>
      </c>
      <c r="C3607" s="39">
        <f t="array" ref="C3607">NPV(B3607,FCFF!$C$9:$I$9)+FCFF!$B$9+FCFF!$I$9*(1+Inputs!$B$6)/(B3607-Inputs!$B$6)/(1+B3607)^7</f>
        <v>-1728.313345</v>
      </c>
    </row>
    <row r="3608" ht="14.25" customHeight="1">
      <c r="A3608" s="7">
        <v>3595.0</v>
      </c>
      <c r="B3608" s="14">
        <f t="shared" si="1"/>
        <v>0.09730928381</v>
      </c>
      <c r="C3608" s="39">
        <f t="array" ref="C3608">NPV(B3608,FCFF!$C$9:$I$9)+FCFF!$B$9+FCFF!$I$9*(1+Inputs!$B$6)/(B3608-Inputs!$B$6)/(1+B3608)^7</f>
        <v>-1304.451264</v>
      </c>
    </row>
    <row r="3609" ht="14.25" customHeight="1">
      <c r="A3609" s="7">
        <v>3596.0</v>
      </c>
      <c r="B3609" s="14">
        <f t="shared" si="1"/>
        <v>0.1253287324</v>
      </c>
      <c r="C3609" s="39">
        <f t="array" ref="C3609">NPV(B3609,FCFF!$C$9:$I$9)+FCFF!$B$9+FCFF!$I$9*(1+Inputs!$B$6)/(B3609-Inputs!$B$6)/(1+B3609)^7</f>
        <v>-1906.247941</v>
      </c>
    </row>
    <row r="3610" ht="14.25" customHeight="1">
      <c r="A3610" s="7">
        <v>3597.0</v>
      </c>
      <c r="B3610" s="14">
        <f t="shared" si="1"/>
        <v>0.1065459026</v>
      </c>
      <c r="C3610" s="39">
        <f t="array" ref="C3610">NPV(B3610,FCFF!$C$9:$I$9)+FCFF!$B$9+FCFF!$I$9*(1+Inputs!$B$6)/(B3610-Inputs!$B$6)/(1+B3610)^7</f>
        <v>-1552.999619</v>
      </c>
    </row>
    <row r="3611" ht="14.25" customHeight="1">
      <c r="A3611" s="7">
        <v>3598.0</v>
      </c>
      <c r="B3611" s="14">
        <f t="shared" si="1"/>
        <v>0.1255311356</v>
      </c>
      <c r="C3611" s="39">
        <f t="array" ref="C3611">NPV(B3611,FCFF!$C$9:$I$9)+FCFF!$B$9+FCFF!$I$9*(1+Inputs!$B$6)/(B3611-Inputs!$B$6)/(1+B3611)^7</f>
        <v>-1909.259478</v>
      </c>
    </row>
    <row r="3612" ht="14.25" customHeight="1">
      <c r="A3612" s="7">
        <v>3599.0</v>
      </c>
      <c r="B3612" s="14">
        <f t="shared" si="1"/>
        <v>0.1297751093</v>
      </c>
      <c r="C3612" s="39">
        <f t="array" ref="C3612">NPV(B3612,FCFF!$C$9:$I$9)+FCFF!$B$9+FCFF!$I$9*(1+Inputs!$B$6)/(B3612-Inputs!$B$6)/(1+B3612)^7</f>
        <v>-1969.381709</v>
      </c>
    </row>
    <row r="3613" ht="14.25" customHeight="1">
      <c r="A3613" s="7">
        <v>3600.0</v>
      </c>
      <c r="B3613" s="14">
        <f t="shared" si="1"/>
        <v>0.1008343092</v>
      </c>
      <c r="C3613" s="39">
        <f t="array" ref="C3613">NPV(B3613,FCFF!$C$9:$I$9)+FCFF!$B$9+FCFF!$I$9*(1+Inputs!$B$6)/(B3613-Inputs!$B$6)/(1+B3613)^7</f>
        <v>-1407.034543</v>
      </c>
    </row>
    <row r="3614" ht="14.25" customHeight="1">
      <c r="A3614" s="7">
        <v>3601.0</v>
      </c>
      <c r="B3614" s="14">
        <f t="shared" si="1"/>
        <v>0.09885489578</v>
      </c>
      <c r="C3614" s="39">
        <f t="array" ref="C3614">NPV(B3614,FCFF!$C$9:$I$9)+FCFF!$B$9+FCFF!$I$9*(1+Inputs!$B$6)/(B3614-Inputs!$B$6)/(1+B3614)^7</f>
        <v>-1350.728775</v>
      </c>
    </row>
    <row r="3615" ht="14.25" customHeight="1">
      <c r="A3615" s="7">
        <v>3602.0</v>
      </c>
      <c r="B3615" s="14">
        <f t="shared" si="1"/>
        <v>0.103037153</v>
      </c>
      <c r="C3615" s="39">
        <f t="array" ref="C3615">NPV(B3615,FCFF!$C$9:$I$9)+FCFF!$B$9+FCFF!$I$9*(1+Inputs!$B$6)/(B3615-Inputs!$B$6)/(1+B3615)^7</f>
        <v>-1466.077014</v>
      </c>
    </row>
    <row r="3616" ht="14.25" customHeight="1">
      <c r="A3616" s="7">
        <v>3603.0</v>
      </c>
      <c r="B3616" s="14">
        <f t="shared" si="1"/>
        <v>0.1241766961</v>
      </c>
      <c r="C3616" s="39">
        <f t="array" ref="C3616">NPV(B3616,FCFF!$C$9:$I$9)+FCFF!$B$9+FCFF!$I$9*(1+Inputs!$B$6)/(B3616-Inputs!$B$6)/(1+B3616)^7</f>
        <v>-1888.842476</v>
      </c>
    </row>
    <row r="3617" ht="14.25" customHeight="1">
      <c r="A3617" s="7">
        <v>3604.0</v>
      </c>
      <c r="B3617" s="14">
        <f t="shared" si="1"/>
        <v>0.1289485327</v>
      </c>
      <c r="C3617" s="39">
        <f t="array" ref="C3617">NPV(B3617,FCFF!$C$9:$I$9)+FCFF!$B$9+FCFF!$I$9*(1+Inputs!$B$6)/(B3617-Inputs!$B$6)/(1+B3617)^7</f>
        <v>-1958.108498</v>
      </c>
    </row>
    <row r="3618" ht="14.25" customHeight="1">
      <c r="A3618" s="7">
        <v>3605.0</v>
      </c>
      <c r="B3618" s="14">
        <f t="shared" si="1"/>
        <v>0.121520089</v>
      </c>
      <c r="C3618" s="39">
        <f t="array" ref="C3618">NPV(B3618,FCFF!$C$9:$I$9)+FCFF!$B$9+FCFF!$I$9*(1+Inputs!$B$6)/(B3618-Inputs!$B$6)/(1+B3618)^7</f>
        <v>-1846.917865</v>
      </c>
    </row>
    <row r="3619" ht="14.25" customHeight="1">
      <c r="A3619" s="7">
        <v>3606.0</v>
      </c>
      <c r="B3619" s="14">
        <f t="shared" si="1"/>
        <v>0.113726433</v>
      </c>
      <c r="C3619" s="39">
        <f t="array" ref="C3619">NPV(B3619,FCFF!$C$9:$I$9)+FCFF!$B$9+FCFF!$I$9*(1+Inputs!$B$6)/(B3619-Inputs!$B$6)/(1+B3619)^7</f>
        <v>-1707.615682</v>
      </c>
    </row>
    <row r="3620" ht="14.25" customHeight="1">
      <c r="A3620" s="7">
        <v>3607.0</v>
      </c>
      <c r="B3620" s="14">
        <f t="shared" si="1"/>
        <v>0.1033113804</v>
      </c>
      <c r="C3620" s="39">
        <f t="array" ref="C3620">NPV(B3620,FCFF!$C$9:$I$9)+FCFF!$B$9+FCFF!$I$9*(1+Inputs!$B$6)/(B3620-Inputs!$B$6)/(1+B3620)^7</f>
        <v>-1473.175605</v>
      </c>
    </row>
    <row r="3621" ht="14.25" customHeight="1">
      <c r="A3621" s="7">
        <v>3608.0</v>
      </c>
      <c r="B3621" s="14">
        <f t="shared" si="1"/>
        <v>0.109295237</v>
      </c>
      <c r="C3621" s="39">
        <f t="array" ref="C3621">NPV(B3621,FCFF!$C$9:$I$9)+FCFF!$B$9+FCFF!$I$9*(1+Inputs!$B$6)/(B3621-Inputs!$B$6)/(1+B3621)^7</f>
        <v>-1615.615546</v>
      </c>
    </row>
    <row r="3622" ht="14.25" customHeight="1">
      <c r="A3622" s="7">
        <v>3609.0</v>
      </c>
      <c r="B3622" s="14">
        <f t="shared" si="1"/>
        <v>0.1218432539</v>
      </c>
      <c r="C3622" s="39">
        <f t="array" ref="C3622">NPV(B3622,FCFF!$C$9:$I$9)+FCFF!$B$9+FCFF!$I$9*(1+Inputs!$B$6)/(B3622-Inputs!$B$6)/(1+B3622)^7</f>
        <v>-1852.155922</v>
      </c>
    </row>
    <row r="3623" ht="14.25" customHeight="1">
      <c r="A3623" s="7">
        <v>3610.0</v>
      </c>
      <c r="B3623" s="14">
        <f t="shared" si="1"/>
        <v>0.1077574084</v>
      </c>
      <c r="C3623" s="39">
        <f t="array" ref="C3623">NPV(B3623,FCFF!$C$9:$I$9)+FCFF!$B$9+FCFF!$I$9*(1+Inputs!$B$6)/(B3623-Inputs!$B$6)/(1+B3623)^7</f>
        <v>-1581.152102</v>
      </c>
    </row>
    <row r="3624" ht="14.25" customHeight="1">
      <c r="A3624" s="7">
        <v>3611.0</v>
      </c>
      <c r="B3624" s="14">
        <f t="shared" si="1"/>
        <v>0.121333509</v>
      </c>
      <c r="C3624" s="39">
        <f t="array" ref="C3624">NPV(B3624,FCFF!$C$9:$I$9)+FCFF!$B$9+FCFF!$I$9*(1+Inputs!$B$6)/(B3624-Inputs!$B$6)/(1+B3624)^7</f>
        <v>-1843.875716</v>
      </c>
    </row>
    <row r="3625" ht="14.25" customHeight="1">
      <c r="A3625" s="7">
        <v>3612.0</v>
      </c>
      <c r="B3625" s="14">
        <f t="shared" si="1"/>
        <v>0.1097312684</v>
      </c>
      <c r="C3625" s="39">
        <f t="array" ref="C3625">NPV(B3625,FCFF!$C$9:$I$9)+FCFF!$B$9+FCFF!$I$9*(1+Inputs!$B$6)/(B3625-Inputs!$B$6)/(1+B3625)^7</f>
        <v>-1625.138141</v>
      </c>
    </row>
    <row r="3626" ht="14.25" customHeight="1">
      <c r="A3626" s="7">
        <v>3613.0</v>
      </c>
      <c r="B3626" s="14">
        <f t="shared" si="1"/>
        <v>0.09677223439</v>
      </c>
      <c r="C3626" s="39">
        <f t="array" ref="C3626">NPV(B3626,FCFF!$C$9:$I$9)+FCFF!$B$9+FCFF!$I$9*(1+Inputs!$B$6)/(B3626-Inputs!$B$6)/(1+B3626)^7</f>
        <v>-1287.869685</v>
      </c>
    </row>
    <row r="3627" ht="14.25" customHeight="1">
      <c r="A3627" s="7">
        <v>3614.0</v>
      </c>
      <c r="B3627" s="14">
        <f t="shared" si="1"/>
        <v>0.1126132358</v>
      </c>
      <c r="C3627" s="39">
        <f t="array" ref="C3627">NPV(B3627,FCFF!$C$9:$I$9)+FCFF!$B$9+FCFF!$I$9*(1+Inputs!$B$6)/(B3627-Inputs!$B$6)/(1+B3627)^7</f>
        <v>-1685.466334</v>
      </c>
    </row>
    <row r="3628" ht="14.25" customHeight="1">
      <c r="A3628" s="7">
        <v>3615.0</v>
      </c>
      <c r="B3628" s="14">
        <f t="shared" si="1"/>
        <v>0.1302113759</v>
      </c>
      <c r="C3628" s="39">
        <f t="array" ref="C3628">NPV(B3628,FCFF!$C$9:$I$9)+FCFF!$B$9+FCFF!$I$9*(1+Inputs!$B$6)/(B3628-Inputs!$B$6)/(1+B3628)^7</f>
        <v>-1975.250445</v>
      </c>
    </row>
    <row r="3629" ht="14.25" customHeight="1">
      <c r="A3629" s="7">
        <v>3616.0</v>
      </c>
      <c r="B3629" s="14">
        <f t="shared" si="1"/>
        <v>0.1115761619</v>
      </c>
      <c r="C3629" s="39">
        <f t="array" ref="C3629">NPV(B3629,FCFF!$C$9:$I$9)+FCFF!$B$9+FCFF!$I$9*(1+Inputs!$B$6)/(B3629-Inputs!$B$6)/(1+B3629)^7</f>
        <v>-1664.265893</v>
      </c>
    </row>
    <row r="3630" ht="14.25" customHeight="1">
      <c r="A3630" s="7">
        <v>3617.0</v>
      </c>
      <c r="B3630" s="14">
        <f t="shared" si="1"/>
        <v>0.1074964005</v>
      </c>
      <c r="C3630" s="39">
        <f t="array" ref="C3630">NPV(B3630,FCFF!$C$9:$I$9)+FCFF!$B$9+FCFF!$I$9*(1+Inputs!$B$6)/(B3630-Inputs!$B$6)/(1+B3630)^7</f>
        <v>-1575.163193</v>
      </c>
    </row>
    <row r="3631" ht="14.25" customHeight="1">
      <c r="A3631" s="7">
        <v>3618.0</v>
      </c>
      <c r="B3631" s="14">
        <f t="shared" si="1"/>
        <v>0.1274955455</v>
      </c>
      <c r="C3631" s="39">
        <f t="array" ref="C3631">NPV(B3631,FCFF!$C$9:$I$9)+FCFF!$B$9+FCFF!$I$9*(1+Inputs!$B$6)/(B3631-Inputs!$B$6)/(1+B3631)^7</f>
        <v>-1937.790256</v>
      </c>
    </row>
    <row r="3632" ht="14.25" customHeight="1">
      <c r="A3632" s="7">
        <v>3619.0</v>
      </c>
      <c r="B3632" s="14">
        <f t="shared" si="1"/>
        <v>0.1165594063</v>
      </c>
      <c r="C3632" s="39">
        <f t="array" ref="C3632">NPV(B3632,FCFF!$C$9:$I$9)+FCFF!$B$9+FCFF!$I$9*(1+Inputs!$B$6)/(B3632-Inputs!$B$6)/(1+B3632)^7</f>
        <v>-1761.304139</v>
      </c>
    </row>
    <row r="3633" ht="14.25" customHeight="1">
      <c r="A3633" s="7">
        <v>3620.0</v>
      </c>
      <c r="B3633" s="14">
        <f t="shared" si="1"/>
        <v>0.1048877906</v>
      </c>
      <c r="C3633" s="39">
        <f t="array" ref="C3633">NPV(B3633,FCFF!$C$9:$I$9)+FCFF!$B$9+FCFF!$I$9*(1+Inputs!$B$6)/(B3633-Inputs!$B$6)/(1+B3633)^7</f>
        <v>-1512.957554</v>
      </c>
    </row>
    <row r="3634" ht="14.25" customHeight="1">
      <c r="A3634" s="7">
        <v>3621.0</v>
      </c>
      <c r="B3634" s="14">
        <f t="shared" si="1"/>
        <v>0.126544435</v>
      </c>
      <c r="C3634" s="39">
        <f t="array" ref="C3634">NPV(B3634,FCFF!$C$9:$I$9)+FCFF!$B$9+FCFF!$I$9*(1+Inputs!$B$6)/(B3634-Inputs!$B$6)/(1+B3634)^7</f>
        <v>-1924.132472</v>
      </c>
    </row>
    <row r="3635" ht="14.25" customHeight="1">
      <c r="A3635" s="7">
        <v>3622.0</v>
      </c>
      <c r="B3635" s="14">
        <f t="shared" si="1"/>
        <v>0.116419542</v>
      </c>
      <c r="C3635" s="39">
        <f t="array" ref="C3635">NPV(B3635,FCFF!$C$9:$I$9)+FCFF!$B$9+FCFF!$I$9*(1+Inputs!$B$6)/(B3635-Inputs!$B$6)/(1+B3635)^7</f>
        <v>-1758.739989</v>
      </c>
    </row>
    <row r="3636" ht="14.25" customHeight="1">
      <c r="A3636" s="7">
        <v>3623.0</v>
      </c>
      <c r="B3636" s="14">
        <f t="shared" si="1"/>
        <v>0.1176016975</v>
      </c>
      <c r="C3636" s="39">
        <f t="array" ref="C3636">NPV(B3636,FCFF!$C$9:$I$9)+FCFF!$B$9+FCFF!$I$9*(1+Inputs!$B$6)/(B3636-Inputs!$B$6)/(1+B3636)^7</f>
        <v>-1780.141796</v>
      </c>
    </row>
    <row r="3637" ht="14.25" customHeight="1">
      <c r="A3637" s="7">
        <v>3624.0</v>
      </c>
      <c r="B3637" s="14">
        <f t="shared" si="1"/>
        <v>0.1087998463</v>
      </c>
      <c r="C3637" s="39">
        <f t="array" ref="C3637">NPV(B3637,FCFF!$C$9:$I$9)+FCFF!$B$9+FCFF!$I$9*(1+Inputs!$B$6)/(B3637-Inputs!$B$6)/(1+B3637)^7</f>
        <v>-1604.664741</v>
      </c>
    </row>
    <row r="3638" ht="14.25" customHeight="1">
      <c r="A3638" s="7">
        <v>3625.0</v>
      </c>
      <c r="B3638" s="14">
        <f t="shared" si="1"/>
        <v>0.09467570412</v>
      </c>
      <c r="C3638" s="39">
        <f t="array" ref="C3638">NPV(B3638,FCFF!$C$9:$I$9)+FCFF!$B$9+FCFF!$I$9*(1+Inputs!$B$6)/(B3638-Inputs!$B$6)/(1+B3638)^7</f>
        <v>-1220.51222</v>
      </c>
    </row>
    <row r="3639" ht="14.25" customHeight="1">
      <c r="A3639" s="7">
        <v>3626.0</v>
      </c>
      <c r="B3639" s="14">
        <f t="shared" si="1"/>
        <v>0.1012177602</v>
      </c>
      <c r="C3639" s="39">
        <f t="array" ref="C3639">NPV(B3639,FCFF!$C$9:$I$9)+FCFF!$B$9+FCFF!$I$9*(1+Inputs!$B$6)/(B3639-Inputs!$B$6)/(1+B3639)^7</f>
        <v>-1417.577577</v>
      </c>
    </row>
    <row r="3640" ht="14.25" customHeight="1">
      <c r="A3640" s="7">
        <v>3627.0</v>
      </c>
      <c r="B3640" s="14">
        <f t="shared" si="1"/>
        <v>0.09365583417</v>
      </c>
      <c r="C3640" s="39">
        <f t="array" ref="C3640">NPV(B3640,FCFF!$C$9:$I$9)+FCFF!$B$9+FCFF!$I$9*(1+Inputs!$B$6)/(B3640-Inputs!$B$6)/(1+B3640)^7</f>
        <v>-1186.152722</v>
      </c>
    </row>
    <row r="3641" ht="14.25" customHeight="1">
      <c r="A3641" s="7">
        <v>3628.0</v>
      </c>
      <c r="B3641" s="14">
        <f t="shared" si="1"/>
        <v>0.09838234074</v>
      </c>
      <c r="C3641" s="39">
        <f t="array" ref="C3641">NPV(B3641,FCFF!$C$9:$I$9)+FCFF!$B$9+FCFF!$I$9*(1+Inputs!$B$6)/(B3641-Inputs!$B$6)/(1+B3641)^7</f>
        <v>-1336.802295</v>
      </c>
    </row>
    <row r="3642" ht="14.25" customHeight="1">
      <c r="A3642" s="7">
        <v>3629.0</v>
      </c>
      <c r="B3642" s="14">
        <f t="shared" si="1"/>
        <v>0.1016142871</v>
      </c>
      <c r="C3642" s="39">
        <f t="array" ref="C3642">NPV(B3642,FCFF!$C$9:$I$9)+FCFF!$B$9+FCFF!$I$9*(1+Inputs!$B$6)/(B3642-Inputs!$B$6)/(1+B3642)^7</f>
        <v>-1428.360243</v>
      </c>
    </row>
    <row r="3643" ht="14.25" customHeight="1">
      <c r="A3643" s="7">
        <v>3630.0</v>
      </c>
      <c r="B3643" s="14">
        <f t="shared" si="1"/>
        <v>0.0952300291</v>
      </c>
      <c r="C3643" s="39">
        <f t="array" ref="C3643">NPV(B3643,FCFF!$C$9:$I$9)+FCFF!$B$9+FCFF!$I$9*(1+Inputs!$B$6)/(B3643-Inputs!$B$6)/(1+B3643)^7</f>
        <v>-1238.740408</v>
      </c>
    </row>
    <row r="3644" ht="14.25" customHeight="1">
      <c r="A3644" s="7">
        <v>3631.0</v>
      </c>
      <c r="B3644" s="14">
        <f t="shared" si="1"/>
        <v>0.1094086989</v>
      </c>
      <c r="C3644" s="39">
        <f t="array" ref="C3644">NPV(B3644,FCFF!$C$9:$I$9)+FCFF!$B$9+FCFF!$I$9*(1+Inputs!$B$6)/(B3644-Inputs!$B$6)/(1+B3644)^7</f>
        <v>-1618.103849</v>
      </c>
    </row>
    <row r="3645" ht="14.25" customHeight="1">
      <c r="A3645" s="7">
        <v>3632.0</v>
      </c>
      <c r="B3645" s="14">
        <f t="shared" si="1"/>
        <v>0.1021816197</v>
      </c>
      <c r="C3645" s="39">
        <f t="array" ref="C3645">NPV(B3645,FCFF!$C$9:$I$9)+FCFF!$B$9+FCFF!$I$9*(1+Inputs!$B$6)/(B3645-Inputs!$B$6)/(1+B3645)^7</f>
        <v>-1443.57935</v>
      </c>
    </row>
    <row r="3646" ht="14.25" customHeight="1">
      <c r="A3646" s="7">
        <v>3633.0</v>
      </c>
      <c r="B3646" s="14">
        <f t="shared" si="1"/>
        <v>0.1076825492</v>
      </c>
      <c r="C3646" s="39">
        <f t="array" ref="C3646">NPV(B3646,FCFF!$C$9:$I$9)+FCFF!$B$9+FCFF!$I$9*(1+Inputs!$B$6)/(B3646-Inputs!$B$6)/(1+B3646)^7</f>
        <v>-1579.438659</v>
      </c>
    </row>
    <row r="3647" ht="14.25" customHeight="1">
      <c r="A3647" s="7">
        <v>3634.0</v>
      </c>
      <c r="B3647" s="14">
        <f t="shared" si="1"/>
        <v>0.09427757341</v>
      </c>
      <c r="C3647" s="39">
        <f t="array" ref="C3647">NPV(B3647,FCFF!$C$9:$I$9)+FCFF!$B$9+FCFF!$I$9*(1+Inputs!$B$6)/(B3647-Inputs!$B$6)/(1+B3647)^7</f>
        <v>-1207.227741</v>
      </c>
    </row>
    <row r="3648" ht="14.25" customHeight="1">
      <c r="A3648" s="7">
        <v>3635.0</v>
      </c>
      <c r="B3648" s="14">
        <f t="shared" si="1"/>
        <v>0.09738882503</v>
      </c>
      <c r="C3648" s="39">
        <f t="array" ref="C3648">NPV(B3648,FCFF!$C$9:$I$9)+FCFF!$B$9+FCFF!$I$9*(1+Inputs!$B$6)/(B3648-Inputs!$B$6)/(1+B3648)^7</f>
        <v>-1306.884678</v>
      </c>
    </row>
    <row r="3649" ht="14.25" customHeight="1">
      <c r="A3649" s="7">
        <v>3636.0</v>
      </c>
      <c r="B3649" s="14">
        <f t="shared" si="1"/>
        <v>0.09354168963</v>
      </c>
      <c r="C3649" s="39">
        <f t="array" ref="C3649">NPV(B3649,FCFF!$C$9:$I$9)+FCFF!$B$9+FCFF!$I$9*(1+Inputs!$B$6)/(B3649-Inputs!$B$6)/(1+B3649)^7</f>
        <v>-1182.23922</v>
      </c>
    </row>
    <row r="3650" ht="14.25" customHeight="1">
      <c r="A3650" s="7">
        <v>3637.0</v>
      </c>
      <c r="B3650" s="14">
        <f t="shared" si="1"/>
        <v>0.1326489574</v>
      </c>
      <c r="C3650" s="39">
        <f t="array" ref="C3650">NPV(B3650,FCFF!$C$9:$I$9)+FCFF!$B$9+FCFF!$I$9*(1+Inputs!$B$6)/(B3650-Inputs!$B$6)/(1+B3650)^7</f>
        <v>-2007.044353</v>
      </c>
    </row>
    <row r="3651" ht="14.25" customHeight="1">
      <c r="A3651" s="7">
        <v>3638.0</v>
      </c>
      <c r="B3651" s="14">
        <f t="shared" si="1"/>
        <v>0.1135894531</v>
      </c>
      <c r="C3651" s="39">
        <f t="array" ref="C3651">NPV(B3651,FCFF!$C$9:$I$9)+FCFF!$B$9+FCFF!$I$9*(1+Inputs!$B$6)/(B3651-Inputs!$B$6)/(1+B3651)^7</f>
        <v>-1704.923326</v>
      </c>
    </row>
    <row r="3652" ht="14.25" customHeight="1">
      <c r="A3652" s="7">
        <v>3639.0</v>
      </c>
      <c r="B3652" s="14">
        <f t="shared" si="1"/>
        <v>0.1244226442</v>
      </c>
      <c r="C3652" s="39">
        <f t="array" ref="C3652">NPV(B3652,FCFF!$C$9:$I$9)+FCFF!$B$9+FCFF!$I$9*(1+Inputs!$B$6)/(B3652-Inputs!$B$6)/(1+B3652)^7</f>
        <v>-1892.596563</v>
      </c>
    </row>
    <row r="3653" ht="14.25" customHeight="1">
      <c r="A3653" s="7">
        <v>3640.0</v>
      </c>
      <c r="B3653" s="14">
        <f t="shared" si="1"/>
        <v>0.09400399428</v>
      </c>
      <c r="C3653" s="39">
        <f t="array" ref="C3653">NPV(B3653,FCFF!$C$9:$I$9)+FCFF!$B$9+FCFF!$I$9*(1+Inputs!$B$6)/(B3653-Inputs!$B$6)/(1+B3653)^7</f>
        <v>-1198.004224</v>
      </c>
    </row>
    <row r="3654" ht="14.25" customHeight="1">
      <c r="A3654" s="7">
        <v>3641.0</v>
      </c>
      <c r="B3654" s="14">
        <f t="shared" si="1"/>
        <v>0.1136126472</v>
      </c>
      <c r="C3654" s="39">
        <f t="array" ref="C3654">NPV(B3654,FCFF!$C$9:$I$9)+FCFF!$B$9+FCFF!$I$9*(1+Inputs!$B$6)/(B3654-Inputs!$B$6)/(1+B3654)^7</f>
        <v>-1705.379855</v>
      </c>
    </row>
    <row r="3655" ht="14.25" customHeight="1">
      <c r="A3655" s="7">
        <v>3642.0</v>
      </c>
      <c r="B3655" s="14">
        <f t="shared" si="1"/>
        <v>0.1276698629</v>
      </c>
      <c r="C3655" s="39">
        <f t="array" ref="C3655">NPV(B3655,FCFF!$C$9:$I$9)+FCFF!$B$9+FCFF!$I$9*(1+Inputs!$B$6)/(B3655-Inputs!$B$6)/(1+B3655)^7</f>
        <v>-1940.262346</v>
      </c>
    </row>
    <row r="3656" ht="14.25" customHeight="1">
      <c r="A3656" s="7">
        <v>3643.0</v>
      </c>
      <c r="B3656" s="14">
        <f t="shared" si="1"/>
        <v>0.1154947963</v>
      </c>
      <c r="C3656" s="39">
        <f t="array" ref="C3656">NPV(B3656,FCFF!$C$9:$I$9)+FCFF!$B$9+FCFF!$I$9*(1+Inputs!$B$6)/(B3656-Inputs!$B$6)/(1+B3656)^7</f>
        <v>-1741.565034</v>
      </c>
    </row>
    <row r="3657" ht="14.25" customHeight="1">
      <c r="A3657" s="7">
        <v>3644.0</v>
      </c>
      <c r="B3657" s="14">
        <f t="shared" si="1"/>
        <v>0.09852804445</v>
      </c>
      <c r="C3657" s="39">
        <f t="array" ref="C3657">NPV(B3657,FCFF!$C$9:$I$9)+FCFF!$B$9+FCFF!$I$9*(1+Inputs!$B$6)/(B3657-Inputs!$B$6)/(1+B3657)^7</f>
        <v>-1341.116808</v>
      </c>
    </row>
    <row r="3658" ht="14.25" customHeight="1">
      <c r="A3658" s="7">
        <v>3645.0</v>
      </c>
      <c r="B3658" s="14">
        <f t="shared" si="1"/>
        <v>0.1155050595</v>
      </c>
      <c r="C3658" s="39">
        <f t="array" ref="C3658">NPV(B3658,FCFF!$C$9:$I$9)+FCFF!$B$9+FCFF!$I$9*(1+Inputs!$B$6)/(B3658-Inputs!$B$6)/(1+B3658)^7</f>
        <v>-1741.757784</v>
      </c>
    </row>
    <row r="3659" ht="14.25" customHeight="1">
      <c r="A3659" s="7">
        <v>3646.0</v>
      </c>
      <c r="B3659" s="14">
        <f t="shared" si="1"/>
        <v>0.09466513673</v>
      </c>
      <c r="C3659" s="39">
        <f t="array" ref="C3659">NPV(B3659,FCFF!$C$9:$I$9)+FCFF!$B$9+FCFF!$I$9*(1+Inputs!$B$6)/(B3659-Inputs!$B$6)/(1+B3659)^7</f>
        <v>-1220.161712</v>
      </c>
    </row>
    <row r="3660" ht="14.25" customHeight="1">
      <c r="A3660" s="7">
        <v>3647.0</v>
      </c>
      <c r="B3660" s="14">
        <f t="shared" si="1"/>
        <v>0.1293154745</v>
      </c>
      <c r="C3660" s="39">
        <f t="array" ref="C3660">NPV(B3660,FCFF!$C$9:$I$9)+FCFF!$B$9+FCFF!$I$9*(1+Inputs!$B$6)/(B3660-Inputs!$B$6)/(1+B3660)^7</f>
        <v>-1963.138104</v>
      </c>
    </row>
    <row r="3661" ht="14.25" customHeight="1">
      <c r="A3661" s="7">
        <v>3648.0</v>
      </c>
      <c r="B3661" s="14">
        <f t="shared" si="1"/>
        <v>0.09997067764</v>
      </c>
      <c r="C3661" s="39">
        <f t="array" ref="C3661">NPV(B3661,FCFF!$C$9:$I$9)+FCFF!$B$9+FCFF!$I$9*(1+Inputs!$B$6)/(B3661-Inputs!$B$6)/(1+B3661)^7</f>
        <v>-1382.862125</v>
      </c>
    </row>
    <row r="3662" ht="14.25" customHeight="1">
      <c r="A3662" s="7">
        <v>3649.0</v>
      </c>
      <c r="B3662" s="14">
        <f t="shared" si="1"/>
        <v>0.105796787</v>
      </c>
      <c r="C3662" s="39">
        <f t="array" ref="C3662">NPV(B3662,FCFF!$C$9:$I$9)+FCFF!$B$9+FCFF!$I$9*(1+Inputs!$B$6)/(B3662-Inputs!$B$6)/(1+B3662)^7</f>
        <v>-1535.130714</v>
      </c>
    </row>
    <row r="3663" ht="14.25" customHeight="1">
      <c r="A3663" s="7">
        <v>3650.0</v>
      </c>
      <c r="B3663" s="14">
        <f t="shared" si="1"/>
        <v>0.1076096066</v>
      </c>
      <c r="C3663" s="39">
        <f t="array" ref="C3663">NPV(B3663,FCFF!$C$9:$I$9)+FCFF!$B$9+FCFF!$I$9*(1+Inputs!$B$6)/(B3663-Inputs!$B$6)/(1+B3663)^7</f>
        <v>-1577.76582</v>
      </c>
    </row>
    <row r="3664" ht="14.25" customHeight="1">
      <c r="A3664" s="7">
        <v>3651.0</v>
      </c>
      <c r="B3664" s="14">
        <f t="shared" si="1"/>
        <v>0.1260306007</v>
      </c>
      <c r="C3664" s="39">
        <f t="array" ref="C3664">NPV(B3664,FCFF!$C$9:$I$9)+FCFF!$B$9+FCFF!$I$9*(1+Inputs!$B$6)/(B3664-Inputs!$B$6)/(1+B3664)^7</f>
        <v>-1916.632678</v>
      </c>
    </row>
    <row r="3665" ht="14.25" customHeight="1">
      <c r="A3665" s="7">
        <v>3652.0</v>
      </c>
      <c r="B3665" s="14">
        <f t="shared" si="1"/>
        <v>0.1142069765</v>
      </c>
      <c r="C3665" s="39">
        <f t="array" ref="C3665">NPV(B3665,FCFF!$C$9:$I$9)+FCFF!$B$9+FCFF!$I$9*(1+Inputs!$B$6)/(B3665-Inputs!$B$6)/(1+B3665)^7</f>
        <v>-1716.988611</v>
      </c>
    </row>
    <row r="3666" ht="14.25" customHeight="1">
      <c r="A3666" s="7">
        <v>3653.0</v>
      </c>
      <c r="B3666" s="14">
        <f t="shared" si="1"/>
        <v>0.1192555759</v>
      </c>
      <c r="C3666" s="39">
        <f t="array" ref="C3666">NPV(B3666,FCFF!$C$9:$I$9)+FCFF!$B$9+FCFF!$I$9*(1+Inputs!$B$6)/(B3666-Inputs!$B$6)/(1+B3666)^7</f>
        <v>-1809.082875</v>
      </c>
    </row>
    <row r="3667" ht="14.25" customHeight="1">
      <c r="A3667" s="7">
        <v>3654.0</v>
      </c>
      <c r="B3667" s="14">
        <f t="shared" si="1"/>
        <v>0.1119997778</v>
      </c>
      <c r="C3667" s="39">
        <f t="array" ref="C3667">NPV(B3667,FCFF!$C$9:$I$9)+FCFF!$B$9+FCFF!$I$9*(1+Inputs!$B$6)/(B3667-Inputs!$B$6)/(1+B3667)^7</f>
        <v>-1672.992938</v>
      </c>
    </row>
    <row r="3668" ht="14.25" customHeight="1">
      <c r="A3668" s="7">
        <v>3655.0</v>
      </c>
      <c r="B3668" s="14">
        <f t="shared" si="1"/>
        <v>0.1198934403</v>
      </c>
      <c r="C3668" s="39">
        <f t="array" ref="C3668">NPV(B3668,FCFF!$C$9:$I$9)+FCFF!$B$9+FCFF!$I$9*(1+Inputs!$B$6)/(B3668-Inputs!$B$6)/(1+B3668)^7</f>
        <v>-1819.944512</v>
      </c>
    </row>
    <row r="3669" ht="14.25" customHeight="1">
      <c r="A3669" s="7">
        <v>3656.0</v>
      </c>
      <c r="B3669" s="14">
        <f t="shared" si="1"/>
        <v>0.1274712302</v>
      </c>
      <c r="C3669" s="39">
        <f t="array" ref="C3669">NPV(B3669,FCFF!$C$9:$I$9)+FCFF!$B$9+FCFF!$I$9*(1+Inputs!$B$6)/(B3669-Inputs!$B$6)/(1+B3669)^7</f>
        <v>-1937.444669</v>
      </c>
    </row>
    <row r="3670" ht="14.25" customHeight="1">
      <c r="A3670" s="7">
        <v>3657.0</v>
      </c>
      <c r="B3670" s="14">
        <f t="shared" si="1"/>
        <v>0.0991092452</v>
      </c>
      <c r="C3670" s="39">
        <f t="array" ref="C3670">NPV(B3670,FCFF!$C$9:$I$9)+FCFF!$B$9+FCFF!$I$9*(1+Inputs!$B$6)/(B3670-Inputs!$B$6)/(1+B3670)^7</f>
        <v>-1358.145506</v>
      </c>
    </row>
    <row r="3671" ht="14.25" customHeight="1">
      <c r="A3671" s="7">
        <v>3658.0</v>
      </c>
      <c r="B3671" s="14">
        <f t="shared" si="1"/>
        <v>0.1224665869</v>
      </c>
      <c r="C3671" s="39">
        <f t="array" ref="C3671">NPV(B3671,FCFF!$C$9:$I$9)+FCFF!$B$9+FCFF!$I$9*(1+Inputs!$B$6)/(B3671-Inputs!$B$6)/(1+B3671)^7</f>
        <v>-1862.149304</v>
      </c>
    </row>
    <row r="3672" ht="14.25" customHeight="1">
      <c r="A3672" s="7">
        <v>3659.0</v>
      </c>
      <c r="B3672" s="14">
        <f t="shared" si="1"/>
        <v>0.1083490561</v>
      </c>
      <c r="C3672" s="39">
        <f t="array" ref="C3672">NPV(B3672,FCFF!$C$9:$I$9)+FCFF!$B$9+FCFF!$I$9*(1+Inputs!$B$6)/(B3672-Inputs!$B$6)/(1+B3672)^7</f>
        <v>-1594.575924</v>
      </c>
    </row>
    <row r="3673" ht="14.25" customHeight="1">
      <c r="A3673" s="7">
        <v>3660.0</v>
      </c>
      <c r="B3673" s="14">
        <f t="shared" si="1"/>
        <v>0.1039416192</v>
      </c>
      <c r="C3673" s="39">
        <f t="array" ref="C3673">NPV(B3673,FCFF!$C$9:$I$9)+FCFF!$B$9+FCFF!$I$9*(1+Inputs!$B$6)/(B3673-Inputs!$B$6)/(1+B3673)^7</f>
        <v>-1489.287189</v>
      </c>
    </row>
    <row r="3674" ht="14.25" customHeight="1">
      <c r="A3674" s="7">
        <v>3661.0</v>
      </c>
      <c r="B3674" s="14">
        <f t="shared" si="1"/>
        <v>0.1277250853</v>
      </c>
      <c r="C3674" s="39">
        <f t="array" ref="C3674">NPV(B3674,FCFF!$C$9:$I$9)+FCFF!$B$9+FCFF!$I$9*(1+Inputs!$B$6)/(B3674-Inputs!$B$6)/(1+B3674)^7</f>
        <v>-1941.043499</v>
      </c>
    </row>
    <row r="3675" ht="14.25" customHeight="1">
      <c r="A3675" s="7">
        <v>3662.0</v>
      </c>
      <c r="B3675" s="14">
        <f t="shared" si="1"/>
        <v>0.1008858529</v>
      </c>
      <c r="C3675" s="39">
        <f t="array" ref="C3675">NPV(B3675,FCFF!$C$9:$I$9)+FCFF!$B$9+FCFF!$I$9*(1+Inputs!$B$6)/(B3675-Inputs!$B$6)/(1+B3675)^7</f>
        <v>-1408.458441</v>
      </c>
    </row>
    <row r="3676" ht="14.25" customHeight="1">
      <c r="A3676" s="7">
        <v>3663.0</v>
      </c>
      <c r="B3676" s="14">
        <f t="shared" si="1"/>
        <v>0.09386584837</v>
      </c>
      <c r="C3676" s="39">
        <f t="array" ref="C3676">NPV(B3676,FCFF!$C$9:$I$9)+FCFF!$B$9+FCFF!$I$9*(1+Inputs!$B$6)/(B3676-Inputs!$B$6)/(1+B3676)^7</f>
        <v>-1193.316994</v>
      </c>
    </row>
    <row r="3677" ht="14.25" customHeight="1">
      <c r="A3677" s="7">
        <v>3664.0</v>
      </c>
      <c r="B3677" s="14">
        <f t="shared" si="1"/>
        <v>0.1242876122</v>
      </c>
      <c r="C3677" s="39">
        <f t="array" ref="C3677">NPV(B3677,FCFF!$C$9:$I$9)+FCFF!$B$9+FCFF!$I$9*(1+Inputs!$B$6)/(B3677-Inputs!$B$6)/(1+B3677)^7</f>
        <v>-1890.538064</v>
      </c>
    </row>
    <row r="3678" ht="14.25" customHeight="1">
      <c r="A3678" s="7">
        <v>3665.0</v>
      </c>
      <c r="B3678" s="14">
        <f t="shared" si="1"/>
        <v>0.1129251367</v>
      </c>
      <c r="C3678" s="39">
        <f t="array" ref="C3678">NPV(B3678,FCFF!$C$9:$I$9)+FCFF!$B$9+FCFF!$I$9*(1+Inputs!$B$6)/(B3678-Inputs!$B$6)/(1+B3678)^7</f>
        <v>-1691.734659</v>
      </c>
    </row>
    <row r="3679" ht="14.25" customHeight="1">
      <c r="A3679" s="7">
        <v>3666.0</v>
      </c>
      <c r="B3679" s="14">
        <f t="shared" si="1"/>
        <v>0.1040872932</v>
      </c>
      <c r="C3679" s="39">
        <f t="array" ref="C3679">NPV(B3679,FCFF!$C$9:$I$9)+FCFF!$B$9+FCFF!$I$9*(1+Inputs!$B$6)/(B3679-Inputs!$B$6)/(1+B3679)^7</f>
        <v>-1492.971595</v>
      </c>
    </row>
    <row r="3680" ht="14.25" customHeight="1">
      <c r="A3680" s="7">
        <v>3667.0</v>
      </c>
      <c r="B3680" s="14">
        <f t="shared" si="1"/>
        <v>0.1059812144</v>
      </c>
      <c r="C3680" s="39">
        <f t="array" ref="C3680">NPV(B3680,FCFF!$C$9:$I$9)+FCFF!$B$9+FCFF!$I$9*(1+Inputs!$B$6)/(B3680-Inputs!$B$6)/(1+B3680)^7</f>
        <v>-1539.563354</v>
      </c>
    </row>
    <row r="3681" ht="14.25" customHeight="1">
      <c r="A3681" s="7">
        <v>3668.0</v>
      </c>
      <c r="B3681" s="14">
        <f t="shared" si="1"/>
        <v>0.09484438422</v>
      </c>
      <c r="C3681" s="39">
        <f t="array" ref="C3681">NPV(B3681,FCFF!$C$9:$I$9)+FCFF!$B$9+FCFF!$I$9*(1+Inputs!$B$6)/(B3681-Inputs!$B$6)/(1+B3681)^7</f>
        <v>-1226.09178</v>
      </c>
    </row>
    <row r="3682" ht="14.25" customHeight="1">
      <c r="A3682" s="7">
        <v>3669.0</v>
      </c>
      <c r="B3682" s="14">
        <f t="shared" si="1"/>
        <v>0.1153145347</v>
      </c>
      <c r="C3682" s="39">
        <f t="array" ref="C3682">NPV(B3682,FCFF!$C$9:$I$9)+FCFF!$B$9+FCFF!$I$9*(1+Inputs!$B$6)/(B3682-Inputs!$B$6)/(1+B3682)^7</f>
        <v>-1738.171662</v>
      </c>
    </row>
    <row r="3683" ht="14.25" customHeight="1">
      <c r="A3683" s="7">
        <v>3670.0</v>
      </c>
      <c r="B3683" s="14">
        <f t="shared" si="1"/>
        <v>0.131392843</v>
      </c>
      <c r="C3683" s="39">
        <f t="array" ref="C3683">NPV(B3683,FCFF!$C$9:$I$9)+FCFF!$B$9+FCFF!$I$9*(1+Inputs!$B$6)/(B3683-Inputs!$B$6)/(1+B3683)^7</f>
        <v>-1990.868478</v>
      </c>
    </row>
    <row r="3684" ht="14.25" customHeight="1">
      <c r="A3684" s="7">
        <v>3671.0</v>
      </c>
      <c r="B3684" s="14">
        <f t="shared" si="1"/>
        <v>0.1084111698</v>
      </c>
      <c r="C3684" s="39">
        <f t="array" ref="C3684">NPV(B3684,FCFF!$C$9:$I$9)+FCFF!$B$9+FCFF!$I$9*(1+Inputs!$B$6)/(B3684-Inputs!$B$6)/(1+B3684)^7</f>
        <v>-1595.973137</v>
      </c>
    </row>
    <row r="3685" ht="14.25" customHeight="1">
      <c r="A3685" s="7">
        <v>3672.0</v>
      </c>
      <c r="B3685" s="14">
        <f t="shared" si="1"/>
        <v>0.112273881</v>
      </c>
      <c r="C3685" s="39">
        <f t="array" ref="C3685">NPV(B3685,FCFF!$C$9:$I$9)+FCFF!$B$9+FCFF!$I$9*(1+Inputs!$B$6)/(B3685-Inputs!$B$6)/(1+B3685)^7</f>
        <v>-1678.590136</v>
      </c>
    </row>
    <row r="3686" ht="14.25" customHeight="1">
      <c r="A3686" s="7">
        <v>3673.0</v>
      </c>
      <c r="B3686" s="14">
        <f t="shared" si="1"/>
        <v>0.1075079305</v>
      </c>
      <c r="C3686" s="39">
        <f t="array" ref="C3686">NPV(B3686,FCFF!$C$9:$I$9)+FCFF!$B$9+FCFF!$I$9*(1+Inputs!$B$6)/(B3686-Inputs!$B$6)/(1+B3686)^7</f>
        <v>-1575.428624</v>
      </c>
    </row>
    <row r="3687" ht="14.25" customHeight="1">
      <c r="A3687" s="7">
        <v>3674.0</v>
      </c>
      <c r="B3687" s="14">
        <f t="shared" si="1"/>
        <v>0.1005352869</v>
      </c>
      <c r="C3687" s="39">
        <f t="array" ref="C3687">NPV(B3687,FCFF!$C$9:$I$9)+FCFF!$B$9+FCFF!$I$9*(1+Inputs!$B$6)/(B3687-Inputs!$B$6)/(1+B3687)^7</f>
        <v>-1398.732636</v>
      </c>
    </row>
    <row r="3688" ht="14.25" customHeight="1">
      <c r="A3688" s="7">
        <v>3675.0</v>
      </c>
      <c r="B3688" s="14">
        <f t="shared" si="1"/>
        <v>0.119706624</v>
      </c>
      <c r="C3688" s="39">
        <f t="array" ref="C3688">NPV(B3688,FCFF!$C$9:$I$9)+FCFF!$B$9+FCFF!$I$9*(1+Inputs!$B$6)/(B3688-Inputs!$B$6)/(1+B3688)^7</f>
        <v>-1816.780299</v>
      </c>
    </row>
    <row r="3689" ht="14.25" customHeight="1">
      <c r="A3689" s="7">
        <v>3676.0</v>
      </c>
      <c r="B3689" s="14">
        <f t="shared" si="1"/>
        <v>0.1300174478</v>
      </c>
      <c r="C3689" s="39">
        <f t="array" ref="C3689">NPV(B3689,FCFF!$C$9:$I$9)+FCFF!$B$9+FCFF!$I$9*(1+Inputs!$B$6)/(B3689-Inputs!$B$6)/(1+B3689)^7</f>
        <v>-1972.64855</v>
      </c>
    </row>
    <row r="3690" ht="14.25" customHeight="1">
      <c r="A3690" s="7">
        <v>3677.0</v>
      </c>
      <c r="B3690" s="14">
        <f t="shared" si="1"/>
        <v>0.1278968192</v>
      </c>
      <c r="C3690" s="39">
        <f t="array" ref="C3690">NPV(B3690,FCFF!$C$9:$I$9)+FCFF!$B$9+FCFF!$I$9*(1+Inputs!$B$6)/(B3690-Inputs!$B$6)/(1+B3690)^7</f>
        <v>-1943.466703</v>
      </c>
    </row>
    <row r="3691" ht="14.25" customHeight="1">
      <c r="A3691" s="7">
        <v>3678.0</v>
      </c>
      <c r="B3691" s="14">
        <f t="shared" si="1"/>
        <v>0.1150785458</v>
      </c>
      <c r="C3691" s="39">
        <f t="array" ref="C3691">NPV(B3691,FCFF!$C$9:$I$9)+FCFF!$B$9+FCFF!$I$9*(1+Inputs!$B$6)/(B3691-Inputs!$B$6)/(1+B3691)^7</f>
        <v>-1733.70649</v>
      </c>
    </row>
    <row r="3692" ht="14.25" customHeight="1">
      <c r="A3692" s="7">
        <v>3679.0</v>
      </c>
      <c r="B3692" s="14">
        <f t="shared" si="1"/>
        <v>0.1058217597</v>
      </c>
      <c r="C3692" s="39">
        <f t="array" ref="C3692">NPV(B3692,FCFF!$C$9:$I$9)+FCFF!$B$9+FCFF!$I$9*(1+Inputs!$B$6)/(B3692-Inputs!$B$6)/(1+B3692)^7</f>
        <v>-1535.732213</v>
      </c>
    </row>
    <row r="3693" ht="14.25" customHeight="1">
      <c r="A3693" s="7">
        <v>3680.0</v>
      </c>
      <c r="B3693" s="14">
        <f t="shared" si="1"/>
        <v>0.130540282</v>
      </c>
      <c r="C3693" s="39">
        <f t="array" ref="C3693">NPV(B3693,FCFF!$C$9:$I$9)+FCFF!$B$9+FCFF!$I$9*(1+Inputs!$B$6)/(B3693-Inputs!$B$6)/(1+B3693)^7</f>
        <v>-1979.638402</v>
      </c>
    </row>
    <row r="3694" ht="14.25" customHeight="1">
      <c r="A3694" s="7">
        <v>3681.0</v>
      </c>
      <c r="B3694" s="14">
        <f t="shared" si="1"/>
        <v>0.1296083969</v>
      </c>
      <c r="C3694" s="39">
        <f t="array" ref="C3694">NPV(B3694,FCFF!$C$9:$I$9)+FCFF!$B$9+FCFF!$I$9*(1+Inputs!$B$6)/(B3694-Inputs!$B$6)/(1+B3694)^7</f>
        <v>-1967.124335</v>
      </c>
    </row>
    <row r="3695" ht="14.25" customHeight="1">
      <c r="A3695" s="7">
        <v>3682.0</v>
      </c>
      <c r="B3695" s="14">
        <f t="shared" si="1"/>
        <v>0.09728127386</v>
      </c>
      <c r="C3695" s="39">
        <f t="array" ref="C3695">NPV(B3695,FCFF!$C$9:$I$9)+FCFF!$B$9+FCFF!$I$9*(1+Inputs!$B$6)/(B3695-Inputs!$B$6)/(1+B3695)^7</f>
        <v>-1303.592983</v>
      </c>
    </row>
    <row r="3696" ht="14.25" customHeight="1">
      <c r="A3696" s="7">
        <v>3683.0</v>
      </c>
      <c r="B3696" s="14">
        <f t="shared" si="1"/>
        <v>0.09909282693</v>
      </c>
      <c r="C3696" s="39">
        <f t="array" ref="C3696">NPV(B3696,FCFF!$C$9:$I$9)+FCFF!$B$9+FCFF!$I$9*(1+Inputs!$B$6)/(B3696-Inputs!$B$6)/(1+B3696)^7</f>
        <v>-1357.66841</v>
      </c>
    </row>
    <row r="3697" ht="14.25" customHeight="1">
      <c r="A3697" s="7">
        <v>3684.0</v>
      </c>
      <c r="B3697" s="14">
        <f t="shared" si="1"/>
        <v>0.121313255</v>
      </c>
      <c r="C3697" s="39">
        <f t="array" ref="C3697">NPV(B3697,FCFF!$C$9:$I$9)+FCFF!$B$9+FCFF!$I$9*(1+Inputs!$B$6)/(B3697-Inputs!$B$6)/(1+B3697)^7</f>
        <v>-1843.544685</v>
      </c>
    </row>
    <row r="3698" ht="14.25" customHeight="1">
      <c r="A3698" s="7">
        <v>3685.0</v>
      </c>
      <c r="B3698" s="14">
        <f t="shared" si="1"/>
        <v>0.1295644084</v>
      </c>
      <c r="C3698" s="39">
        <f t="array" ref="C3698">NPV(B3698,FCFF!$C$9:$I$9)+FCFF!$B$9+FCFF!$I$9*(1+Inputs!$B$6)/(B3698-Inputs!$B$6)/(1+B3698)^7</f>
        <v>-1966.52734</v>
      </c>
    </row>
    <row r="3699" ht="14.25" customHeight="1">
      <c r="A3699" s="7">
        <v>3686.0</v>
      </c>
      <c r="B3699" s="14">
        <f t="shared" si="1"/>
        <v>0.1074157185</v>
      </c>
      <c r="C3699" s="39">
        <f t="array" ref="C3699">NPV(B3699,FCFF!$C$9:$I$9)+FCFF!$B$9+FCFF!$I$9*(1+Inputs!$B$6)/(B3699-Inputs!$B$6)/(1+B3699)^7</f>
        <v>-1573.30353</v>
      </c>
    </row>
    <row r="3700" ht="14.25" customHeight="1">
      <c r="A3700" s="7">
        <v>3687.0</v>
      </c>
      <c r="B3700" s="14">
        <f t="shared" si="1"/>
        <v>0.1205084461</v>
      </c>
      <c r="C3700" s="39">
        <f t="array" ref="C3700">NPV(B3700,FCFF!$C$9:$I$9)+FCFF!$B$9+FCFF!$I$9*(1+Inputs!$B$6)/(B3700-Inputs!$B$6)/(1+B3700)^7</f>
        <v>-1830.263529</v>
      </c>
    </row>
    <row r="3701" ht="14.25" customHeight="1">
      <c r="A3701" s="7">
        <v>3688.0</v>
      </c>
      <c r="B3701" s="14">
        <f t="shared" si="1"/>
        <v>0.1026729802</v>
      </c>
      <c r="C3701" s="39">
        <f t="array" ref="C3701">NPV(B3701,FCFF!$C$9:$I$9)+FCFF!$B$9+FCFF!$I$9*(1+Inputs!$B$6)/(B3701-Inputs!$B$6)/(1+B3701)^7</f>
        <v>-1456.566105</v>
      </c>
    </row>
    <row r="3702" ht="14.25" customHeight="1">
      <c r="A3702" s="7">
        <v>3689.0</v>
      </c>
      <c r="B3702" s="14">
        <f t="shared" si="1"/>
        <v>0.09305622925</v>
      </c>
      <c r="C3702" s="39">
        <f t="array" ref="C3702">NPV(B3702,FCFF!$C$9:$I$9)+FCFF!$B$9+FCFF!$I$9*(1+Inputs!$B$6)/(B3702-Inputs!$B$6)/(1+B3702)^7</f>
        <v>-1165.438468</v>
      </c>
    </row>
    <row r="3703" ht="14.25" customHeight="1">
      <c r="A3703" s="7">
        <v>3690.0</v>
      </c>
      <c r="B3703" s="14">
        <f t="shared" si="1"/>
        <v>0.0938741314</v>
      </c>
      <c r="C3703" s="39">
        <f t="array" ref="C3703">NPV(B3703,FCFF!$C$9:$I$9)+FCFF!$B$9+FCFF!$I$9*(1+Inputs!$B$6)/(B3703-Inputs!$B$6)/(1+B3703)^7</f>
        <v>-1193.5986</v>
      </c>
    </row>
    <row r="3704" ht="14.25" customHeight="1">
      <c r="A3704" s="7">
        <v>3691.0</v>
      </c>
      <c r="B3704" s="14">
        <f t="shared" si="1"/>
        <v>0.1107853422</v>
      </c>
      <c r="C3704" s="39">
        <f t="array" ref="C3704">NPV(B3704,FCFF!$C$9:$I$9)+FCFF!$B$9+FCFF!$I$9*(1+Inputs!$B$6)/(B3704-Inputs!$B$6)/(1+B3704)^7</f>
        <v>-1647.720038</v>
      </c>
    </row>
    <row r="3705" ht="14.25" customHeight="1">
      <c r="A3705" s="7">
        <v>3692.0</v>
      </c>
      <c r="B3705" s="14">
        <f t="shared" si="1"/>
        <v>0.1021462979</v>
      </c>
      <c r="C3705" s="39">
        <f t="array" ref="C3705">NPV(B3705,FCFF!$C$9:$I$9)+FCFF!$B$9+FCFF!$I$9*(1+Inputs!$B$6)/(B3705-Inputs!$B$6)/(1+B3705)^7</f>
        <v>-1442.638887</v>
      </c>
    </row>
    <row r="3706" ht="14.25" customHeight="1">
      <c r="A3706" s="7">
        <v>3693.0</v>
      </c>
      <c r="B3706" s="14">
        <f t="shared" si="1"/>
        <v>0.1060102724</v>
      </c>
      <c r="C3706" s="39">
        <f t="array" ref="C3706">NPV(B3706,FCFF!$C$9:$I$9)+FCFF!$B$9+FCFF!$I$9*(1+Inputs!$B$6)/(B3706-Inputs!$B$6)/(1+B3706)^7</f>
        <v>-1540.259748</v>
      </c>
    </row>
    <row r="3707" ht="14.25" customHeight="1">
      <c r="A3707" s="7">
        <v>3694.0</v>
      </c>
      <c r="B3707" s="14">
        <f t="shared" si="1"/>
        <v>0.09796530524</v>
      </c>
      <c r="C3707" s="39">
        <f t="array" ref="C3707">NPV(B3707,FCFF!$C$9:$I$9)+FCFF!$B$9+FCFF!$I$9*(1+Inputs!$B$6)/(B3707-Inputs!$B$6)/(1+B3707)^7</f>
        <v>-1324.350777</v>
      </c>
    </row>
    <row r="3708" ht="14.25" customHeight="1">
      <c r="A3708" s="7">
        <v>3695.0</v>
      </c>
      <c r="B3708" s="14">
        <f t="shared" si="1"/>
        <v>0.1306462272</v>
      </c>
      <c r="C3708" s="39">
        <f t="array" ref="C3708">NPV(B3708,FCFF!$C$9:$I$9)+FCFF!$B$9+FCFF!$I$9*(1+Inputs!$B$6)/(B3708-Inputs!$B$6)/(1+B3708)^7</f>
        <v>-1981.04519</v>
      </c>
    </row>
    <row r="3709" ht="14.25" customHeight="1">
      <c r="A3709" s="7">
        <v>3696.0</v>
      </c>
      <c r="B3709" s="14">
        <f t="shared" si="1"/>
        <v>0.1125206895</v>
      </c>
      <c r="C3709" s="39">
        <f t="array" ref="C3709">NPV(B3709,FCFF!$C$9:$I$9)+FCFF!$B$9+FCFF!$I$9*(1+Inputs!$B$6)/(B3709-Inputs!$B$6)/(1+B3709)^7</f>
        <v>-1683.596937</v>
      </c>
    </row>
    <row r="3710" ht="14.25" customHeight="1">
      <c r="A3710" s="7">
        <v>3697.0</v>
      </c>
      <c r="B3710" s="14">
        <f t="shared" si="1"/>
        <v>0.1101255887</v>
      </c>
      <c r="C3710" s="39">
        <f t="array" ref="C3710">NPV(B3710,FCFF!$C$9:$I$9)+FCFF!$B$9+FCFF!$I$9*(1+Inputs!$B$6)/(B3710-Inputs!$B$6)/(1+B3710)^7</f>
        <v>-1633.657716</v>
      </c>
    </row>
    <row r="3711" ht="14.25" customHeight="1">
      <c r="A3711" s="7">
        <v>3698.0</v>
      </c>
      <c r="B3711" s="14">
        <f t="shared" si="1"/>
        <v>0.1131241447</v>
      </c>
      <c r="C3711" s="39">
        <f t="array" ref="C3711">NPV(B3711,FCFF!$C$9:$I$9)+FCFF!$B$9+FCFF!$I$9*(1+Inputs!$B$6)/(B3711-Inputs!$B$6)/(1+B3711)^7</f>
        <v>-1695.708588</v>
      </c>
    </row>
    <row r="3712" ht="14.25" customHeight="1">
      <c r="A3712" s="7">
        <v>3699.0</v>
      </c>
      <c r="B3712" s="14">
        <f t="shared" si="1"/>
        <v>0.1318293909</v>
      </c>
      <c r="C3712" s="39">
        <f t="array" ref="C3712">NPV(B3712,FCFF!$C$9:$I$9)+FCFF!$B$9+FCFF!$I$9*(1+Inputs!$B$6)/(B3712-Inputs!$B$6)/(1+B3712)^7</f>
        <v>-1996.539557</v>
      </c>
    </row>
    <row r="3713" ht="14.25" customHeight="1">
      <c r="A3713" s="7">
        <v>3700.0</v>
      </c>
      <c r="B3713" s="14">
        <f t="shared" si="1"/>
        <v>0.1098874067</v>
      </c>
      <c r="C3713" s="39">
        <f t="array" ref="C3713">NPV(B3713,FCFF!$C$9:$I$9)+FCFF!$B$9+FCFF!$I$9*(1+Inputs!$B$6)/(B3713-Inputs!$B$6)/(1+B3713)^7</f>
        <v>-1628.522007</v>
      </c>
    </row>
    <row r="3714" ht="14.25" customHeight="1">
      <c r="A3714" s="7">
        <v>3701.0</v>
      </c>
      <c r="B3714" s="14">
        <f t="shared" si="1"/>
        <v>0.1253233645</v>
      </c>
      <c r="C3714" s="39">
        <f t="array" ref="C3714">NPV(B3714,FCFF!$C$9:$I$9)+FCFF!$B$9+FCFF!$I$9*(1+Inputs!$B$6)/(B3714-Inputs!$B$6)/(1+B3714)^7</f>
        <v>-1906.167886</v>
      </c>
    </row>
    <row r="3715" ht="14.25" customHeight="1">
      <c r="A3715" s="7">
        <v>3702.0</v>
      </c>
      <c r="B3715" s="14">
        <f t="shared" si="1"/>
        <v>0.1103274903</v>
      </c>
      <c r="C3715" s="39">
        <f t="array" ref="C3715">NPV(B3715,FCFF!$C$9:$I$9)+FCFF!$B$9+FCFF!$I$9*(1+Inputs!$B$6)/(B3715-Inputs!$B$6)/(1+B3715)^7</f>
        <v>-1637.986509</v>
      </c>
    </row>
    <row r="3716" ht="14.25" customHeight="1">
      <c r="A3716" s="7">
        <v>3703.0</v>
      </c>
      <c r="B3716" s="14">
        <f t="shared" si="1"/>
        <v>0.1077423318</v>
      </c>
      <c r="C3716" s="39">
        <f t="array" ref="C3716">NPV(B3716,FCFF!$C$9:$I$9)+FCFF!$B$9+FCFF!$I$9*(1+Inputs!$B$6)/(B3716-Inputs!$B$6)/(1+B3716)^7</f>
        <v>-1580.807288</v>
      </c>
    </row>
    <row r="3717" ht="14.25" customHeight="1">
      <c r="A3717" s="7">
        <v>3704.0</v>
      </c>
      <c r="B3717" s="14">
        <f t="shared" si="1"/>
        <v>0.1030794488</v>
      </c>
      <c r="C3717" s="39">
        <f t="array" ref="C3717">NPV(B3717,FCFF!$C$9:$I$9)+FCFF!$B$9+FCFF!$I$9*(1+Inputs!$B$6)/(B3717-Inputs!$B$6)/(1+B3717)^7</f>
        <v>-1467.1754</v>
      </c>
    </row>
    <row r="3718" ht="14.25" customHeight="1">
      <c r="A3718" s="7">
        <v>3705.0</v>
      </c>
      <c r="B3718" s="14">
        <f t="shared" si="1"/>
        <v>0.09945583072</v>
      </c>
      <c r="C3718" s="39">
        <f t="array" ref="C3718">NPV(B3718,FCFF!$C$9:$I$9)+FCFF!$B$9+FCFF!$I$9*(1+Inputs!$B$6)/(B3718-Inputs!$B$6)/(1+B3718)^7</f>
        <v>-1368.163996</v>
      </c>
    </row>
    <row r="3719" ht="14.25" customHeight="1">
      <c r="A3719" s="7">
        <v>3706.0</v>
      </c>
      <c r="B3719" s="14">
        <f t="shared" si="1"/>
        <v>0.109829698</v>
      </c>
      <c r="C3719" s="39">
        <f t="array" ref="C3719">NPV(B3719,FCFF!$C$9:$I$9)+FCFF!$B$9+FCFF!$I$9*(1+Inputs!$B$6)/(B3719-Inputs!$B$6)/(1+B3719)^7</f>
        <v>-1627.272922</v>
      </c>
    </row>
    <row r="3720" ht="14.25" customHeight="1">
      <c r="A3720" s="7">
        <v>3707.0</v>
      </c>
      <c r="B3720" s="14">
        <f t="shared" si="1"/>
        <v>0.1263046098</v>
      </c>
      <c r="C3720" s="39">
        <f t="array" ref="C3720">NPV(B3720,FCFF!$C$9:$I$9)+FCFF!$B$9+FCFF!$I$9*(1+Inputs!$B$6)/(B3720-Inputs!$B$6)/(1+B3720)^7</f>
        <v>-1920.642755</v>
      </c>
    </row>
    <row r="3721" ht="14.25" customHeight="1">
      <c r="A3721" s="7">
        <v>3708.0</v>
      </c>
      <c r="B3721" s="14">
        <f t="shared" si="1"/>
        <v>0.09737181666</v>
      </c>
      <c r="C3721" s="39">
        <f t="array" ref="C3721">NPV(B3721,FCFF!$C$9:$I$9)+FCFF!$B$9+FCFF!$I$9*(1+Inputs!$B$6)/(B3721-Inputs!$B$6)/(1+B3721)^7</f>
        <v>-1306.364822</v>
      </c>
    </row>
    <row r="3722" ht="14.25" customHeight="1">
      <c r="A3722" s="7">
        <v>3709.0</v>
      </c>
      <c r="B3722" s="14">
        <f t="shared" si="1"/>
        <v>0.1069798963</v>
      </c>
      <c r="C3722" s="39">
        <f t="array" ref="C3722">NPV(B3722,FCFF!$C$9:$I$9)+FCFF!$B$9+FCFF!$I$9*(1+Inputs!$B$6)/(B3722-Inputs!$B$6)/(1+B3722)^7</f>
        <v>-1563.189011</v>
      </c>
    </row>
    <row r="3723" ht="14.25" customHeight="1">
      <c r="A3723" s="7">
        <v>3710.0</v>
      </c>
      <c r="B3723" s="14">
        <f t="shared" si="1"/>
        <v>0.1239018432</v>
      </c>
      <c r="C3723" s="39">
        <f t="array" ref="C3723">NPV(B3723,FCFF!$C$9:$I$9)+FCFF!$B$9+FCFF!$I$9*(1+Inputs!$B$6)/(B3723-Inputs!$B$6)/(1+B3723)^7</f>
        <v>-1884.622299</v>
      </c>
    </row>
    <row r="3724" ht="14.25" customHeight="1">
      <c r="A3724" s="7">
        <v>3711.0</v>
      </c>
      <c r="B3724" s="14">
        <f t="shared" si="1"/>
        <v>0.1074078948</v>
      </c>
      <c r="C3724" s="39">
        <f t="array" ref="C3724">NPV(B3724,FCFF!$C$9:$I$9)+FCFF!$B$9+FCFF!$I$9*(1+Inputs!$B$6)/(B3724-Inputs!$B$6)/(1+B3724)^7</f>
        <v>-1573.12299</v>
      </c>
    </row>
    <row r="3725" ht="14.25" customHeight="1">
      <c r="A3725" s="7">
        <v>3712.0</v>
      </c>
      <c r="B3725" s="14">
        <f t="shared" si="1"/>
        <v>0.1030067855</v>
      </c>
      <c r="C3725" s="39">
        <f t="array" ref="C3725">NPV(B3725,FCFF!$C$9:$I$9)+FCFF!$B$9+FCFF!$I$9*(1+Inputs!$B$6)/(B3725-Inputs!$B$6)/(1+B3725)^7</f>
        <v>-1465.2876</v>
      </c>
    </row>
    <row r="3726" ht="14.25" customHeight="1">
      <c r="A3726" s="7">
        <v>3713.0</v>
      </c>
      <c r="B3726" s="14">
        <f t="shared" si="1"/>
        <v>0.1263086507</v>
      </c>
      <c r="C3726" s="39">
        <f t="array" ref="C3726">NPV(B3726,FCFF!$C$9:$I$9)+FCFF!$B$9+FCFF!$I$9*(1+Inputs!$B$6)/(B3726-Inputs!$B$6)/(1+B3726)^7</f>
        <v>-1920.701709</v>
      </c>
    </row>
    <row r="3727" ht="14.25" customHeight="1">
      <c r="A3727" s="7">
        <v>3714.0</v>
      </c>
      <c r="B3727" s="14">
        <f t="shared" si="1"/>
        <v>0.1160786724</v>
      </c>
      <c r="C3727" s="39">
        <f t="array" ref="C3727">NPV(B3727,FCFF!$C$9:$I$9)+FCFF!$B$9+FCFF!$I$9*(1+Inputs!$B$6)/(B3727-Inputs!$B$6)/(1+B3727)^7</f>
        <v>-1752.454161</v>
      </c>
    </row>
    <row r="3728" ht="14.25" customHeight="1">
      <c r="A3728" s="7">
        <v>3715.0</v>
      </c>
      <c r="B3728" s="14">
        <f t="shared" si="1"/>
        <v>0.1135539991</v>
      </c>
      <c r="C3728" s="39">
        <f t="array" ref="C3728">NPV(B3728,FCFF!$C$9:$I$9)+FCFF!$B$9+FCFF!$I$9*(1+Inputs!$B$6)/(B3728-Inputs!$B$6)/(1+B3728)^7</f>
        <v>-1704.224974</v>
      </c>
    </row>
    <row r="3729" ht="14.25" customHeight="1">
      <c r="A3729" s="7">
        <v>3716.0</v>
      </c>
      <c r="B3729" s="14">
        <f t="shared" si="1"/>
        <v>0.1230522521</v>
      </c>
      <c r="C3729" s="39">
        <f t="array" ref="C3729">NPV(B3729,FCFF!$C$9:$I$9)+FCFF!$B$9+FCFF!$I$9*(1+Inputs!$B$6)/(B3729-Inputs!$B$6)/(1+B3729)^7</f>
        <v>-1871.408893</v>
      </c>
    </row>
    <row r="3730" ht="14.25" customHeight="1">
      <c r="A3730" s="7">
        <v>3717.0</v>
      </c>
      <c r="B3730" s="14">
        <f t="shared" si="1"/>
        <v>0.09981167178</v>
      </c>
      <c r="C3730" s="39">
        <f t="array" ref="C3730">NPV(B3730,FCFF!$C$9:$I$9)+FCFF!$B$9+FCFF!$I$9*(1+Inputs!$B$6)/(B3730-Inputs!$B$6)/(1+B3730)^7</f>
        <v>-1378.346012</v>
      </c>
    </row>
    <row r="3731" ht="14.25" customHeight="1">
      <c r="A3731" s="7">
        <v>3718.0</v>
      </c>
      <c r="B3731" s="14">
        <f t="shared" si="1"/>
        <v>0.09948778542</v>
      </c>
      <c r="C3731" s="39">
        <f t="array" ref="C3731">NPV(B3731,FCFF!$C$9:$I$9)+FCFF!$B$9+FCFF!$I$9*(1+Inputs!$B$6)/(B3731-Inputs!$B$6)/(1+B3731)^7</f>
        <v>-1369.082631</v>
      </c>
    </row>
    <row r="3732" ht="14.25" customHeight="1">
      <c r="A3732" s="7">
        <v>3719.0</v>
      </c>
      <c r="B3732" s="14">
        <f t="shared" si="1"/>
        <v>0.09461449795</v>
      </c>
      <c r="C3732" s="39">
        <f t="array" ref="C3732">NPV(B3732,FCFF!$C$9:$I$9)+FCFF!$B$9+FCFF!$I$9*(1+Inputs!$B$6)/(B3732-Inputs!$B$6)/(1+B3732)^7</f>
        <v>-1218.480508</v>
      </c>
    </row>
    <row r="3733" ht="14.25" customHeight="1">
      <c r="A3733" s="7">
        <v>3720.0</v>
      </c>
      <c r="B3733" s="14">
        <f t="shared" si="1"/>
        <v>0.0952965309</v>
      </c>
      <c r="C3733" s="39">
        <f t="array" ref="C3733">NPV(B3733,FCFF!$C$9:$I$9)+FCFF!$B$9+FCFF!$I$9*(1+Inputs!$B$6)/(B3733-Inputs!$B$6)/(1+B3733)^7</f>
        <v>-1240.906571</v>
      </c>
    </row>
    <row r="3734" ht="14.25" customHeight="1">
      <c r="A3734" s="7">
        <v>3721.0</v>
      </c>
      <c r="B3734" s="14">
        <f t="shared" si="1"/>
        <v>0.1009429105</v>
      </c>
      <c r="C3734" s="39">
        <f t="array" ref="C3734">NPV(B3734,FCFF!$C$9:$I$9)+FCFF!$B$9+FCFF!$I$9*(1+Inputs!$B$6)/(B3734-Inputs!$B$6)/(1+B3734)^7</f>
        <v>-1410.032223</v>
      </c>
    </row>
    <row r="3735" ht="14.25" customHeight="1">
      <c r="A3735" s="7">
        <v>3722.0</v>
      </c>
      <c r="B3735" s="14">
        <f t="shared" si="1"/>
        <v>0.1301558059</v>
      </c>
      <c r="C3735" s="39">
        <f t="array" ref="C3735">NPV(B3735,FCFF!$C$9:$I$9)+FCFF!$B$9+FCFF!$I$9*(1+Inputs!$B$6)/(B3735-Inputs!$B$6)/(1+B3735)^7</f>
        <v>-1974.505992</v>
      </c>
    </row>
    <row r="3736" ht="14.25" customHeight="1">
      <c r="A3736" s="7">
        <v>3723.0</v>
      </c>
      <c r="B3736" s="14">
        <f t="shared" si="1"/>
        <v>0.1062883634</v>
      </c>
      <c r="C3736" s="39">
        <f t="array" ref="C3736">NPV(B3736,FCFF!$C$9:$I$9)+FCFF!$B$9+FCFF!$I$9*(1+Inputs!$B$6)/(B3736-Inputs!$B$6)/(1+B3736)^7</f>
        <v>-1546.896936</v>
      </c>
    </row>
    <row r="3737" ht="14.25" customHeight="1">
      <c r="A3737" s="7">
        <v>3724.0</v>
      </c>
      <c r="B3737" s="14">
        <f t="shared" si="1"/>
        <v>0.1193282762</v>
      </c>
      <c r="C3737" s="39">
        <f t="array" ref="C3737">NPV(B3737,FCFF!$C$9:$I$9)+FCFF!$B$9+FCFF!$I$9*(1+Inputs!$B$6)/(B3737-Inputs!$B$6)/(1+B3737)^7</f>
        <v>-1810.329108</v>
      </c>
    </row>
    <row r="3738" ht="14.25" customHeight="1">
      <c r="A3738" s="7">
        <v>3725.0</v>
      </c>
      <c r="B3738" s="14">
        <f t="shared" si="1"/>
        <v>0.1197327164</v>
      </c>
      <c r="C3738" s="39">
        <f t="array" ref="C3738">NPV(B3738,FCFF!$C$9:$I$9)+FCFF!$B$9+FCFF!$I$9*(1+Inputs!$B$6)/(B3738-Inputs!$B$6)/(1+B3738)^7</f>
        <v>-1817.223078</v>
      </c>
    </row>
    <row r="3739" ht="14.25" customHeight="1">
      <c r="A3739" s="7">
        <v>3726.0</v>
      </c>
      <c r="B3739" s="14">
        <f t="shared" si="1"/>
        <v>0.1207566468</v>
      </c>
      <c r="C3739" s="39">
        <f t="array" ref="C3739">NPV(B3739,FCFF!$C$9:$I$9)+FCFF!$B$9+FCFF!$I$9*(1+Inputs!$B$6)/(B3739-Inputs!$B$6)/(1+B3739)^7</f>
        <v>-1834.386053</v>
      </c>
    </row>
    <row r="3740" ht="14.25" customHeight="1">
      <c r="A3740" s="7">
        <v>3727.0</v>
      </c>
      <c r="B3740" s="14">
        <f t="shared" si="1"/>
        <v>0.1267168204</v>
      </c>
      <c r="C3740" s="39">
        <f t="array" ref="C3740">NPV(B3740,FCFF!$C$9:$I$9)+FCFF!$B$9+FCFF!$I$9*(1+Inputs!$B$6)/(B3740-Inputs!$B$6)/(1+B3740)^7</f>
        <v>-1926.629366</v>
      </c>
    </row>
    <row r="3741" ht="14.25" customHeight="1">
      <c r="A3741" s="7">
        <v>3728.0</v>
      </c>
      <c r="B3741" s="14">
        <f t="shared" si="1"/>
        <v>0.1326455255</v>
      </c>
      <c r="C3741" s="39">
        <f t="array" ref="C3741">NPV(B3741,FCFF!$C$9:$I$9)+FCFF!$B$9+FCFF!$I$9*(1+Inputs!$B$6)/(B3741-Inputs!$B$6)/(1+B3741)^7</f>
        <v>-2007.000747</v>
      </c>
    </row>
    <row r="3742" ht="14.25" customHeight="1">
      <c r="A3742" s="7">
        <v>3729.0</v>
      </c>
      <c r="B3742" s="14">
        <f t="shared" si="1"/>
        <v>0.1108883891</v>
      </c>
      <c r="C3742" s="39">
        <f t="array" ref="C3742">NPV(B3742,FCFF!$C$9:$I$9)+FCFF!$B$9+FCFF!$I$9*(1+Inputs!$B$6)/(B3742-Inputs!$B$6)/(1+B3742)^7</f>
        <v>-1649.895012</v>
      </c>
    </row>
    <row r="3743" ht="14.25" customHeight="1">
      <c r="A3743" s="7">
        <v>3730.0</v>
      </c>
      <c r="B3743" s="14">
        <f t="shared" si="1"/>
        <v>0.1060872527</v>
      </c>
      <c r="C3743" s="39">
        <f t="array" ref="C3743">NPV(B3743,FCFF!$C$9:$I$9)+FCFF!$B$9+FCFF!$I$9*(1+Inputs!$B$6)/(B3743-Inputs!$B$6)/(1+B3743)^7</f>
        <v>-1542.102001</v>
      </c>
    </row>
    <row r="3744" ht="14.25" customHeight="1">
      <c r="A3744" s="7">
        <v>3731.0</v>
      </c>
      <c r="B3744" s="14">
        <f t="shared" si="1"/>
        <v>0.1268474887</v>
      </c>
      <c r="C3744" s="39">
        <f t="array" ref="C3744">NPV(B3744,FCFF!$C$9:$I$9)+FCFF!$B$9+FCFF!$I$9*(1+Inputs!$B$6)/(B3744-Inputs!$B$6)/(1+B3744)^7</f>
        <v>-1928.51564</v>
      </c>
    </row>
    <row r="3745" ht="14.25" customHeight="1">
      <c r="A3745" s="7">
        <v>3732.0</v>
      </c>
      <c r="B3745" s="14">
        <f t="shared" si="1"/>
        <v>0.1085831692</v>
      </c>
      <c r="C3745" s="39">
        <f t="array" ref="C3745">NPV(B3745,FCFF!$C$9:$I$9)+FCFF!$B$9+FCFF!$I$9*(1+Inputs!$B$6)/(B3745-Inputs!$B$6)/(1+B3745)^7</f>
        <v>-1599.830309</v>
      </c>
    </row>
    <row r="3746" ht="14.25" customHeight="1">
      <c r="A3746" s="7">
        <v>3733.0</v>
      </c>
      <c r="B3746" s="14">
        <f t="shared" si="1"/>
        <v>0.1280054592</v>
      </c>
      <c r="C3746" s="39">
        <f t="array" ref="C3746">NPV(B3746,FCFF!$C$9:$I$9)+FCFF!$B$9+FCFF!$I$9*(1+Inputs!$B$6)/(B3746-Inputs!$B$6)/(1+B3746)^7</f>
        <v>-1944.994904</v>
      </c>
    </row>
    <row r="3747" ht="14.25" customHeight="1">
      <c r="A3747" s="7">
        <v>3734.0</v>
      </c>
      <c r="B3747" s="14">
        <f t="shared" si="1"/>
        <v>0.113626549</v>
      </c>
      <c r="C3747" s="39">
        <f t="array" ref="C3747">NPV(B3747,FCFF!$C$9:$I$9)+FCFF!$B$9+FCFF!$I$9*(1+Inputs!$B$6)/(B3747-Inputs!$B$6)/(1+B3747)^7</f>
        <v>-1705.653357</v>
      </c>
    </row>
    <row r="3748" ht="14.25" customHeight="1">
      <c r="A3748" s="7">
        <v>3735.0</v>
      </c>
      <c r="B3748" s="14">
        <f t="shared" si="1"/>
        <v>0.1275226486</v>
      </c>
      <c r="C3748" s="39">
        <f t="array" ref="C3748">NPV(B3748,FCFF!$C$9:$I$9)+FCFF!$B$9+FCFF!$I$9*(1+Inputs!$B$6)/(B3748-Inputs!$B$6)/(1+B3748)^7</f>
        <v>-1938.175245</v>
      </c>
    </row>
    <row r="3749" ht="14.25" customHeight="1">
      <c r="A3749" s="7">
        <v>3736.0</v>
      </c>
      <c r="B3749" s="14">
        <f t="shared" si="1"/>
        <v>0.1140434714</v>
      </c>
      <c r="C3749" s="39">
        <f t="array" ref="C3749">NPV(B3749,FCFF!$C$9:$I$9)+FCFF!$B$9+FCFF!$I$9*(1+Inputs!$B$6)/(B3749-Inputs!$B$6)/(1+B3749)^7</f>
        <v>-1713.812017</v>
      </c>
    </row>
    <row r="3750" ht="14.25" customHeight="1">
      <c r="A3750" s="7">
        <v>3737.0</v>
      </c>
      <c r="B3750" s="14">
        <f t="shared" si="1"/>
        <v>0.1128997055</v>
      </c>
      <c r="C3750" s="39">
        <f t="array" ref="C3750">NPV(B3750,FCFF!$C$9:$I$9)+FCFF!$B$9+FCFF!$I$9*(1+Inputs!$B$6)/(B3750-Inputs!$B$6)/(1+B3750)^7</f>
        <v>-1691.2254</v>
      </c>
    </row>
    <row r="3751" ht="14.25" customHeight="1">
      <c r="A3751" s="7">
        <v>3738.0</v>
      </c>
      <c r="B3751" s="14">
        <f t="shared" si="1"/>
        <v>0.1308536064</v>
      </c>
      <c r="C3751" s="39">
        <f t="array" ref="C3751">NPV(B3751,FCFF!$C$9:$I$9)+FCFF!$B$9+FCFF!$I$9*(1+Inputs!$B$6)/(B3751-Inputs!$B$6)/(1+B3751)^7</f>
        <v>-1983.789567</v>
      </c>
    </row>
    <row r="3752" ht="14.25" customHeight="1">
      <c r="A3752" s="7">
        <v>3739.0</v>
      </c>
      <c r="B3752" s="14">
        <f t="shared" si="1"/>
        <v>0.1198993048</v>
      </c>
      <c r="C3752" s="39">
        <f t="array" ref="C3752">NPV(B3752,FCFF!$C$9:$I$9)+FCFF!$B$9+FCFF!$I$9*(1+Inputs!$B$6)/(B3752-Inputs!$B$6)/(1+B3752)^7</f>
        <v>-1820.043617</v>
      </c>
    </row>
    <row r="3753" ht="14.25" customHeight="1">
      <c r="A3753" s="7">
        <v>3740.0</v>
      </c>
      <c r="B3753" s="14">
        <f t="shared" si="1"/>
        <v>0.1064595658</v>
      </c>
      <c r="C3753" s="39">
        <f t="array" ref="C3753">NPV(B3753,FCFF!$C$9:$I$9)+FCFF!$B$9+FCFF!$I$9*(1+Inputs!$B$6)/(B3753-Inputs!$B$6)/(1+B3753)^7</f>
        <v>-1550.958457</v>
      </c>
    </row>
    <row r="3754" ht="14.25" customHeight="1">
      <c r="A3754" s="7">
        <v>3741.0</v>
      </c>
      <c r="B3754" s="14">
        <f t="shared" si="1"/>
        <v>0.1008277188</v>
      </c>
      <c r="C3754" s="39">
        <f t="array" ref="C3754">NPV(B3754,FCFF!$C$9:$I$9)+FCFF!$B$9+FCFF!$I$9*(1+Inputs!$B$6)/(B3754-Inputs!$B$6)/(1+B3754)^7</f>
        <v>-1406.852331</v>
      </c>
    </row>
    <row r="3755" ht="14.25" customHeight="1">
      <c r="A3755" s="7">
        <v>3742.0</v>
      </c>
      <c r="B3755" s="14">
        <f t="shared" si="1"/>
        <v>0.09557137539</v>
      </c>
      <c r="C3755" s="39">
        <f t="array" ref="C3755">NPV(B3755,FCFF!$C$9:$I$9)+FCFF!$B$9+FCFF!$I$9*(1+Inputs!$B$6)/(B3755-Inputs!$B$6)/(1+B3755)^7</f>
        <v>-1249.812748</v>
      </c>
    </row>
    <row r="3756" ht="14.25" customHeight="1">
      <c r="A3756" s="7">
        <v>3743.0</v>
      </c>
      <c r="B3756" s="14">
        <f t="shared" si="1"/>
        <v>0.0956915152</v>
      </c>
      <c r="C3756" s="39">
        <f t="array" ref="C3756">NPV(B3756,FCFF!$C$9:$I$9)+FCFF!$B$9+FCFF!$I$9*(1+Inputs!$B$6)/(B3756-Inputs!$B$6)/(1+B3756)^7</f>
        <v>-1253.682528</v>
      </c>
    </row>
    <row r="3757" ht="14.25" customHeight="1">
      <c r="A3757" s="7">
        <v>3744.0</v>
      </c>
      <c r="B3757" s="14">
        <f t="shared" si="1"/>
        <v>0.1271171767</v>
      </c>
      <c r="C3757" s="39">
        <f t="array" ref="C3757">NPV(B3757,FCFF!$C$9:$I$9)+FCFF!$B$9+FCFF!$I$9*(1+Inputs!$B$6)/(B3757-Inputs!$B$6)/(1+B3757)^7</f>
        <v>-1932.391465</v>
      </c>
    </row>
    <row r="3758" ht="14.25" customHeight="1">
      <c r="A3758" s="7">
        <v>3745.0</v>
      </c>
      <c r="B3758" s="14">
        <f t="shared" si="1"/>
        <v>0.1203716741</v>
      </c>
      <c r="C3758" s="39">
        <f t="array" ref="C3758">NPV(B3758,FCFF!$C$9:$I$9)+FCFF!$B$9+FCFF!$I$9*(1+Inputs!$B$6)/(B3758-Inputs!$B$6)/(1+B3758)^7</f>
        <v>-1827.981532</v>
      </c>
    </row>
    <row r="3759" ht="14.25" customHeight="1">
      <c r="A3759" s="7">
        <v>3746.0</v>
      </c>
      <c r="B3759" s="14">
        <f t="shared" si="1"/>
        <v>0.1263026269</v>
      </c>
      <c r="C3759" s="39">
        <f t="array" ref="C3759">NPV(B3759,FCFF!$C$9:$I$9)+FCFF!$B$9+FCFF!$I$9*(1+Inputs!$B$6)/(B3759-Inputs!$B$6)/(1+B3759)^7</f>
        <v>-1920.613823</v>
      </c>
    </row>
    <row r="3760" ht="14.25" customHeight="1">
      <c r="A3760" s="7">
        <v>3747.0</v>
      </c>
      <c r="B3760" s="14">
        <f t="shared" si="1"/>
        <v>0.1098582942</v>
      </c>
      <c r="C3760" s="39">
        <f t="array" ref="C3760">NPV(B3760,FCFF!$C$9:$I$9)+FCFF!$B$9+FCFF!$I$9*(1+Inputs!$B$6)/(B3760-Inputs!$B$6)/(1+B3760)^7</f>
        <v>-1627.89211</v>
      </c>
    </row>
    <row r="3761" ht="14.25" customHeight="1">
      <c r="A3761" s="7">
        <v>3748.0</v>
      </c>
      <c r="B3761" s="14">
        <f t="shared" si="1"/>
        <v>0.1219051203</v>
      </c>
      <c r="C3761" s="39">
        <f t="array" ref="C3761">NPV(B3761,FCFF!$C$9:$I$9)+FCFF!$B$9+FCFF!$I$9*(1+Inputs!$B$6)/(B3761-Inputs!$B$6)/(1+B3761)^7</f>
        <v>-1853.154223</v>
      </c>
    </row>
    <row r="3762" ht="14.25" customHeight="1">
      <c r="A3762" s="7">
        <v>3749.0</v>
      </c>
      <c r="B3762" s="14">
        <f t="shared" si="1"/>
        <v>0.1110217297</v>
      </c>
      <c r="C3762" s="39">
        <f t="array" ref="C3762">NPV(B3762,FCFF!$C$9:$I$9)+FCFF!$B$9+FCFF!$I$9*(1+Inputs!$B$6)/(B3762-Inputs!$B$6)/(1+B3762)^7</f>
        <v>-1652.700886</v>
      </c>
    </row>
    <row r="3763" ht="14.25" customHeight="1">
      <c r="A3763" s="7">
        <v>3750.0</v>
      </c>
      <c r="B3763" s="14">
        <f t="shared" si="1"/>
        <v>0.1168950694</v>
      </c>
      <c r="C3763" s="39">
        <f t="array" ref="C3763">NPV(B3763,FCFF!$C$9:$I$9)+FCFF!$B$9+FCFF!$I$9*(1+Inputs!$B$6)/(B3763-Inputs!$B$6)/(1+B3763)^7</f>
        <v>-1767.422536</v>
      </c>
    </row>
    <row r="3764" ht="14.25" customHeight="1">
      <c r="A3764" s="7">
        <v>3751.0</v>
      </c>
      <c r="B3764" s="14">
        <f t="shared" si="1"/>
        <v>0.1207431795</v>
      </c>
      <c r="C3764" s="39">
        <f t="array" ref="C3764">NPV(B3764,FCFF!$C$9:$I$9)+FCFF!$B$9+FCFF!$I$9*(1+Inputs!$B$6)/(B3764-Inputs!$B$6)/(1+B3764)^7</f>
        <v>-1834.162979</v>
      </c>
    </row>
    <row r="3765" ht="14.25" customHeight="1">
      <c r="A3765" s="7">
        <v>3752.0</v>
      </c>
      <c r="B3765" s="14">
        <f t="shared" si="1"/>
        <v>0.1107604495</v>
      </c>
      <c r="C3765" s="39">
        <f t="array" ref="C3765">NPV(B3765,FCFF!$C$9:$I$9)+FCFF!$B$9+FCFF!$I$9*(1+Inputs!$B$6)/(B3765-Inputs!$B$6)/(1+B3765)^7</f>
        <v>-1647.193776</v>
      </c>
    </row>
    <row r="3766" ht="14.25" customHeight="1">
      <c r="A3766" s="7">
        <v>3753.0</v>
      </c>
      <c r="B3766" s="14">
        <f t="shared" si="1"/>
        <v>0.111997331</v>
      </c>
      <c r="C3766" s="39">
        <f t="array" ref="C3766">NPV(B3766,FCFF!$C$9:$I$9)+FCFF!$B$9+FCFF!$I$9*(1+Inputs!$B$6)/(B3766-Inputs!$B$6)/(1+B3766)^7</f>
        <v>-1672.942799</v>
      </c>
    </row>
    <row r="3767" ht="14.25" customHeight="1">
      <c r="A3767" s="7">
        <v>3754.0</v>
      </c>
      <c r="B3767" s="14">
        <f t="shared" si="1"/>
        <v>0.1027929219</v>
      </c>
      <c r="C3767" s="39">
        <f t="array" ref="C3767">NPV(B3767,FCFF!$C$9:$I$9)+FCFF!$B$9+FCFF!$I$9*(1+Inputs!$B$6)/(B3767-Inputs!$B$6)/(1+B3767)^7</f>
        <v>-1459.709218</v>
      </c>
    </row>
    <row r="3768" ht="14.25" customHeight="1">
      <c r="A3768" s="7">
        <v>3755.0</v>
      </c>
      <c r="B3768" s="14">
        <f t="shared" si="1"/>
        <v>0.1213043797</v>
      </c>
      <c r="C3768" s="39">
        <f t="array" ref="C3768">NPV(B3768,FCFF!$C$9:$I$9)+FCFF!$B$9+FCFF!$I$9*(1+Inputs!$B$6)/(B3768-Inputs!$B$6)/(1+B3768)^7</f>
        <v>-1843.399576</v>
      </c>
    </row>
    <row r="3769" ht="14.25" customHeight="1">
      <c r="A3769" s="7">
        <v>3756.0</v>
      </c>
      <c r="B3769" s="14">
        <f t="shared" si="1"/>
        <v>0.1135194365</v>
      </c>
      <c r="C3769" s="39">
        <f t="array" ref="C3769">NPV(B3769,FCFF!$C$9:$I$9)+FCFF!$B$9+FCFF!$I$9*(1+Inputs!$B$6)/(B3769-Inputs!$B$6)/(1+B3769)^7</f>
        <v>-1703.543586</v>
      </c>
    </row>
    <row r="3770" ht="14.25" customHeight="1">
      <c r="A3770" s="7">
        <v>3757.0</v>
      </c>
      <c r="B3770" s="14">
        <f t="shared" si="1"/>
        <v>0.1126064846</v>
      </c>
      <c r="C3770" s="39">
        <f t="array" ref="C3770">NPV(B3770,FCFF!$C$9:$I$9)+FCFF!$B$9+FCFF!$I$9*(1+Inputs!$B$6)/(B3770-Inputs!$B$6)/(1+B3770)^7</f>
        <v>-1685.33011</v>
      </c>
    </row>
    <row r="3771" ht="14.25" customHeight="1">
      <c r="A3771" s="7">
        <v>3758.0</v>
      </c>
      <c r="B3771" s="14">
        <f t="shared" si="1"/>
        <v>0.1060025152</v>
      </c>
      <c r="C3771" s="39">
        <f t="array" ref="C3771">NPV(B3771,FCFF!$C$9:$I$9)+FCFF!$B$9+FCFF!$I$9*(1+Inputs!$B$6)/(B3771-Inputs!$B$6)/(1+B3771)^7</f>
        <v>-1540.073896</v>
      </c>
    </row>
    <row r="3772" ht="14.25" customHeight="1">
      <c r="A3772" s="7">
        <v>3759.0</v>
      </c>
      <c r="B3772" s="14">
        <f t="shared" si="1"/>
        <v>0.1099572396</v>
      </c>
      <c r="C3772" s="39">
        <f t="array" ref="C3772">NPV(B3772,FCFF!$C$9:$I$9)+FCFF!$B$9+FCFF!$I$9*(1+Inputs!$B$6)/(B3772-Inputs!$B$6)/(1+B3772)^7</f>
        <v>-1630.031026</v>
      </c>
    </row>
    <row r="3773" ht="14.25" customHeight="1">
      <c r="A3773" s="7">
        <v>3760.0</v>
      </c>
      <c r="B3773" s="14">
        <f t="shared" si="1"/>
        <v>0.1225808763</v>
      </c>
      <c r="C3773" s="39">
        <f t="array" ref="C3773">NPV(B3773,FCFF!$C$9:$I$9)+FCFF!$B$9+FCFF!$I$9*(1+Inputs!$B$6)/(B3773-Inputs!$B$6)/(1+B3773)^7</f>
        <v>-1863.966069</v>
      </c>
    </row>
    <row r="3774" ht="14.25" customHeight="1">
      <c r="A3774" s="7">
        <v>3761.0</v>
      </c>
      <c r="B3774" s="14">
        <f t="shared" si="1"/>
        <v>0.09744988729</v>
      </c>
      <c r="C3774" s="39">
        <f t="array" ref="C3774">NPV(B3774,FCFF!$C$9:$I$9)+FCFF!$B$9+FCFF!$I$9*(1+Inputs!$B$6)/(B3774-Inputs!$B$6)/(1+B3774)^7</f>
        <v>-1308.748871</v>
      </c>
    </row>
    <row r="3775" ht="14.25" customHeight="1">
      <c r="A3775" s="7">
        <v>3762.0</v>
      </c>
      <c r="B3775" s="14">
        <f t="shared" si="1"/>
        <v>0.1215998427</v>
      </c>
      <c r="C3775" s="39">
        <f t="array" ref="C3775">NPV(B3775,FCFF!$C$9:$I$9)+FCFF!$B$9+FCFF!$I$9*(1+Inputs!$B$6)/(B3775-Inputs!$B$6)/(1+B3775)^7</f>
        <v>-1848.214213</v>
      </c>
    </row>
    <row r="3776" ht="14.25" customHeight="1">
      <c r="A3776" s="7">
        <v>3763.0</v>
      </c>
      <c r="B3776" s="14">
        <f t="shared" si="1"/>
        <v>0.1106835554</v>
      </c>
      <c r="C3776" s="39">
        <f t="array" ref="C3776">NPV(B3776,FCFF!$C$9:$I$9)+FCFF!$B$9+FCFF!$I$9*(1+Inputs!$B$6)/(B3776-Inputs!$B$6)/(1+B3776)^7</f>
        <v>-1645.566016</v>
      </c>
    </row>
    <row r="3777" ht="14.25" customHeight="1">
      <c r="A3777" s="7">
        <v>3764.0</v>
      </c>
      <c r="B3777" s="14">
        <f t="shared" si="1"/>
        <v>0.1317335194</v>
      </c>
      <c r="C3777" s="39">
        <f t="array" ref="C3777">NPV(B3777,FCFF!$C$9:$I$9)+FCFF!$B$9+FCFF!$I$9*(1+Inputs!$B$6)/(B3777-Inputs!$B$6)/(1+B3777)^7</f>
        <v>-1995.298659</v>
      </c>
    </row>
    <row r="3778" ht="14.25" customHeight="1">
      <c r="A3778" s="7">
        <v>3765.0</v>
      </c>
      <c r="B3778" s="14">
        <f t="shared" si="1"/>
        <v>0.1290346138</v>
      </c>
      <c r="C3778" s="39">
        <f t="array" ref="C3778">NPV(B3778,FCFF!$C$9:$I$9)+FCFF!$B$9+FCFF!$I$9*(1+Inputs!$B$6)/(B3778-Inputs!$B$6)/(1+B3778)^7</f>
        <v>-1959.292019</v>
      </c>
    </row>
    <row r="3779" ht="14.25" customHeight="1">
      <c r="A3779" s="7">
        <v>3766.0</v>
      </c>
      <c r="B3779" s="14">
        <f t="shared" si="1"/>
        <v>0.120698253</v>
      </c>
      <c r="C3779" s="39">
        <f t="array" ref="C3779">NPV(B3779,FCFF!$C$9:$I$9)+FCFF!$B$9+FCFF!$I$9*(1+Inputs!$B$6)/(B3779-Inputs!$B$6)/(1+B3779)^7</f>
        <v>-1833.418306</v>
      </c>
    </row>
    <row r="3780" ht="14.25" customHeight="1">
      <c r="A3780" s="7">
        <v>3767.0</v>
      </c>
      <c r="B3780" s="14">
        <f t="shared" si="1"/>
        <v>0.09944509715</v>
      </c>
      <c r="C3780" s="39">
        <f t="array" ref="C3780">NPV(B3780,FCFF!$C$9:$I$9)+FCFF!$B$9+FCFF!$I$9*(1+Inputs!$B$6)/(B3780-Inputs!$B$6)/(1+B3780)^7</f>
        <v>-1367.855237</v>
      </c>
    </row>
    <row r="3781" ht="14.25" customHeight="1">
      <c r="A3781" s="7">
        <v>3768.0</v>
      </c>
      <c r="B3781" s="14">
        <f t="shared" si="1"/>
        <v>0.105694759</v>
      </c>
      <c r="C3781" s="39">
        <f t="array" ref="C3781">NPV(B3781,FCFF!$C$9:$I$9)+FCFF!$B$9+FCFF!$I$9*(1+Inputs!$B$6)/(B3781-Inputs!$B$6)/(1+B3781)^7</f>
        <v>-1532.669029</v>
      </c>
    </row>
    <row r="3782" ht="14.25" customHeight="1">
      <c r="A3782" s="7">
        <v>3769.0</v>
      </c>
      <c r="B3782" s="14">
        <f t="shared" si="1"/>
        <v>0.1058698585</v>
      </c>
      <c r="C3782" s="39">
        <f t="array" ref="C3782">NPV(B3782,FCFF!$C$9:$I$9)+FCFF!$B$9+FCFF!$I$9*(1+Inputs!$B$6)/(B3782-Inputs!$B$6)/(1+B3782)^7</f>
        <v>-1536.889593</v>
      </c>
    </row>
    <row r="3783" ht="14.25" customHeight="1">
      <c r="A3783" s="7">
        <v>3770.0</v>
      </c>
      <c r="B3783" s="14">
        <f t="shared" si="1"/>
        <v>0.09311482986</v>
      </c>
      <c r="C3783" s="39">
        <f t="array" ref="C3783">NPV(B3783,FCFF!$C$9:$I$9)+FCFF!$B$9+FCFF!$I$9*(1+Inputs!$B$6)/(B3783-Inputs!$B$6)/(1+B3783)^7</f>
        <v>-1167.480067</v>
      </c>
    </row>
    <row r="3784" ht="14.25" customHeight="1">
      <c r="A3784" s="7">
        <v>3771.0</v>
      </c>
      <c r="B3784" s="14">
        <f t="shared" si="1"/>
        <v>0.1275715052</v>
      </c>
      <c r="C3784" s="39">
        <f t="array" ref="C3784">NPV(B3784,FCFF!$C$9:$I$9)+FCFF!$B$9+FCFF!$I$9*(1+Inputs!$B$6)/(B3784-Inputs!$B$6)/(1+B3784)^7</f>
        <v>-1938.868653</v>
      </c>
    </row>
    <row r="3785" ht="14.25" customHeight="1">
      <c r="A3785" s="7">
        <v>3772.0</v>
      </c>
      <c r="B3785" s="14">
        <f t="shared" si="1"/>
        <v>0.1263529964</v>
      </c>
      <c r="C3785" s="39">
        <f t="array" ref="C3785">NPV(B3785,FCFF!$C$9:$I$9)+FCFF!$B$9+FCFF!$I$9*(1+Inputs!$B$6)/(B3785-Inputs!$B$6)/(1+B3785)^7</f>
        <v>-1921.348336</v>
      </c>
    </row>
    <row r="3786" ht="14.25" customHeight="1">
      <c r="A3786" s="7">
        <v>3773.0</v>
      </c>
      <c r="B3786" s="14">
        <f t="shared" si="1"/>
        <v>0.1158750731</v>
      </c>
      <c r="C3786" s="39">
        <f t="array" ref="C3786">NPV(B3786,FCFF!$C$9:$I$9)+FCFF!$B$9+FCFF!$I$9*(1+Inputs!$B$6)/(B3786-Inputs!$B$6)/(1+B3786)^7</f>
        <v>-1748.674709</v>
      </c>
    </row>
    <row r="3787" ht="14.25" customHeight="1">
      <c r="A3787" s="7">
        <v>3774.0</v>
      </c>
      <c r="B3787" s="14">
        <f t="shared" si="1"/>
        <v>0.1175442745</v>
      </c>
      <c r="C3787" s="39">
        <f t="array" ref="C3787">NPV(B3787,FCFF!$C$9:$I$9)+FCFF!$B$9+FCFF!$I$9*(1+Inputs!$B$6)/(B3787-Inputs!$B$6)/(1+B3787)^7</f>
        <v>-1779.116249</v>
      </c>
    </row>
    <row r="3788" ht="14.25" customHeight="1">
      <c r="A3788" s="7">
        <v>3775.0</v>
      </c>
      <c r="B3788" s="14">
        <f t="shared" si="1"/>
        <v>0.1126755394</v>
      </c>
      <c r="C3788" s="39">
        <f t="array" ref="C3788">NPV(B3788,FCFF!$C$9:$I$9)+FCFF!$B$9+FCFF!$I$9*(1+Inputs!$B$6)/(B3788-Inputs!$B$6)/(1+B3788)^7</f>
        <v>-1686.72239</v>
      </c>
    </row>
    <row r="3789" ht="14.25" customHeight="1">
      <c r="A3789" s="7">
        <v>3776.0</v>
      </c>
      <c r="B3789" s="14">
        <f t="shared" si="1"/>
        <v>0.09940143454</v>
      </c>
      <c r="C3789" s="39">
        <f t="array" ref="C3789">NPV(B3789,FCFF!$C$9:$I$9)+FCFF!$B$9+FCFF!$I$9*(1+Inputs!$B$6)/(B3789-Inputs!$B$6)/(1+B3789)^7</f>
        <v>-1366.598257</v>
      </c>
    </row>
    <row r="3790" ht="14.25" customHeight="1">
      <c r="A3790" s="7">
        <v>3777.0</v>
      </c>
      <c r="B3790" s="14">
        <f t="shared" si="1"/>
        <v>0.1129386183</v>
      </c>
      <c r="C3790" s="39">
        <f t="array" ref="C3790">NPV(B3790,FCFF!$C$9:$I$9)+FCFF!$B$9+FCFF!$I$9*(1+Inputs!$B$6)/(B3790-Inputs!$B$6)/(1+B3790)^7</f>
        <v>-1692.004496</v>
      </c>
    </row>
    <row r="3791" ht="14.25" customHeight="1">
      <c r="A3791" s="7">
        <v>3778.0</v>
      </c>
      <c r="B3791" s="14">
        <f t="shared" si="1"/>
        <v>0.1078694683</v>
      </c>
      <c r="C3791" s="39">
        <f t="array" ref="C3791">NPV(B3791,FCFF!$C$9:$I$9)+FCFF!$B$9+FCFF!$I$9*(1+Inputs!$B$6)/(B3791-Inputs!$B$6)/(1+B3791)^7</f>
        <v>-1583.710705</v>
      </c>
    </row>
    <row r="3792" ht="14.25" customHeight="1">
      <c r="A3792" s="7">
        <v>3779.0</v>
      </c>
      <c r="B3792" s="14">
        <f t="shared" si="1"/>
        <v>0.09378146303</v>
      </c>
      <c r="C3792" s="39">
        <f t="array" ref="C3792">NPV(B3792,FCFF!$C$9:$I$9)+FCFF!$B$9+FCFF!$I$9*(1+Inputs!$B$6)/(B3792-Inputs!$B$6)/(1+B3792)^7</f>
        <v>-1190.443946</v>
      </c>
    </row>
    <row r="3793" ht="14.25" customHeight="1">
      <c r="A3793" s="7">
        <v>3780.0</v>
      </c>
      <c r="B3793" s="14">
        <f t="shared" si="1"/>
        <v>0.1089963545</v>
      </c>
      <c r="C3793" s="39">
        <f t="array" ref="C3793">NPV(B3793,FCFF!$C$9:$I$9)+FCFF!$B$9+FCFF!$I$9*(1+Inputs!$B$6)/(B3793-Inputs!$B$6)/(1+B3793)^7</f>
        <v>-1609.025564</v>
      </c>
    </row>
    <row r="3794" ht="14.25" customHeight="1">
      <c r="A3794" s="7">
        <v>3781.0</v>
      </c>
      <c r="B3794" s="14">
        <f t="shared" si="1"/>
        <v>0.09872288283</v>
      </c>
      <c r="C3794" s="39">
        <f t="array" ref="C3794">NPV(B3794,FCFF!$C$9:$I$9)+FCFF!$B$9+FCFF!$I$9*(1+Inputs!$B$6)/(B3794-Inputs!$B$6)/(1+B3794)^7</f>
        <v>-1346.85761</v>
      </c>
    </row>
    <row r="3795" ht="14.25" customHeight="1">
      <c r="A3795" s="7">
        <v>3782.0</v>
      </c>
      <c r="B3795" s="14">
        <f t="shared" si="1"/>
        <v>0.1213081497</v>
      </c>
      <c r="C3795" s="39">
        <f t="array" ref="C3795">NPV(B3795,FCFF!$C$9:$I$9)+FCFF!$B$9+FCFF!$I$9*(1+Inputs!$B$6)/(B3795-Inputs!$B$6)/(1+B3795)^7</f>
        <v>-1843.461218</v>
      </c>
    </row>
    <row r="3796" ht="14.25" customHeight="1">
      <c r="A3796" s="7">
        <v>3783.0</v>
      </c>
      <c r="B3796" s="14">
        <f t="shared" si="1"/>
        <v>0.09973518517</v>
      </c>
      <c r="C3796" s="39">
        <f t="array" ref="C3796">NPV(B3796,FCFF!$C$9:$I$9)+FCFF!$B$9+FCFF!$I$9*(1+Inputs!$B$6)/(B3796-Inputs!$B$6)/(1+B3796)^7</f>
        <v>-1376.166245</v>
      </c>
    </row>
    <row r="3797" ht="14.25" customHeight="1">
      <c r="A3797" s="7">
        <v>3784.0</v>
      </c>
      <c r="B3797" s="14">
        <f t="shared" si="1"/>
        <v>0.1282682434</v>
      </c>
      <c r="C3797" s="39">
        <f t="array" ref="C3797">NPV(B3797,FCFF!$C$9:$I$9)+FCFF!$B$9+FCFF!$I$9*(1+Inputs!$B$6)/(B3797-Inputs!$B$6)/(1+B3797)^7</f>
        <v>-1948.676308</v>
      </c>
    </row>
    <row r="3798" ht="14.25" customHeight="1">
      <c r="A3798" s="7">
        <v>3785.0</v>
      </c>
      <c r="B3798" s="14">
        <f t="shared" si="1"/>
        <v>0.132319633</v>
      </c>
      <c r="C3798" s="39">
        <f t="array" ref="C3798">NPV(B3798,FCFF!$C$9:$I$9)+FCFF!$B$9+FCFF!$I$9*(1+Inputs!$B$6)/(B3798-Inputs!$B$6)/(1+B3798)^7</f>
        <v>-2002.845305</v>
      </c>
    </row>
    <row r="3799" ht="14.25" customHeight="1">
      <c r="A3799" s="7">
        <v>3786.0</v>
      </c>
      <c r="B3799" s="14">
        <f t="shared" si="1"/>
        <v>0.1274155033</v>
      </c>
      <c r="C3799" s="39">
        <f t="array" ref="C3799">NPV(B3799,FCFF!$C$9:$I$9)+FCFF!$B$9+FCFF!$I$9*(1+Inputs!$B$6)/(B3799-Inputs!$B$6)/(1+B3799)^7</f>
        <v>-1936.651937</v>
      </c>
    </row>
    <row r="3800" ht="14.25" customHeight="1">
      <c r="A3800" s="7">
        <v>3787.0</v>
      </c>
      <c r="B3800" s="14">
        <f t="shared" si="1"/>
        <v>0.1185975517</v>
      </c>
      <c r="C3800" s="39">
        <f t="array" ref="C3800">NPV(B3800,FCFF!$C$9:$I$9)+FCFF!$B$9+FCFF!$I$9*(1+Inputs!$B$6)/(B3800-Inputs!$B$6)/(1+B3800)^7</f>
        <v>-1797.704679</v>
      </c>
    </row>
    <row r="3801" ht="14.25" customHeight="1">
      <c r="A3801" s="7">
        <v>3788.0</v>
      </c>
      <c r="B3801" s="14">
        <f t="shared" si="1"/>
        <v>0.1299594533</v>
      </c>
      <c r="C3801" s="39">
        <f t="array" ref="C3801">NPV(B3801,FCFF!$C$9:$I$9)+FCFF!$B$9+FCFF!$I$9*(1+Inputs!$B$6)/(B3801-Inputs!$B$6)/(1+B3801)^7</f>
        <v>-1971.86832</v>
      </c>
    </row>
    <row r="3802" ht="14.25" customHeight="1">
      <c r="A3802" s="7">
        <v>3789.0</v>
      </c>
      <c r="B3802" s="14">
        <f t="shared" si="1"/>
        <v>0.1171171601</v>
      </c>
      <c r="C3802" s="39">
        <f t="array" ref="C3802">NPV(B3802,FCFF!$C$9:$I$9)+FCFF!$B$9+FCFF!$I$9*(1+Inputs!$B$6)/(B3802-Inputs!$B$6)/(1+B3802)^7</f>
        <v>-1771.443536</v>
      </c>
    </row>
    <row r="3803" ht="14.25" customHeight="1">
      <c r="A3803" s="7">
        <v>3790.0</v>
      </c>
      <c r="B3803" s="14">
        <f t="shared" si="1"/>
        <v>0.1265327382</v>
      </c>
      <c r="C3803" s="39">
        <f t="array" ref="C3803">NPV(B3803,FCFF!$C$9:$I$9)+FCFF!$B$9+FCFF!$I$9*(1+Inputs!$B$6)/(B3803-Inputs!$B$6)/(1+B3803)^7</f>
        <v>-1923.962703</v>
      </c>
    </row>
    <row r="3804" ht="14.25" customHeight="1">
      <c r="A3804" s="7">
        <v>3791.0</v>
      </c>
      <c r="B3804" s="14">
        <f t="shared" si="1"/>
        <v>0.1006050399</v>
      </c>
      <c r="C3804" s="39">
        <f t="array" ref="C3804">NPV(B3804,FCFF!$C$9:$I$9)+FCFF!$B$9+FCFF!$I$9*(1+Inputs!$B$6)/(B3804-Inputs!$B$6)/(1+B3804)^7</f>
        <v>-1400.675562</v>
      </c>
    </row>
    <row r="3805" ht="14.25" customHeight="1">
      <c r="A3805" s="7">
        <v>3792.0</v>
      </c>
      <c r="B3805" s="14">
        <f t="shared" si="1"/>
        <v>0.09415739461</v>
      </c>
      <c r="C3805" s="39">
        <f t="array" ref="C3805">NPV(B3805,FCFF!$C$9:$I$9)+FCFF!$B$9+FCFF!$I$9*(1+Inputs!$B$6)/(B3805-Inputs!$B$6)/(1+B3805)^7</f>
        <v>-1203.185601</v>
      </c>
    </row>
    <row r="3806" ht="14.25" customHeight="1">
      <c r="A3806" s="7">
        <v>3793.0</v>
      </c>
      <c r="B3806" s="14">
        <f t="shared" si="1"/>
        <v>0.1072486133</v>
      </c>
      <c r="C3806" s="39">
        <f t="array" ref="C3806">NPV(B3806,FCFF!$C$9:$I$9)+FCFF!$B$9+FCFF!$I$9*(1+Inputs!$B$6)/(B3806-Inputs!$B$6)/(1+B3806)^7</f>
        <v>-1569.439204</v>
      </c>
    </row>
    <row r="3807" ht="14.25" customHeight="1">
      <c r="A3807" s="7">
        <v>3794.0</v>
      </c>
      <c r="B3807" s="14">
        <f t="shared" si="1"/>
        <v>0.1120920558</v>
      </c>
      <c r="C3807" s="39">
        <f t="array" ref="C3807">NPV(B3807,FCFF!$C$9:$I$9)+FCFF!$B$9+FCFF!$I$9*(1+Inputs!$B$6)/(B3807-Inputs!$B$6)/(1+B3807)^7</f>
        <v>-1674.881591</v>
      </c>
    </row>
    <row r="3808" ht="14.25" customHeight="1">
      <c r="A3808" s="7">
        <v>3795.0</v>
      </c>
      <c r="B3808" s="14">
        <f t="shared" si="1"/>
        <v>0.1184148707</v>
      </c>
      <c r="C3808" s="39">
        <f t="array" ref="C3808">NPV(B3808,FCFF!$C$9:$I$9)+FCFF!$B$9+FCFF!$I$9*(1+Inputs!$B$6)/(B3808-Inputs!$B$6)/(1+B3808)^7</f>
        <v>-1794.514147</v>
      </c>
    </row>
    <row r="3809" ht="14.25" customHeight="1">
      <c r="A3809" s="7">
        <v>3796.0</v>
      </c>
      <c r="B3809" s="14">
        <f t="shared" si="1"/>
        <v>0.09903755345</v>
      </c>
      <c r="C3809" s="39">
        <f t="array" ref="C3809">NPV(B3809,FCFF!$C$9:$I$9)+FCFF!$B$9+FCFF!$I$9*(1+Inputs!$B$6)/(B3809-Inputs!$B$6)/(1+B3809)^7</f>
        <v>-1356.060554</v>
      </c>
    </row>
    <row r="3810" ht="14.25" customHeight="1">
      <c r="A3810" s="7">
        <v>3797.0</v>
      </c>
      <c r="B3810" s="14">
        <f t="shared" si="1"/>
        <v>0.1152487114</v>
      </c>
      <c r="C3810" s="39">
        <f t="array" ref="C3810">NPV(B3810,FCFF!$C$9:$I$9)+FCFF!$B$9+FCFF!$I$9*(1+Inputs!$B$6)/(B3810-Inputs!$B$6)/(1+B3810)^7</f>
        <v>-1736.928813</v>
      </c>
    </row>
    <row r="3811" ht="14.25" customHeight="1">
      <c r="A3811" s="7">
        <v>3798.0</v>
      </c>
      <c r="B3811" s="14">
        <f t="shared" si="1"/>
        <v>0.1132587288</v>
      </c>
      <c r="C3811" s="39">
        <f t="array" ref="C3811">NPV(B3811,FCFF!$C$9:$I$9)+FCFF!$B$9+FCFF!$I$9*(1+Inputs!$B$6)/(B3811-Inputs!$B$6)/(1+B3811)^7</f>
        <v>-1698.38485</v>
      </c>
    </row>
    <row r="3812" ht="14.25" customHeight="1">
      <c r="A3812" s="7">
        <v>3799.0</v>
      </c>
      <c r="B3812" s="14">
        <f t="shared" si="1"/>
        <v>0.1057344193</v>
      </c>
      <c r="C3812" s="39">
        <f t="array" ref="C3812">NPV(B3812,FCFF!$C$9:$I$9)+FCFF!$B$9+FCFF!$I$9*(1+Inputs!$B$6)/(B3812-Inputs!$B$6)/(1+B3812)^7</f>
        <v>-1533.626739</v>
      </c>
    </row>
    <row r="3813" ht="14.25" customHeight="1">
      <c r="A3813" s="7">
        <v>3800.0</v>
      </c>
      <c r="B3813" s="14">
        <f t="shared" si="1"/>
        <v>0.1257259721</v>
      </c>
      <c r="C3813" s="39">
        <f t="array" ref="C3813">NPV(B3813,FCFF!$C$9:$I$9)+FCFF!$B$9+FCFF!$I$9*(1+Inputs!$B$6)/(B3813-Inputs!$B$6)/(1+B3813)^7</f>
        <v>-1912.145522</v>
      </c>
    </row>
    <row r="3814" ht="14.25" customHeight="1">
      <c r="A3814" s="7">
        <v>3801.0</v>
      </c>
      <c r="B3814" s="14">
        <f t="shared" si="1"/>
        <v>0.1280538495</v>
      </c>
      <c r="C3814" s="39">
        <f t="array" ref="C3814">NPV(B3814,FCFF!$C$9:$I$9)+FCFF!$B$9+FCFF!$I$9*(1+Inputs!$B$6)/(B3814-Inputs!$B$6)/(1+B3814)^7</f>
        <v>-1945.674415</v>
      </c>
    </row>
    <row r="3815" ht="14.25" customHeight="1">
      <c r="A3815" s="7">
        <v>3802.0</v>
      </c>
      <c r="B3815" s="14">
        <f t="shared" si="1"/>
        <v>0.1127113009</v>
      </c>
      <c r="C3815" s="39">
        <f t="array" ref="C3815">NPV(B3815,FCFF!$C$9:$I$9)+FCFF!$B$9+FCFF!$I$9*(1+Inputs!$B$6)/(B3815-Inputs!$B$6)/(1+B3815)^7</f>
        <v>-1687.442462</v>
      </c>
    </row>
    <row r="3816" ht="14.25" customHeight="1">
      <c r="A3816" s="7">
        <v>3803.0</v>
      </c>
      <c r="B3816" s="14">
        <f t="shared" si="1"/>
        <v>0.1190675667</v>
      </c>
      <c r="C3816" s="39">
        <f t="array" ref="C3816">NPV(B3816,FCFF!$C$9:$I$9)+FCFF!$B$9+FCFF!$I$9*(1+Inputs!$B$6)/(B3816-Inputs!$B$6)/(1+B3816)^7</f>
        <v>-1805.85004</v>
      </c>
    </row>
    <row r="3817" ht="14.25" customHeight="1">
      <c r="A3817" s="7">
        <v>3804.0</v>
      </c>
      <c r="B3817" s="14">
        <f t="shared" si="1"/>
        <v>0.1298361111</v>
      </c>
      <c r="C3817" s="39">
        <f t="array" ref="C3817">NPV(B3817,FCFF!$C$9:$I$9)+FCFF!$B$9+FCFF!$I$9*(1+Inputs!$B$6)/(B3817-Inputs!$B$6)/(1+B3817)^7</f>
        <v>-1970.205665</v>
      </c>
    </row>
    <row r="3818" ht="14.25" customHeight="1">
      <c r="A3818" s="7">
        <v>3805.0</v>
      </c>
      <c r="B3818" s="14">
        <f t="shared" si="1"/>
        <v>0.1302384181</v>
      </c>
      <c r="C3818" s="39">
        <f t="array" ref="C3818">NPV(B3818,FCFF!$C$9:$I$9)+FCFF!$B$9+FCFF!$I$9*(1+Inputs!$B$6)/(B3818-Inputs!$B$6)/(1+B3818)^7</f>
        <v>-1975.612398</v>
      </c>
    </row>
    <row r="3819" ht="14.25" customHeight="1">
      <c r="A3819" s="7">
        <v>3806.0</v>
      </c>
      <c r="B3819" s="14">
        <f t="shared" si="1"/>
        <v>0.1289312659</v>
      </c>
      <c r="C3819" s="39">
        <f t="array" ref="C3819">NPV(B3819,FCFF!$C$9:$I$9)+FCFF!$B$9+FCFF!$I$9*(1+Inputs!$B$6)/(B3819-Inputs!$B$6)/(1+B3819)^7</f>
        <v>-1957.870829</v>
      </c>
    </row>
    <row r="3820" ht="14.25" customHeight="1">
      <c r="A3820" s="7">
        <v>3807.0</v>
      </c>
      <c r="B3820" s="14">
        <f t="shared" si="1"/>
        <v>0.09719348445</v>
      </c>
      <c r="C3820" s="39">
        <f t="array" ref="C3820">NPV(B3820,FCFF!$C$9:$I$9)+FCFF!$B$9+FCFF!$I$9*(1+Inputs!$B$6)/(B3820-Inputs!$B$6)/(1+B3820)^7</f>
        <v>-1300.898308</v>
      </c>
    </row>
    <row r="3821" ht="14.25" customHeight="1">
      <c r="A3821" s="7">
        <v>3808.0</v>
      </c>
      <c r="B3821" s="14">
        <f t="shared" si="1"/>
        <v>0.129930338</v>
      </c>
      <c r="C3821" s="39">
        <f t="array" ref="C3821">NPV(B3821,FCFF!$C$9:$I$9)+FCFF!$B$9+FCFF!$I$9*(1+Inputs!$B$6)/(B3821-Inputs!$B$6)/(1+B3821)^7</f>
        <v>-1971.476246</v>
      </c>
    </row>
    <row r="3822" ht="14.25" customHeight="1">
      <c r="A3822" s="7">
        <v>3809.0</v>
      </c>
      <c r="B3822" s="14">
        <f t="shared" si="1"/>
        <v>0.1113879698</v>
      </c>
      <c r="C3822" s="39">
        <f t="array" ref="C3822">NPV(B3822,FCFF!$C$9:$I$9)+FCFF!$B$9+FCFF!$I$9*(1+Inputs!$B$6)/(B3822-Inputs!$B$6)/(1+B3822)^7</f>
        <v>-1660.35866</v>
      </c>
    </row>
    <row r="3823" ht="14.25" customHeight="1">
      <c r="A3823" s="7">
        <v>3810.0</v>
      </c>
      <c r="B3823" s="14">
        <f t="shared" si="1"/>
        <v>0.1031938519</v>
      </c>
      <c r="C3823" s="39">
        <f t="array" ref="C3823">NPV(B3823,FCFF!$C$9:$I$9)+FCFF!$B$9+FCFF!$I$9*(1+Inputs!$B$6)/(B3823-Inputs!$B$6)/(1+B3823)^7</f>
        <v>-1470.139897</v>
      </c>
    </row>
    <row r="3824" ht="14.25" customHeight="1">
      <c r="A3824" s="7">
        <v>3811.0</v>
      </c>
      <c r="B3824" s="14">
        <f t="shared" si="1"/>
        <v>0.1091261417</v>
      </c>
      <c r="C3824" s="39">
        <f t="array" ref="C3824">NPV(B3824,FCFF!$C$9:$I$9)+FCFF!$B$9+FCFF!$I$9*(1+Inputs!$B$6)/(B3824-Inputs!$B$6)/(1+B3824)^7</f>
        <v>-1611.893509</v>
      </c>
    </row>
    <row r="3825" ht="14.25" customHeight="1">
      <c r="A3825" s="7">
        <v>3812.0</v>
      </c>
      <c r="B3825" s="14">
        <f t="shared" si="1"/>
        <v>0.09710160352</v>
      </c>
      <c r="C3825" s="39">
        <f t="array" ref="C3825">NPV(B3825,FCFF!$C$9:$I$9)+FCFF!$B$9+FCFF!$I$9*(1+Inputs!$B$6)/(B3825-Inputs!$B$6)/(1+B3825)^7</f>
        <v>-1298.070499</v>
      </c>
    </row>
    <row r="3826" ht="14.25" customHeight="1">
      <c r="A3826" s="7">
        <v>3813.0</v>
      </c>
      <c r="B3826" s="14">
        <f t="shared" si="1"/>
        <v>0.09876768084</v>
      </c>
      <c r="C3826" s="39">
        <f t="array" ref="C3826">NPV(B3826,FCFF!$C$9:$I$9)+FCFF!$B$9+FCFF!$I$9*(1+Inputs!$B$6)/(B3826-Inputs!$B$6)/(1+B3826)^7</f>
        <v>-1348.172944</v>
      </c>
    </row>
    <row r="3827" ht="14.25" customHeight="1">
      <c r="A3827" s="7">
        <v>3814.0</v>
      </c>
      <c r="B3827" s="14">
        <f t="shared" si="1"/>
        <v>0.1185219024</v>
      </c>
      <c r="C3827" s="39">
        <f t="array" ref="C3827">NPV(B3827,FCFF!$C$9:$I$9)+FCFF!$B$9+FCFF!$I$9*(1+Inputs!$B$6)/(B3827-Inputs!$B$6)/(1+B3827)^7</f>
        <v>-1796.385146</v>
      </c>
    </row>
    <row r="3828" ht="14.25" customHeight="1">
      <c r="A3828" s="7">
        <v>3815.0</v>
      </c>
      <c r="B3828" s="14">
        <f t="shared" si="1"/>
        <v>0.1236856354</v>
      </c>
      <c r="C3828" s="39">
        <f t="array" ref="C3828">NPV(B3828,FCFF!$C$9:$I$9)+FCFF!$B$9+FCFF!$I$9*(1+Inputs!$B$6)/(B3828-Inputs!$B$6)/(1+B3828)^7</f>
        <v>-1881.28397</v>
      </c>
    </row>
    <row r="3829" ht="14.25" customHeight="1">
      <c r="A3829" s="7">
        <v>3816.0</v>
      </c>
      <c r="B3829" s="14">
        <f t="shared" si="1"/>
        <v>0.100066177</v>
      </c>
      <c r="C3829" s="39">
        <f t="array" ref="C3829">NPV(B3829,FCFF!$C$9:$I$9)+FCFF!$B$9+FCFF!$I$9*(1+Inputs!$B$6)/(B3829-Inputs!$B$6)/(1+B3829)^7</f>
        <v>-1385.564601</v>
      </c>
    </row>
    <row r="3830" ht="14.25" customHeight="1">
      <c r="A3830" s="7">
        <v>3817.0</v>
      </c>
      <c r="B3830" s="14">
        <f t="shared" si="1"/>
        <v>0.1269523722</v>
      </c>
      <c r="C3830" s="39">
        <f t="array" ref="C3830">NPV(B3830,FCFF!$C$9:$I$9)+FCFF!$B$9+FCFF!$I$9*(1+Inputs!$B$6)/(B3830-Inputs!$B$6)/(1+B3830)^7</f>
        <v>-1930.025734</v>
      </c>
    </row>
    <row r="3831" ht="14.25" customHeight="1">
      <c r="A3831" s="7">
        <v>3818.0</v>
      </c>
      <c r="B3831" s="14">
        <f t="shared" si="1"/>
        <v>0.1011851004</v>
      </c>
      <c r="C3831" s="39">
        <f t="array" ref="C3831">NPV(B3831,FCFF!$C$9:$I$9)+FCFF!$B$9+FCFF!$I$9*(1+Inputs!$B$6)/(B3831-Inputs!$B$6)/(1+B3831)^7</f>
        <v>-1416.684059</v>
      </c>
    </row>
    <row r="3832" ht="14.25" customHeight="1">
      <c r="A3832" s="7">
        <v>3819.0</v>
      </c>
      <c r="B3832" s="14">
        <f t="shared" si="1"/>
        <v>0.1224452556</v>
      </c>
      <c r="C3832" s="39">
        <f t="array" ref="C3832">NPV(B3832,FCFF!$C$9:$I$9)+FCFF!$B$9+FCFF!$I$9*(1+Inputs!$B$6)/(B3832-Inputs!$B$6)/(1+B3832)^7</f>
        <v>-1861.809688</v>
      </c>
    </row>
    <row r="3833" ht="14.25" customHeight="1">
      <c r="A3833" s="7">
        <v>3820.0</v>
      </c>
      <c r="B3833" s="14">
        <f t="shared" si="1"/>
        <v>0.1066036109</v>
      </c>
      <c r="C3833" s="39">
        <f t="array" ref="C3833">NPV(B3833,FCFF!$C$9:$I$9)+FCFF!$B$9+FCFF!$I$9*(1+Inputs!$B$6)/(B3833-Inputs!$B$6)/(1+B3833)^7</f>
        <v>-1554.36132</v>
      </c>
    </row>
    <row r="3834" ht="14.25" customHeight="1">
      <c r="A3834" s="7">
        <v>3821.0</v>
      </c>
      <c r="B3834" s="14">
        <f t="shared" si="1"/>
        <v>0.1328421549</v>
      </c>
      <c r="C3834" s="39">
        <f t="array" ref="C3834">NPV(B3834,FCFF!$C$9:$I$9)+FCFF!$B$9+FCFF!$I$9*(1+Inputs!$B$6)/(B3834-Inputs!$B$6)/(1+B3834)^7</f>
        <v>-2009.494049</v>
      </c>
    </row>
    <row r="3835" ht="14.25" customHeight="1">
      <c r="A3835" s="7">
        <v>3822.0</v>
      </c>
      <c r="B3835" s="14">
        <f t="shared" si="1"/>
        <v>0.1148971425</v>
      </c>
      <c r="C3835" s="39">
        <f t="array" ref="C3835">NPV(B3835,FCFF!$C$9:$I$9)+FCFF!$B$9+FCFF!$I$9*(1+Inputs!$B$6)/(B3835-Inputs!$B$6)/(1+B3835)^7</f>
        <v>-1730.256488</v>
      </c>
    </row>
    <row r="3836" ht="14.25" customHeight="1">
      <c r="A3836" s="7">
        <v>3823.0</v>
      </c>
      <c r="B3836" s="14">
        <f t="shared" si="1"/>
        <v>0.1127010275</v>
      </c>
      <c r="C3836" s="39">
        <f t="array" ref="C3836">NPV(B3836,FCFF!$C$9:$I$9)+FCFF!$B$9+FCFF!$I$9*(1+Inputs!$B$6)/(B3836-Inputs!$B$6)/(1+B3836)^7</f>
        <v>-1687.235669</v>
      </c>
    </row>
    <row r="3837" ht="14.25" customHeight="1">
      <c r="A3837" s="7">
        <v>3824.0</v>
      </c>
      <c r="B3837" s="14">
        <f t="shared" si="1"/>
        <v>0.1048754407</v>
      </c>
      <c r="C3837" s="39">
        <f t="array" ref="C3837">NPV(B3837,FCFF!$C$9:$I$9)+FCFF!$B$9+FCFF!$I$9*(1+Inputs!$B$6)/(B3837-Inputs!$B$6)/(1+B3837)^7</f>
        <v>-1512.652522</v>
      </c>
    </row>
    <row r="3838" ht="14.25" customHeight="1">
      <c r="A3838" s="7">
        <v>3825.0</v>
      </c>
      <c r="B3838" s="14">
        <f t="shared" si="1"/>
        <v>0.127495587</v>
      </c>
      <c r="C3838" s="39">
        <f t="array" ref="C3838">NPV(B3838,FCFF!$C$9:$I$9)+FCFF!$B$9+FCFF!$I$9*(1+Inputs!$B$6)/(B3838-Inputs!$B$6)/(1+B3838)^7</f>
        <v>-1937.790846</v>
      </c>
    </row>
    <row r="3839" ht="14.25" customHeight="1">
      <c r="A3839" s="7">
        <v>3826.0</v>
      </c>
      <c r="B3839" s="14">
        <f t="shared" si="1"/>
        <v>0.09368376272</v>
      </c>
      <c r="C3839" s="39">
        <f t="array" ref="C3839">NPV(B3839,FCFF!$C$9:$I$9)+FCFF!$B$9+FCFF!$I$9*(1+Inputs!$B$6)/(B3839-Inputs!$B$6)/(1+B3839)^7</f>
        <v>-1187.108152</v>
      </c>
    </row>
    <row r="3840" ht="14.25" customHeight="1">
      <c r="A3840" s="7">
        <v>3827.0</v>
      </c>
      <c r="B3840" s="14">
        <f t="shared" si="1"/>
        <v>0.1182432572</v>
      </c>
      <c r="C3840" s="39">
        <f t="array" ref="C3840">NPV(B3840,FCFF!$C$9:$I$9)+FCFF!$B$9+FCFF!$I$9*(1+Inputs!$B$6)/(B3840-Inputs!$B$6)/(1+B3840)^7</f>
        <v>-1791.504217</v>
      </c>
    </row>
    <row r="3841" ht="14.25" customHeight="1">
      <c r="A3841" s="7">
        <v>3828.0</v>
      </c>
      <c r="B3841" s="14">
        <f t="shared" si="1"/>
        <v>0.1070994239</v>
      </c>
      <c r="C3841" s="39">
        <f t="array" ref="C3841">NPV(B3841,FCFF!$C$9:$I$9)+FCFF!$B$9+FCFF!$I$9*(1+Inputs!$B$6)/(B3841-Inputs!$B$6)/(1+B3841)^7</f>
        <v>-1565.974666</v>
      </c>
    </row>
    <row r="3842" ht="14.25" customHeight="1">
      <c r="A3842" s="7">
        <v>3829.0</v>
      </c>
      <c r="B3842" s="14">
        <f t="shared" si="1"/>
        <v>0.1254700448</v>
      </c>
      <c r="C3842" s="39">
        <f t="array" ref="C3842">NPV(B3842,FCFF!$C$9:$I$9)+FCFF!$B$9+FCFF!$I$9*(1+Inputs!$B$6)/(B3842-Inputs!$B$6)/(1+B3842)^7</f>
        <v>-1908.351959</v>
      </c>
    </row>
    <row r="3843" ht="14.25" customHeight="1">
      <c r="A3843" s="7">
        <v>3830.0</v>
      </c>
      <c r="B3843" s="14">
        <f t="shared" si="1"/>
        <v>0.1314648049</v>
      </c>
      <c r="C3843" s="39">
        <f t="array" ref="C3843">NPV(B3843,FCFF!$C$9:$I$9)+FCFF!$B$9+FCFF!$I$9*(1+Inputs!$B$6)/(B3843-Inputs!$B$6)/(1+B3843)^7</f>
        <v>-1991.806976</v>
      </c>
    </row>
    <row r="3844" ht="14.25" customHeight="1">
      <c r="A3844" s="7">
        <v>3831.0</v>
      </c>
      <c r="B3844" s="14">
        <f t="shared" si="1"/>
        <v>0.09309244155</v>
      </c>
      <c r="C3844" s="39">
        <f t="array" ref="C3844">NPV(B3844,FCFF!$C$9:$I$9)+FCFF!$B$9+FCFF!$I$9*(1+Inputs!$B$6)/(B3844-Inputs!$B$6)/(1+B3844)^7</f>
        <v>-1166.700518</v>
      </c>
    </row>
    <row r="3845" ht="14.25" customHeight="1">
      <c r="A3845" s="7">
        <v>3832.0</v>
      </c>
      <c r="B3845" s="14">
        <f t="shared" si="1"/>
        <v>0.09325143048</v>
      </c>
      <c r="C3845" s="39">
        <f t="array" ref="C3845">NPV(B3845,FCFF!$C$9:$I$9)+FCFF!$B$9+FCFF!$I$9*(1+Inputs!$B$6)/(B3845-Inputs!$B$6)/(1+B3845)^7</f>
        <v>-1172.224612</v>
      </c>
    </row>
    <row r="3846" ht="14.25" customHeight="1">
      <c r="A3846" s="7">
        <v>3833.0</v>
      </c>
      <c r="B3846" s="14">
        <f t="shared" si="1"/>
        <v>0.127866809</v>
      </c>
      <c r="C3846" s="39">
        <f t="array" ref="C3846">NPV(B3846,FCFF!$C$9:$I$9)+FCFF!$B$9+FCFF!$I$9*(1+Inputs!$B$6)/(B3846-Inputs!$B$6)/(1+B3846)^7</f>
        <v>-1943.043914</v>
      </c>
    </row>
    <row r="3847" ht="14.25" customHeight="1">
      <c r="A3847" s="7">
        <v>3834.0</v>
      </c>
      <c r="B3847" s="14">
        <f t="shared" si="1"/>
        <v>0.09471388715</v>
      </c>
      <c r="C3847" s="39">
        <f t="array" ref="C3847">NPV(B3847,FCFF!$C$9:$I$9)+FCFF!$B$9+FCFF!$I$9*(1+Inputs!$B$6)/(B3847-Inputs!$B$6)/(1+B3847)^7</f>
        <v>-1221.777756</v>
      </c>
    </row>
    <row r="3848" ht="14.25" customHeight="1">
      <c r="A3848" s="7">
        <v>3835.0</v>
      </c>
      <c r="B3848" s="14">
        <f t="shared" si="1"/>
        <v>0.1169947119</v>
      </c>
      <c r="C3848" s="39">
        <f t="array" ref="C3848">NPV(B3848,FCFF!$C$9:$I$9)+FCFF!$B$9+FCFF!$I$9*(1+Inputs!$B$6)/(B3848-Inputs!$B$6)/(1+B3848)^7</f>
        <v>-1769.229254</v>
      </c>
    </row>
    <row r="3849" ht="14.25" customHeight="1">
      <c r="A3849" s="7">
        <v>3836.0</v>
      </c>
      <c r="B3849" s="14">
        <f t="shared" si="1"/>
        <v>0.123912426</v>
      </c>
      <c r="C3849" s="39">
        <f t="array" ref="C3849">NPV(B3849,FCFF!$C$9:$I$9)+FCFF!$B$9+FCFF!$I$9*(1+Inputs!$B$6)/(B3849-Inputs!$B$6)/(1+B3849)^7</f>
        <v>-1884.785279</v>
      </c>
    </row>
    <row r="3850" ht="14.25" customHeight="1">
      <c r="A3850" s="7">
        <v>3837.0</v>
      </c>
      <c r="B3850" s="14">
        <f t="shared" si="1"/>
        <v>0.1170361955</v>
      </c>
      <c r="C3850" s="39">
        <f t="array" ref="C3850">NPV(B3850,FCFF!$C$9:$I$9)+FCFF!$B$9+FCFF!$I$9*(1+Inputs!$B$6)/(B3850-Inputs!$B$6)/(1+B3850)^7</f>
        <v>-1769.980153</v>
      </c>
    </row>
    <row r="3851" ht="14.25" customHeight="1">
      <c r="A3851" s="7">
        <v>3838.0</v>
      </c>
      <c r="B3851" s="14">
        <f t="shared" si="1"/>
        <v>0.1091294812</v>
      </c>
      <c r="C3851" s="39">
        <f t="array" ref="C3851">NPV(B3851,FCFF!$C$9:$I$9)+FCFF!$B$9+FCFF!$I$9*(1+Inputs!$B$6)/(B3851-Inputs!$B$6)/(1+B3851)^7</f>
        <v>-1611.967175</v>
      </c>
    </row>
    <row r="3852" ht="14.25" customHeight="1">
      <c r="A3852" s="7">
        <v>3839.0</v>
      </c>
      <c r="B3852" s="14">
        <f t="shared" si="1"/>
        <v>0.1113547751</v>
      </c>
      <c r="C3852" s="39">
        <f t="array" ref="C3852">NPV(B3852,FCFF!$C$9:$I$9)+FCFF!$B$9+FCFF!$I$9*(1+Inputs!$B$6)/(B3852-Inputs!$B$6)/(1+B3852)^7</f>
        <v>-1659.667531</v>
      </c>
    </row>
    <row r="3853" ht="14.25" customHeight="1">
      <c r="A3853" s="7">
        <v>3840.0</v>
      </c>
      <c r="B3853" s="14">
        <f t="shared" si="1"/>
        <v>0.09907328093</v>
      </c>
      <c r="C3853" s="39">
        <f t="array" ref="C3853">NPV(B3853,FCFF!$C$9:$I$9)+FCFF!$B$9+FCFF!$I$9*(1+Inputs!$B$6)/(B3853-Inputs!$B$6)/(1+B3853)^7</f>
        <v>-1357.10013</v>
      </c>
    </row>
    <row r="3854" ht="14.25" customHeight="1">
      <c r="A3854" s="7">
        <v>3841.0</v>
      </c>
      <c r="B3854" s="14">
        <f t="shared" si="1"/>
        <v>0.128905861</v>
      </c>
      <c r="C3854" s="39">
        <f t="array" ref="C3854">NPV(B3854,FCFF!$C$9:$I$9)+FCFF!$B$9+FCFF!$I$9*(1+Inputs!$B$6)/(B3854-Inputs!$B$6)/(1+B3854)^7</f>
        <v>-1957.520981</v>
      </c>
    </row>
    <row r="3855" ht="14.25" customHeight="1">
      <c r="A3855" s="7">
        <v>3842.0</v>
      </c>
      <c r="B3855" s="14">
        <f t="shared" si="1"/>
        <v>0.1120715651</v>
      </c>
      <c r="C3855" s="39">
        <f t="array" ref="C3855">NPV(B3855,FCFF!$C$9:$I$9)+FCFF!$B$9+FCFF!$I$9*(1+Inputs!$B$6)/(B3855-Inputs!$B$6)/(1+B3855)^7</f>
        <v>-1674.462589</v>
      </c>
    </row>
    <row r="3856" ht="14.25" customHeight="1">
      <c r="A3856" s="7">
        <v>3843.0</v>
      </c>
      <c r="B3856" s="14">
        <f t="shared" si="1"/>
        <v>0.1004171651</v>
      </c>
      <c r="C3856" s="39">
        <f t="array" ref="C3856">NPV(B3856,FCFF!$C$9:$I$9)+FCFF!$B$9+FCFF!$I$9*(1+Inputs!$B$6)/(B3856-Inputs!$B$6)/(1+B3856)^7</f>
        <v>-1395.433575</v>
      </c>
    </row>
    <row r="3857" ht="14.25" customHeight="1">
      <c r="A3857" s="7">
        <v>3844.0</v>
      </c>
      <c r="B3857" s="14">
        <f t="shared" si="1"/>
        <v>0.1236554817</v>
      </c>
      <c r="C3857" s="39">
        <f t="array" ref="C3857">NPV(B3857,FCFF!$C$9:$I$9)+FCFF!$B$9+FCFF!$I$9*(1+Inputs!$B$6)/(B3857-Inputs!$B$6)/(1+B3857)^7</f>
        <v>-1880.817077</v>
      </c>
    </row>
    <row r="3858" ht="14.25" customHeight="1">
      <c r="A3858" s="7">
        <v>3845.0</v>
      </c>
      <c r="B3858" s="14">
        <f t="shared" si="1"/>
        <v>0.1031532348</v>
      </c>
      <c r="C3858" s="39">
        <f t="array" ref="C3858">NPV(B3858,FCFF!$C$9:$I$9)+FCFF!$B$9+FCFF!$I$9*(1+Inputs!$B$6)/(B3858-Inputs!$B$6)/(1+B3858)^7</f>
        <v>-1469.088474</v>
      </c>
    </row>
    <row r="3859" ht="14.25" customHeight="1">
      <c r="A3859" s="7">
        <v>3846.0</v>
      </c>
      <c r="B3859" s="14">
        <f t="shared" si="1"/>
        <v>0.1195883145</v>
      </c>
      <c r="C3859" s="39">
        <f t="array" ref="C3859">NPV(B3859,FCFF!$C$9:$I$9)+FCFF!$B$9+FCFF!$I$9*(1+Inputs!$B$6)/(B3859-Inputs!$B$6)/(1+B3859)^7</f>
        <v>-1814.769202</v>
      </c>
    </row>
    <row r="3860" ht="14.25" customHeight="1">
      <c r="A3860" s="7">
        <v>3847.0</v>
      </c>
      <c r="B3860" s="14">
        <f t="shared" si="1"/>
        <v>0.09488938864</v>
      </c>
      <c r="C3860" s="39">
        <f t="array" ref="C3860">NPV(B3860,FCFF!$C$9:$I$9)+FCFF!$B$9+FCFF!$I$9*(1+Inputs!$B$6)/(B3860-Inputs!$B$6)/(1+B3860)^7</f>
        <v>-1227.575559</v>
      </c>
    </row>
    <row r="3861" ht="14.25" customHeight="1">
      <c r="A3861" s="7">
        <v>3848.0</v>
      </c>
      <c r="B3861" s="14">
        <f t="shared" si="1"/>
        <v>0.1207010816</v>
      </c>
      <c r="C3861" s="39">
        <f t="array" ref="C3861">NPV(B3861,FCFF!$C$9:$I$9)+FCFF!$B$9+FCFF!$I$9*(1+Inputs!$B$6)/(B3861-Inputs!$B$6)/(1+B3861)^7</f>
        <v>-1833.465213</v>
      </c>
    </row>
    <row r="3862" ht="14.25" customHeight="1">
      <c r="A3862" s="7">
        <v>3849.0</v>
      </c>
      <c r="B3862" s="14">
        <f t="shared" si="1"/>
        <v>0.1319508309</v>
      </c>
      <c r="C3862" s="39">
        <f t="array" ref="C3862">NPV(B3862,FCFF!$C$9:$I$9)+FCFF!$B$9+FCFF!$I$9*(1+Inputs!$B$6)/(B3862-Inputs!$B$6)/(1+B3862)^7</f>
        <v>-1998.107744</v>
      </c>
    </row>
    <row r="3863" ht="14.25" customHeight="1">
      <c r="A3863" s="7">
        <v>3850.0</v>
      </c>
      <c r="B3863" s="14">
        <f t="shared" si="1"/>
        <v>0.1301775973</v>
      </c>
      <c r="C3863" s="39">
        <f t="array" ref="C3863">NPV(B3863,FCFF!$C$9:$I$9)+FCFF!$B$9+FCFF!$I$9*(1+Inputs!$B$6)/(B3863-Inputs!$B$6)/(1+B3863)^7</f>
        <v>-1974.798031</v>
      </c>
    </row>
    <row r="3864" ht="14.25" customHeight="1">
      <c r="A3864" s="7">
        <v>3851.0</v>
      </c>
      <c r="B3864" s="14">
        <f t="shared" si="1"/>
        <v>0.1138333933</v>
      </c>
      <c r="C3864" s="39">
        <f t="array" ref="C3864">NPV(B3864,FCFF!$C$9:$I$9)+FCFF!$B$9+FCFF!$I$9*(1+Inputs!$B$6)/(B3864-Inputs!$B$6)/(1+B3864)^7</f>
        <v>-1709.711624</v>
      </c>
    </row>
    <row r="3865" ht="14.25" customHeight="1">
      <c r="A3865" s="7">
        <v>3852.0</v>
      </c>
      <c r="B3865" s="14">
        <f t="shared" si="1"/>
        <v>0.1296306083</v>
      </c>
      <c r="C3865" s="39">
        <f t="array" ref="C3865">NPV(B3865,FCFF!$C$9:$I$9)+FCFF!$B$9+FCFF!$I$9*(1+Inputs!$B$6)/(B3865-Inputs!$B$6)/(1+B3865)^7</f>
        <v>-1967.425561</v>
      </c>
    </row>
    <row r="3866" ht="14.25" customHeight="1">
      <c r="A3866" s="7">
        <v>3853.0</v>
      </c>
      <c r="B3866" s="14">
        <f t="shared" si="1"/>
        <v>0.09477101879</v>
      </c>
      <c r="C3866" s="39">
        <f t="array" ref="C3866">NPV(B3866,FCFF!$C$9:$I$9)+FCFF!$B$9+FCFF!$I$9*(1+Inputs!$B$6)/(B3866-Inputs!$B$6)/(1+B3866)^7</f>
        <v>-1223.66856</v>
      </c>
    </row>
    <row r="3867" ht="14.25" customHeight="1">
      <c r="A3867" s="7">
        <v>3854.0</v>
      </c>
      <c r="B3867" s="14">
        <f t="shared" si="1"/>
        <v>0.1169983694</v>
      </c>
      <c r="C3867" s="39">
        <f t="array" ref="C3867">NPV(B3867,FCFF!$C$9:$I$9)+FCFF!$B$9+FCFF!$I$9*(1+Inputs!$B$6)/(B3867-Inputs!$B$6)/(1+B3867)^7</f>
        <v>-1769.295489</v>
      </c>
    </row>
    <row r="3868" ht="14.25" customHeight="1">
      <c r="A3868" s="7">
        <v>3855.0</v>
      </c>
      <c r="B3868" s="14">
        <f t="shared" si="1"/>
        <v>0.1255345756</v>
      </c>
      <c r="C3868" s="39">
        <f t="array" ref="C3868">NPV(B3868,FCFF!$C$9:$I$9)+FCFF!$B$9+FCFF!$I$9*(1+Inputs!$B$6)/(B3868-Inputs!$B$6)/(1+B3868)^7</f>
        <v>-1909.310545</v>
      </c>
    </row>
    <row r="3869" ht="14.25" customHeight="1">
      <c r="A3869" s="7">
        <v>3856.0</v>
      </c>
      <c r="B3869" s="14">
        <f t="shared" si="1"/>
        <v>0.119662896</v>
      </c>
      <c r="C3869" s="39">
        <f t="array" ref="C3869">NPV(B3869,FCFF!$C$9:$I$9)+FCFF!$B$9+FCFF!$I$9*(1+Inputs!$B$6)/(B3869-Inputs!$B$6)/(1+B3869)^7</f>
        <v>-1816.037638</v>
      </c>
    </row>
    <row r="3870" ht="14.25" customHeight="1">
      <c r="A3870" s="7">
        <v>3857.0</v>
      </c>
      <c r="B3870" s="14">
        <f t="shared" si="1"/>
        <v>0.1197446333</v>
      </c>
      <c r="C3870" s="39">
        <f t="array" ref="C3870">NPV(B3870,FCFF!$C$9:$I$9)+FCFF!$B$9+FCFF!$I$9*(1+Inputs!$B$6)/(B3870-Inputs!$B$6)/(1+B3870)^7</f>
        <v>-1817.425214</v>
      </c>
    </row>
    <row r="3871" ht="14.25" customHeight="1">
      <c r="A3871" s="7">
        <v>3858.0</v>
      </c>
      <c r="B3871" s="14">
        <f t="shared" si="1"/>
        <v>0.1060673715</v>
      </c>
      <c r="C3871" s="39">
        <f t="array" ref="C3871">NPV(B3871,FCFF!$C$9:$I$9)+FCFF!$B$9+FCFF!$I$9*(1+Inputs!$B$6)/(B3871-Inputs!$B$6)/(1+B3871)^7</f>
        <v>-1541.62658</v>
      </c>
    </row>
    <row r="3872" ht="14.25" customHeight="1">
      <c r="A3872" s="7">
        <v>3859.0</v>
      </c>
      <c r="B3872" s="14">
        <f t="shared" si="1"/>
        <v>0.09919038949</v>
      </c>
      <c r="C3872" s="39">
        <f t="array" ref="C3872">NPV(B3872,FCFF!$C$9:$I$9)+FCFF!$B$9+FCFF!$I$9*(1+Inputs!$B$6)/(B3872-Inputs!$B$6)/(1+B3872)^7</f>
        <v>-1360.500123</v>
      </c>
    </row>
    <row r="3873" ht="14.25" customHeight="1">
      <c r="A3873" s="7">
        <v>3860.0</v>
      </c>
      <c r="B3873" s="14">
        <f t="shared" si="1"/>
        <v>0.09743615933</v>
      </c>
      <c r="C3873" s="39">
        <f t="array" ref="C3873">NPV(B3873,FCFF!$C$9:$I$9)+FCFF!$B$9+FCFF!$I$9*(1+Inputs!$B$6)/(B3873-Inputs!$B$6)/(1+B3873)^7</f>
        <v>-1308.330059</v>
      </c>
    </row>
    <row r="3874" ht="14.25" customHeight="1">
      <c r="A3874" s="7">
        <v>3861.0</v>
      </c>
      <c r="B3874" s="14">
        <f t="shared" si="1"/>
        <v>0.1313256239</v>
      </c>
      <c r="C3874" s="39">
        <f t="array" ref="C3874">NPV(B3874,FCFF!$C$9:$I$9)+FCFF!$B$9+FCFF!$I$9*(1+Inputs!$B$6)/(B3874-Inputs!$B$6)/(1+B3874)^7</f>
        <v>-1989.990521</v>
      </c>
    </row>
    <row r="3875" ht="14.25" customHeight="1">
      <c r="A3875" s="7">
        <v>3862.0</v>
      </c>
      <c r="B3875" s="14">
        <f t="shared" si="1"/>
        <v>0.1000468294</v>
      </c>
      <c r="C3875" s="39">
        <f t="array" ref="C3875">NPV(B3875,FCFF!$C$9:$I$9)+FCFF!$B$9+FCFF!$I$9*(1+Inputs!$B$6)/(B3875-Inputs!$B$6)/(1+B3875)^7</f>
        <v>-1385.017693</v>
      </c>
    </row>
    <row r="3876" ht="14.25" customHeight="1">
      <c r="A3876" s="7">
        <v>3863.0</v>
      </c>
      <c r="B3876" s="14">
        <f t="shared" si="1"/>
        <v>0.1166433832</v>
      </c>
      <c r="C3876" s="39">
        <f t="array" ref="C3876">NPV(B3876,FCFF!$C$9:$I$9)+FCFF!$B$9+FCFF!$I$9*(1+Inputs!$B$6)/(B3876-Inputs!$B$6)/(1+B3876)^7</f>
        <v>-1762.839522</v>
      </c>
    </row>
    <row r="3877" ht="14.25" customHeight="1">
      <c r="A3877" s="7">
        <v>3864.0</v>
      </c>
      <c r="B3877" s="14">
        <f t="shared" si="1"/>
        <v>0.11306493</v>
      </c>
      <c r="C3877" s="39">
        <f t="array" ref="C3877">NPV(B3877,FCFF!$C$9:$I$9)+FCFF!$B$9+FCFF!$I$9*(1+Inputs!$B$6)/(B3877-Inputs!$B$6)/(1+B3877)^7</f>
        <v>-1694.528219</v>
      </c>
    </row>
    <row r="3878" ht="14.25" customHeight="1">
      <c r="A3878" s="7">
        <v>3865.0</v>
      </c>
      <c r="B3878" s="14">
        <f t="shared" si="1"/>
        <v>0.1295217485</v>
      </c>
      <c r="C3878" s="39">
        <f t="array" ref="C3878">NPV(B3878,FCFF!$C$9:$I$9)+FCFF!$B$9+FCFF!$I$9*(1+Inputs!$B$6)/(B3878-Inputs!$B$6)/(1+B3878)^7</f>
        <v>-1965.947829</v>
      </c>
    </row>
    <row r="3879" ht="14.25" customHeight="1">
      <c r="A3879" s="7">
        <v>3866.0</v>
      </c>
      <c r="B3879" s="14">
        <f t="shared" si="1"/>
        <v>0.1055491976</v>
      </c>
      <c r="C3879" s="39">
        <f t="array" ref="C3879">NPV(B3879,FCFF!$C$9:$I$9)+FCFF!$B$9+FCFF!$I$9*(1+Inputs!$B$6)/(B3879-Inputs!$B$6)/(1+B3879)^7</f>
        <v>-1529.14523</v>
      </c>
    </row>
    <row r="3880" ht="14.25" customHeight="1">
      <c r="A3880" s="7">
        <v>3867.0</v>
      </c>
      <c r="B3880" s="14">
        <f t="shared" si="1"/>
        <v>0.1170163489</v>
      </c>
      <c r="C3880" s="39">
        <f t="array" ref="C3880">NPV(B3880,FCFF!$C$9:$I$9)+FCFF!$B$9+FCFF!$I$9*(1+Inputs!$B$6)/(B3880-Inputs!$B$6)/(1+B3880)^7</f>
        <v>-1769.621</v>
      </c>
    </row>
    <row r="3881" ht="14.25" customHeight="1">
      <c r="A3881" s="7">
        <v>3868.0</v>
      </c>
      <c r="B3881" s="14">
        <f t="shared" si="1"/>
        <v>0.1103127805</v>
      </c>
      <c r="C3881" s="39">
        <f t="array" ref="C3881">NPV(B3881,FCFF!$C$9:$I$9)+FCFF!$B$9+FCFF!$I$9*(1+Inputs!$B$6)/(B3881-Inputs!$B$6)/(1+B3881)^7</f>
        <v>-1637.671887</v>
      </c>
    </row>
    <row r="3882" ht="14.25" customHeight="1">
      <c r="A3882" s="7">
        <v>3869.0</v>
      </c>
      <c r="B3882" s="14">
        <f t="shared" si="1"/>
        <v>0.1177091421</v>
      </c>
      <c r="C3882" s="39">
        <f t="array" ref="C3882">NPV(B3882,FCFF!$C$9:$I$9)+FCFF!$B$9+FCFF!$I$9*(1+Inputs!$B$6)/(B3882-Inputs!$B$6)/(1+B3882)^7</f>
        <v>-1782.056913</v>
      </c>
    </row>
    <row r="3883" ht="14.25" customHeight="1">
      <c r="A3883" s="7">
        <v>3870.0</v>
      </c>
      <c r="B3883" s="14">
        <f t="shared" si="1"/>
        <v>0.116455274</v>
      </c>
      <c r="C3883" s="39">
        <f t="array" ref="C3883">NPV(B3883,FCFF!$C$9:$I$9)+FCFF!$B$9+FCFF!$I$9*(1+Inputs!$B$6)/(B3883-Inputs!$B$6)/(1+B3883)^7</f>
        <v>-1759.395898</v>
      </c>
    </row>
    <row r="3884" ht="14.25" customHeight="1">
      <c r="A3884" s="7">
        <v>3871.0</v>
      </c>
      <c r="B3884" s="14">
        <f t="shared" si="1"/>
        <v>0.09699005973</v>
      </c>
      <c r="C3884" s="39">
        <f t="array" ref="C3884">NPV(B3884,FCFF!$C$9:$I$9)+FCFF!$B$9+FCFF!$I$9*(1+Inputs!$B$6)/(B3884-Inputs!$B$6)/(1+B3884)^7</f>
        <v>-1294.627118</v>
      </c>
    </row>
    <row r="3885" ht="14.25" customHeight="1">
      <c r="A3885" s="7">
        <v>3872.0</v>
      </c>
      <c r="B3885" s="14">
        <f t="shared" si="1"/>
        <v>0.1042560865</v>
      </c>
      <c r="C3885" s="39">
        <f t="array" ref="C3885">NPV(B3885,FCFF!$C$9:$I$9)+FCFF!$B$9+FCFF!$I$9*(1+Inputs!$B$6)/(B3885-Inputs!$B$6)/(1+B3885)^7</f>
        <v>-1497.222346</v>
      </c>
    </row>
    <row r="3886" ht="14.25" customHeight="1">
      <c r="A3886" s="7">
        <v>3873.0</v>
      </c>
      <c r="B3886" s="14">
        <f t="shared" si="1"/>
        <v>0.1140563867</v>
      </c>
      <c r="C3886" s="39">
        <f t="array" ref="C3886">NPV(B3886,FCFF!$C$9:$I$9)+FCFF!$B$9+FCFF!$I$9*(1+Inputs!$B$6)/(B3886-Inputs!$B$6)/(1+B3886)^7</f>
        <v>-1714.063406</v>
      </c>
    </row>
    <row r="3887" ht="14.25" customHeight="1">
      <c r="A3887" s="7">
        <v>3874.0</v>
      </c>
      <c r="B3887" s="14">
        <f t="shared" si="1"/>
        <v>0.1165623414</v>
      </c>
      <c r="C3887" s="39">
        <f t="array" ref="C3887">NPV(B3887,FCFF!$C$9:$I$9)+FCFF!$B$9+FCFF!$I$9*(1+Inputs!$B$6)/(B3887-Inputs!$B$6)/(1+B3887)^7</f>
        <v>-1761.357855</v>
      </c>
    </row>
    <row r="3888" ht="14.25" customHeight="1">
      <c r="A3888" s="7">
        <v>3875.0</v>
      </c>
      <c r="B3888" s="14">
        <f t="shared" si="1"/>
        <v>0.1055968787</v>
      </c>
      <c r="C3888" s="39">
        <f t="array" ref="C3888">NPV(B3888,FCFF!$C$9:$I$9)+FCFF!$B$9+FCFF!$I$9*(1+Inputs!$B$6)/(B3888-Inputs!$B$6)/(1+B3888)^7</f>
        <v>-1530.301037</v>
      </c>
    </row>
    <row r="3889" ht="14.25" customHeight="1">
      <c r="A3889" s="7">
        <v>3876.0</v>
      </c>
      <c r="B3889" s="14">
        <f t="shared" si="1"/>
        <v>0.1037593808</v>
      </c>
      <c r="C3889" s="39">
        <f t="array" ref="C3889">NPV(B3889,FCFF!$C$9:$I$9)+FCFF!$B$9+FCFF!$I$9*(1+Inputs!$B$6)/(B3889-Inputs!$B$6)/(1+B3889)^7</f>
        <v>-1484.657152</v>
      </c>
    </row>
    <row r="3890" ht="14.25" customHeight="1">
      <c r="A3890" s="7">
        <v>3877.0</v>
      </c>
      <c r="B3890" s="14">
        <f t="shared" si="1"/>
        <v>0.1258415313</v>
      </c>
      <c r="C3890" s="39">
        <f t="array" ref="C3890">NPV(B3890,FCFF!$C$9:$I$9)+FCFF!$B$9+FCFF!$I$9*(1+Inputs!$B$6)/(B3890-Inputs!$B$6)/(1+B3890)^7</f>
        <v>-1913.851307</v>
      </c>
    </row>
    <row r="3891" ht="14.25" customHeight="1">
      <c r="A3891" s="7">
        <v>3878.0</v>
      </c>
      <c r="B3891" s="14">
        <f t="shared" si="1"/>
        <v>0.1119492949</v>
      </c>
      <c r="C3891" s="39">
        <f t="array" ref="C3891">NPV(B3891,FCFF!$C$9:$I$9)+FCFF!$B$9+FCFF!$I$9*(1+Inputs!$B$6)/(B3891-Inputs!$B$6)/(1+B3891)^7</f>
        <v>-1671.957838</v>
      </c>
    </row>
    <row r="3892" ht="14.25" customHeight="1">
      <c r="A3892" s="7">
        <v>3879.0</v>
      </c>
      <c r="B3892" s="14">
        <f t="shared" si="1"/>
        <v>0.1147863541</v>
      </c>
      <c r="C3892" s="39">
        <f t="array" ref="C3892">NPV(B3892,FCFF!$C$9:$I$9)+FCFF!$B$9+FCFF!$I$9*(1+Inputs!$B$6)/(B3892-Inputs!$B$6)/(1+B3892)^7</f>
        <v>-1728.141876</v>
      </c>
    </row>
    <row r="3893" ht="14.25" customHeight="1">
      <c r="A3893" s="7">
        <v>3880.0</v>
      </c>
      <c r="B3893" s="14">
        <f t="shared" si="1"/>
        <v>0.1262781678</v>
      </c>
      <c r="C3893" s="39">
        <f t="array" ref="C3893">NPV(B3893,FCFF!$C$9:$I$9)+FCFF!$B$9+FCFF!$I$9*(1+Inputs!$B$6)/(B3893-Inputs!$B$6)/(1+B3893)^7</f>
        <v>-1920.256849</v>
      </c>
    </row>
    <row r="3894" ht="14.25" customHeight="1">
      <c r="A3894" s="7">
        <v>3881.0</v>
      </c>
      <c r="B3894" s="14">
        <f t="shared" si="1"/>
        <v>0.09645332932</v>
      </c>
      <c r="C3894" s="39">
        <f t="array" ref="C3894">NPV(B3894,FCFF!$C$9:$I$9)+FCFF!$B$9+FCFF!$I$9*(1+Inputs!$B$6)/(B3894-Inputs!$B$6)/(1+B3894)^7</f>
        <v>-1277.8968</v>
      </c>
    </row>
    <row r="3895" ht="14.25" customHeight="1">
      <c r="A3895" s="7">
        <v>3882.0</v>
      </c>
      <c r="B3895" s="14">
        <f t="shared" si="1"/>
        <v>0.1267660297</v>
      </c>
      <c r="C3895" s="39">
        <f t="array" ref="C3895">NPV(B3895,FCFF!$C$9:$I$9)+FCFF!$B$9+FCFF!$I$9*(1+Inputs!$B$6)/(B3895-Inputs!$B$6)/(1+B3895)^7</f>
        <v>-1927.340375</v>
      </c>
    </row>
    <row r="3896" ht="14.25" customHeight="1">
      <c r="A3896" s="7">
        <v>3883.0</v>
      </c>
      <c r="B3896" s="14">
        <f t="shared" si="1"/>
        <v>0.09565170437</v>
      </c>
      <c r="C3896" s="39">
        <f t="array" ref="C3896">NPV(B3896,FCFF!$C$9:$I$9)+FCFF!$B$9+FCFF!$I$9*(1+Inputs!$B$6)/(B3896-Inputs!$B$6)/(1+B3896)^7</f>
        <v>-1252.401757</v>
      </c>
    </row>
    <row r="3897" ht="14.25" customHeight="1">
      <c r="A3897" s="7">
        <v>3884.0</v>
      </c>
      <c r="B3897" s="14">
        <f t="shared" si="1"/>
        <v>0.09895038039</v>
      </c>
      <c r="C3897" s="39">
        <f t="array" ref="C3897">NPV(B3897,FCFF!$C$9:$I$9)+FCFF!$B$9+FCFF!$I$9*(1+Inputs!$B$6)/(B3897-Inputs!$B$6)/(1+B3897)^7</f>
        <v>-1353.519509</v>
      </c>
    </row>
    <row r="3898" ht="14.25" customHeight="1">
      <c r="A3898" s="7">
        <v>3885.0</v>
      </c>
      <c r="B3898" s="14">
        <f t="shared" si="1"/>
        <v>0.1316257554</v>
      </c>
      <c r="C3898" s="39">
        <f t="array" ref="C3898">NPV(B3898,FCFF!$C$9:$I$9)+FCFF!$B$9+FCFF!$I$9*(1+Inputs!$B$6)/(B3898-Inputs!$B$6)/(1+B3898)^7</f>
        <v>-1993.900786</v>
      </c>
    </row>
    <row r="3899" ht="14.25" customHeight="1">
      <c r="A3899" s="7">
        <v>3886.0</v>
      </c>
      <c r="B3899" s="14">
        <f t="shared" si="1"/>
        <v>0.1157246872</v>
      </c>
      <c r="C3899" s="39">
        <f t="array" ref="C3899">NPV(B3899,FCFF!$C$9:$I$9)+FCFF!$B$9+FCFF!$I$9*(1+Inputs!$B$6)/(B3899-Inputs!$B$6)/(1+B3899)^7</f>
        <v>-1745.870985</v>
      </c>
    </row>
    <row r="3900" ht="14.25" customHeight="1">
      <c r="A3900" s="7">
        <v>3887.0</v>
      </c>
      <c r="B3900" s="14">
        <f t="shared" si="1"/>
        <v>0.1050889347</v>
      </c>
      <c r="C3900" s="39">
        <f t="array" ref="C3900">NPV(B3900,FCFF!$C$9:$I$9)+FCFF!$B$9+FCFF!$I$9*(1+Inputs!$B$6)/(B3900-Inputs!$B$6)/(1+B3900)^7</f>
        <v>-1517.911259</v>
      </c>
    </row>
    <row r="3901" ht="14.25" customHeight="1">
      <c r="A3901" s="7">
        <v>3888.0</v>
      </c>
      <c r="B3901" s="14">
        <f t="shared" si="1"/>
        <v>0.1226329753</v>
      </c>
      <c r="C3901" s="39">
        <f t="array" ref="C3901">NPV(B3901,FCFF!$C$9:$I$9)+FCFF!$B$9+FCFF!$I$9*(1+Inputs!$B$6)/(B3901-Inputs!$B$6)/(1+B3901)^7</f>
        <v>-1864.792661</v>
      </c>
    </row>
    <row r="3902" ht="14.25" customHeight="1">
      <c r="A3902" s="7">
        <v>3889.0</v>
      </c>
      <c r="B3902" s="14">
        <f t="shared" si="1"/>
        <v>0.09446269366</v>
      </c>
      <c r="C3902" s="39">
        <f t="array" ref="C3902">NPV(B3902,FCFF!$C$9:$I$9)+FCFF!$B$9+FCFF!$I$9*(1+Inputs!$B$6)/(B3902-Inputs!$B$6)/(1+B3902)^7</f>
        <v>-1213.424915</v>
      </c>
    </row>
    <row r="3903" ht="14.25" customHeight="1">
      <c r="A3903" s="7">
        <v>3890.0</v>
      </c>
      <c r="B3903" s="14">
        <f t="shared" si="1"/>
        <v>0.1023906462</v>
      </c>
      <c r="C3903" s="39">
        <f t="array" ref="C3903">NPV(B3903,FCFF!$C$9:$I$9)+FCFF!$B$9+FCFF!$I$9*(1+Inputs!$B$6)/(B3903-Inputs!$B$6)/(1+B3903)^7</f>
        <v>-1449.125787</v>
      </c>
    </row>
    <row r="3904" ht="14.25" customHeight="1">
      <c r="A3904" s="7">
        <v>3891.0</v>
      </c>
      <c r="B3904" s="14">
        <f t="shared" si="1"/>
        <v>0.1287931121</v>
      </c>
      <c r="C3904" s="39">
        <f t="array" ref="C3904">NPV(B3904,FCFF!$C$9:$I$9)+FCFF!$B$9+FCFF!$I$9*(1+Inputs!$B$6)/(B3904-Inputs!$B$6)/(1+B3904)^7</f>
        <v>-1955.965978</v>
      </c>
    </row>
    <row r="3905" ht="14.25" customHeight="1">
      <c r="A3905" s="7">
        <v>3892.0</v>
      </c>
      <c r="B3905" s="14">
        <f t="shared" si="1"/>
        <v>0.09448547132</v>
      </c>
      <c r="C3905" s="39">
        <f t="array" ref="C3905">NPV(B3905,FCFF!$C$9:$I$9)+FCFF!$B$9+FCFF!$I$9*(1+Inputs!$B$6)/(B3905-Inputs!$B$6)/(1+B3905)^7</f>
        <v>-1214.184993</v>
      </c>
    </row>
    <row r="3906" ht="14.25" customHeight="1">
      <c r="A3906" s="7">
        <v>3893.0</v>
      </c>
      <c r="B3906" s="14">
        <f t="shared" si="1"/>
        <v>0.1280674874</v>
      </c>
      <c r="C3906" s="39">
        <f t="array" ref="C3906">NPV(B3906,FCFF!$C$9:$I$9)+FCFF!$B$9+FCFF!$I$9*(1+Inputs!$B$6)/(B3906-Inputs!$B$6)/(1+B3906)^7</f>
        <v>-1945.865792</v>
      </c>
    </row>
    <row r="3907" ht="14.25" customHeight="1">
      <c r="A3907" s="7">
        <v>3894.0</v>
      </c>
      <c r="B3907" s="14">
        <f t="shared" si="1"/>
        <v>0.1044414772</v>
      </c>
      <c r="C3907" s="39">
        <f t="array" ref="C3907">NPV(B3907,FCFF!$C$9:$I$9)+FCFF!$B$9+FCFF!$I$9*(1+Inputs!$B$6)/(B3907-Inputs!$B$6)/(1+B3907)^7</f>
        <v>-1501.868467</v>
      </c>
    </row>
    <row r="3908" ht="14.25" customHeight="1">
      <c r="A3908" s="7">
        <v>3895.0</v>
      </c>
      <c r="B3908" s="14">
        <f t="shared" si="1"/>
        <v>0.1138791686</v>
      </c>
      <c r="C3908" s="39">
        <f t="array" ref="C3908">NPV(B3908,FCFF!$C$9:$I$9)+FCFF!$B$9+FCFF!$I$9*(1+Inputs!$B$6)/(B3908-Inputs!$B$6)/(1+B3908)^7</f>
        <v>-1710.606909</v>
      </c>
    </row>
    <row r="3909" ht="14.25" customHeight="1">
      <c r="A3909" s="7">
        <v>3896.0</v>
      </c>
      <c r="B3909" s="14">
        <f t="shared" si="1"/>
        <v>0.1198975512</v>
      </c>
      <c r="C3909" s="39">
        <f t="array" ref="C3909">NPV(B3909,FCFF!$C$9:$I$9)+FCFF!$B$9+FCFF!$I$9*(1+Inputs!$B$6)/(B3909-Inputs!$B$6)/(1+B3909)^7</f>
        <v>-1820.013985</v>
      </c>
    </row>
    <row r="3910" ht="14.25" customHeight="1">
      <c r="A3910" s="7">
        <v>3897.0</v>
      </c>
      <c r="B3910" s="14">
        <f t="shared" si="1"/>
        <v>0.1000998742</v>
      </c>
      <c r="C3910" s="39">
        <f t="array" ref="C3910">NPV(B3910,FCFF!$C$9:$I$9)+FCFF!$B$9+FCFF!$I$9*(1+Inputs!$B$6)/(B3910-Inputs!$B$6)/(1+B3910)^7</f>
        <v>-1386.516405</v>
      </c>
    </row>
    <row r="3911" ht="14.25" customHeight="1">
      <c r="A3911" s="7">
        <v>3898.0</v>
      </c>
      <c r="B3911" s="14">
        <f t="shared" si="1"/>
        <v>0.1153823964</v>
      </c>
      <c r="C3911" s="39">
        <f t="array" ref="C3911">NPV(B3911,FCFF!$C$9:$I$9)+FCFF!$B$9+FCFF!$I$9*(1+Inputs!$B$6)/(B3911-Inputs!$B$6)/(1+B3911)^7</f>
        <v>-1739.450898</v>
      </c>
    </row>
    <row r="3912" ht="14.25" customHeight="1">
      <c r="A3912" s="7">
        <v>3899.0</v>
      </c>
      <c r="B3912" s="14">
        <f t="shared" si="1"/>
        <v>0.09804738121</v>
      </c>
      <c r="C3912" s="39">
        <f t="array" ref="C3912">NPV(B3912,FCFF!$C$9:$I$9)+FCFF!$B$9+FCFF!$I$9*(1+Inputs!$B$6)/(B3912-Inputs!$B$6)/(1+B3912)^7</f>
        <v>-1326.813418</v>
      </c>
    </row>
    <row r="3913" ht="14.25" customHeight="1">
      <c r="A3913" s="7">
        <v>3900.0</v>
      </c>
      <c r="B3913" s="14">
        <f t="shared" si="1"/>
        <v>0.09600315426</v>
      </c>
      <c r="C3913" s="39">
        <f t="array" ref="C3913">NPV(B3913,FCFF!$C$9:$I$9)+FCFF!$B$9+FCFF!$I$9*(1+Inputs!$B$6)/(B3913-Inputs!$B$6)/(1+B3913)^7</f>
        <v>-1263.655269</v>
      </c>
    </row>
    <row r="3914" ht="14.25" customHeight="1">
      <c r="A3914" s="7">
        <v>3901.0</v>
      </c>
      <c r="B3914" s="14">
        <f t="shared" si="1"/>
        <v>0.1253406058</v>
      </c>
      <c r="C3914" s="39">
        <f t="array" ref="C3914">NPV(B3914,FCFF!$C$9:$I$9)+FCFF!$B$9+FCFF!$I$9*(1+Inputs!$B$6)/(B3914-Inputs!$B$6)/(1+B3914)^7</f>
        <v>-1906.424984</v>
      </c>
    </row>
    <row r="3915" ht="14.25" customHeight="1">
      <c r="A3915" s="7">
        <v>3902.0</v>
      </c>
      <c r="B3915" s="14">
        <f t="shared" si="1"/>
        <v>0.09677703066</v>
      </c>
      <c r="C3915" s="39">
        <f t="array" ref="C3915">NPV(B3915,FCFF!$C$9:$I$9)+FCFF!$B$9+FCFF!$I$9*(1+Inputs!$B$6)/(B3915-Inputs!$B$6)/(1+B3915)^7</f>
        <v>-1288.01895</v>
      </c>
    </row>
    <row r="3916" ht="14.25" customHeight="1">
      <c r="A3916" s="7">
        <v>3903.0</v>
      </c>
      <c r="B3916" s="14">
        <f t="shared" si="1"/>
        <v>0.1220965204</v>
      </c>
      <c r="C3916" s="39">
        <f t="array" ref="C3916">NPV(B3916,FCFF!$C$9:$I$9)+FCFF!$B$9+FCFF!$I$9*(1+Inputs!$B$6)/(B3916-Inputs!$B$6)/(1+B3916)^7</f>
        <v>-1856.233701</v>
      </c>
    </row>
    <row r="3917" ht="14.25" customHeight="1">
      <c r="A3917" s="7">
        <v>3904.0</v>
      </c>
      <c r="B3917" s="14">
        <f t="shared" si="1"/>
        <v>0.1167188141</v>
      </c>
      <c r="C3917" s="39">
        <f t="array" ref="C3917">NPV(B3917,FCFF!$C$9:$I$9)+FCFF!$B$9+FCFF!$I$9*(1+Inputs!$B$6)/(B3917-Inputs!$B$6)/(1+B3917)^7</f>
        <v>-1764.215993</v>
      </c>
    </row>
    <row r="3918" ht="14.25" customHeight="1">
      <c r="A3918" s="7">
        <v>3905.0</v>
      </c>
      <c r="B3918" s="14">
        <f t="shared" si="1"/>
        <v>0.1303519126</v>
      </c>
      <c r="C3918" s="39">
        <f t="array" ref="C3918">NPV(B3918,FCFF!$C$9:$I$9)+FCFF!$B$9+FCFF!$I$9*(1+Inputs!$B$6)/(B3918-Inputs!$B$6)/(1+B3918)^7</f>
        <v>-1977.129178</v>
      </c>
    </row>
    <row r="3919" ht="14.25" customHeight="1">
      <c r="A3919" s="7">
        <v>3906.0</v>
      </c>
      <c r="B3919" s="14">
        <f t="shared" si="1"/>
        <v>0.1158726757</v>
      </c>
      <c r="C3919" s="39">
        <f t="array" ref="C3919">NPV(B3919,FCFF!$C$9:$I$9)+FCFF!$B$9+FCFF!$I$9*(1+Inputs!$B$6)/(B3919-Inputs!$B$6)/(1+B3919)^7</f>
        <v>-1748.630094</v>
      </c>
    </row>
    <row r="3920" ht="14.25" customHeight="1">
      <c r="A3920" s="7">
        <v>3907.0</v>
      </c>
      <c r="B3920" s="14">
        <f t="shared" si="1"/>
        <v>0.09872045149</v>
      </c>
      <c r="C3920" s="39">
        <f t="array" ref="C3920">NPV(B3920,FCFF!$C$9:$I$9)+FCFF!$B$9+FCFF!$I$9*(1+Inputs!$B$6)/(B3920-Inputs!$B$6)/(1+B3920)^7</f>
        <v>-1346.786173</v>
      </c>
    </row>
    <row r="3921" ht="14.25" customHeight="1">
      <c r="A3921" s="7">
        <v>3908.0</v>
      </c>
      <c r="B3921" s="14">
        <f t="shared" si="1"/>
        <v>0.09318928562</v>
      </c>
      <c r="C3921" s="39">
        <f t="array" ref="C3921">NPV(B3921,FCFF!$C$9:$I$9)+FCFF!$B$9+FCFF!$I$9*(1+Inputs!$B$6)/(B3921-Inputs!$B$6)/(1+B3921)^7</f>
        <v>-1170.06865</v>
      </c>
    </row>
    <row r="3922" ht="14.25" customHeight="1">
      <c r="A3922" s="7">
        <v>3909.0</v>
      </c>
      <c r="B3922" s="14">
        <f t="shared" si="1"/>
        <v>0.118579742</v>
      </c>
      <c r="C3922" s="39">
        <f t="array" ref="C3922">NPV(B3922,FCFF!$C$9:$I$9)+FCFF!$B$9+FCFF!$I$9*(1+Inputs!$B$6)/(B3922-Inputs!$B$6)/(1+B3922)^7</f>
        <v>-1797.394242</v>
      </c>
    </row>
    <row r="3923" ht="14.25" customHeight="1">
      <c r="A3923" s="7">
        <v>3910.0</v>
      </c>
      <c r="B3923" s="14">
        <f t="shared" si="1"/>
        <v>0.1205694899</v>
      </c>
      <c r="C3923" s="39">
        <f t="array" ref="C3923">NPV(B3923,FCFF!$C$9:$I$9)+FCFF!$B$9+FCFF!$I$9*(1+Inputs!$B$6)/(B3923-Inputs!$B$6)/(1+B3923)^7</f>
        <v>-1831.279665</v>
      </c>
    </row>
    <row r="3924" ht="14.25" customHeight="1">
      <c r="A3924" s="7">
        <v>3911.0</v>
      </c>
      <c r="B3924" s="14">
        <f t="shared" si="1"/>
        <v>0.1229068006</v>
      </c>
      <c r="C3924" s="39">
        <f t="array" ref="C3924">NPV(B3924,FCFF!$C$9:$I$9)+FCFF!$B$9+FCFF!$I$9*(1+Inputs!$B$6)/(B3924-Inputs!$B$6)/(1+B3924)^7</f>
        <v>-1869.120865</v>
      </c>
    </row>
    <row r="3925" ht="14.25" customHeight="1">
      <c r="A3925" s="7">
        <v>3912.0</v>
      </c>
      <c r="B3925" s="14">
        <f t="shared" si="1"/>
        <v>0.1237188398</v>
      </c>
      <c r="C3925" s="39">
        <f t="array" ref="C3925">NPV(B3925,FCFF!$C$9:$I$9)+FCFF!$B$9+FCFF!$I$9*(1+Inputs!$B$6)/(B3925-Inputs!$B$6)/(1+B3925)^7</f>
        <v>-1881.797729</v>
      </c>
    </row>
    <row r="3926" ht="14.25" customHeight="1">
      <c r="A3926" s="7">
        <v>3913.0</v>
      </c>
      <c r="B3926" s="14">
        <f t="shared" si="1"/>
        <v>0.09475153791</v>
      </c>
      <c r="C3926" s="39">
        <f t="array" ref="C3926">NPV(B3926,FCFF!$C$9:$I$9)+FCFF!$B$9+FCFF!$I$9*(1+Inputs!$B$6)/(B3926-Inputs!$B$6)/(1+B3926)^7</f>
        <v>-1223.024202</v>
      </c>
    </row>
    <row r="3927" ht="14.25" customHeight="1">
      <c r="A3927" s="7">
        <v>3914.0</v>
      </c>
      <c r="B3927" s="14">
        <f t="shared" si="1"/>
        <v>0.09700339633</v>
      </c>
      <c r="C3927" s="39">
        <f t="array" ref="C3927">NPV(B3927,FCFF!$C$9:$I$9)+FCFF!$B$9+FCFF!$I$9*(1+Inputs!$B$6)/(B3927-Inputs!$B$6)/(1+B3927)^7</f>
        <v>-1295.039424</v>
      </c>
    </row>
    <row r="3928" ht="14.25" customHeight="1">
      <c r="A3928" s="7">
        <v>3915.0</v>
      </c>
      <c r="B3928" s="14">
        <f t="shared" si="1"/>
        <v>0.1278890831</v>
      </c>
      <c r="C3928" s="39">
        <f t="array" ref="C3928">NPV(B3928,FCFF!$C$9:$I$9)+FCFF!$B$9+FCFF!$I$9*(1+Inputs!$B$6)/(B3928-Inputs!$B$6)/(1+B3928)^7</f>
        <v>-1943.357742</v>
      </c>
    </row>
    <row r="3929" ht="14.25" customHeight="1">
      <c r="A3929" s="7">
        <v>3916.0</v>
      </c>
      <c r="B3929" s="14">
        <f t="shared" si="1"/>
        <v>0.1237119033</v>
      </c>
      <c r="C3929" s="39">
        <f t="array" ref="C3929">NPV(B3929,FCFF!$C$9:$I$9)+FCFF!$B$9+FCFF!$I$9*(1+Inputs!$B$6)/(B3929-Inputs!$B$6)/(1+B3929)^7</f>
        <v>-1881.690435</v>
      </c>
    </row>
    <row r="3930" ht="14.25" customHeight="1">
      <c r="A3930" s="7">
        <v>3917.0</v>
      </c>
      <c r="B3930" s="14">
        <f t="shared" si="1"/>
        <v>0.1141811323</v>
      </c>
      <c r="C3930" s="39">
        <f t="array" ref="C3930">NPV(B3930,FCFF!$C$9:$I$9)+FCFF!$B$9+FCFF!$I$9*(1+Inputs!$B$6)/(B3930-Inputs!$B$6)/(1+B3930)^7</f>
        <v>-1716.487364</v>
      </c>
    </row>
    <row r="3931" ht="14.25" customHeight="1">
      <c r="A3931" s="7">
        <v>3918.0</v>
      </c>
      <c r="B3931" s="14">
        <f t="shared" si="1"/>
        <v>0.1045828016</v>
      </c>
      <c r="C3931" s="39">
        <f t="array" ref="C3931">NPV(B3931,FCFF!$C$9:$I$9)+FCFF!$B$9+FCFF!$I$9*(1+Inputs!$B$6)/(B3931-Inputs!$B$6)/(1+B3931)^7</f>
        <v>-1505.394436</v>
      </c>
    </row>
    <row r="3932" ht="14.25" customHeight="1">
      <c r="A3932" s="7">
        <v>3919.0</v>
      </c>
      <c r="B3932" s="14">
        <f t="shared" si="1"/>
        <v>0.1154865451</v>
      </c>
      <c r="C3932" s="39">
        <f t="array" ref="C3932">NPV(B3932,FCFF!$C$9:$I$9)+FCFF!$B$9+FCFF!$I$9*(1+Inputs!$B$6)/(B3932-Inputs!$B$6)/(1+B3932)^7</f>
        <v>-1741.410034</v>
      </c>
    </row>
    <row r="3933" ht="14.25" customHeight="1">
      <c r="A3933" s="7">
        <v>3920.0</v>
      </c>
      <c r="B3933" s="14">
        <f t="shared" si="1"/>
        <v>0.1188420388</v>
      </c>
      <c r="C3933" s="39">
        <f t="array" ref="C3933">NPV(B3933,FCFF!$C$9:$I$9)+FCFF!$B$9+FCFF!$I$9*(1+Inputs!$B$6)/(B3933-Inputs!$B$6)/(1+B3933)^7</f>
        <v>-1801.952996</v>
      </c>
    </row>
    <row r="3934" ht="14.25" customHeight="1">
      <c r="A3934" s="7">
        <v>3921.0</v>
      </c>
      <c r="B3934" s="14">
        <f t="shared" si="1"/>
        <v>0.115600137</v>
      </c>
      <c r="C3934" s="39">
        <f t="array" ref="C3934">NPV(B3934,FCFF!$C$9:$I$9)+FCFF!$B$9+FCFF!$I$9*(1+Inputs!$B$6)/(B3934-Inputs!$B$6)/(1+B3934)^7</f>
        <v>-1743.541114</v>
      </c>
    </row>
    <row r="3935" ht="14.25" customHeight="1">
      <c r="A3935" s="7">
        <v>3922.0</v>
      </c>
      <c r="B3935" s="14">
        <f t="shared" si="1"/>
        <v>0.1291395126</v>
      </c>
      <c r="C3935" s="39">
        <f t="array" ref="C3935">NPV(B3935,FCFF!$C$9:$I$9)+FCFF!$B$9+FCFF!$I$9*(1+Inputs!$B$6)/(B3935-Inputs!$B$6)/(1+B3935)^7</f>
        <v>-1960.731256</v>
      </c>
    </row>
    <row r="3936" ht="14.25" customHeight="1">
      <c r="A3936" s="7">
        <v>3923.0</v>
      </c>
      <c r="B3936" s="14">
        <f t="shared" si="1"/>
        <v>0.1007987475</v>
      </c>
      <c r="C3936" s="39">
        <f t="array" ref="C3936">NPV(B3936,FCFF!$C$9:$I$9)+FCFF!$B$9+FCFF!$I$9*(1+Inputs!$B$6)/(B3936-Inputs!$B$6)/(1+B3936)^7</f>
        <v>-1406.050932</v>
      </c>
    </row>
    <row r="3937" ht="14.25" customHeight="1">
      <c r="A3937" s="7">
        <v>3924.0</v>
      </c>
      <c r="B3937" s="14">
        <f t="shared" si="1"/>
        <v>0.09361356919</v>
      </c>
      <c r="C3937" s="39">
        <f t="array" ref="C3937">NPV(B3937,FCFF!$C$9:$I$9)+FCFF!$B$9+FCFF!$I$9*(1+Inputs!$B$6)/(B3937-Inputs!$B$6)/(1+B3937)^7</f>
        <v>-1184.705266</v>
      </c>
    </row>
    <row r="3938" ht="14.25" customHeight="1">
      <c r="A3938" s="7">
        <v>3925.0</v>
      </c>
      <c r="B3938" s="14">
        <f t="shared" si="1"/>
        <v>0.11539302</v>
      </c>
      <c r="C3938" s="39">
        <f t="array" ref="C3938">NPV(B3938,FCFF!$C$9:$I$9)+FCFF!$B$9+FCFF!$I$9*(1+Inputs!$B$6)/(B3938-Inputs!$B$6)/(1+B3938)^7</f>
        <v>-1739.650967</v>
      </c>
    </row>
    <row r="3939" ht="14.25" customHeight="1">
      <c r="A3939" s="7">
        <v>3926.0</v>
      </c>
      <c r="B3939" s="14">
        <f t="shared" si="1"/>
        <v>0.1169245672</v>
      </c>
      <c r="C3939" s="39">
        <f t="array" ref="C3939">NPV(B3939,FCFF!$C$9:$I$9)+FCFF!$B$9+FCFF!$I$9*(1+Inputs!$B$6)/(B3939-Inputs!$B$6)/(1+B3939)^7</f>
        <v>-1767.957843</v>
      </c>
    </row>
    <row r="3940" ht="14.25" customHeight="1">
      <c r="A3940" s="7">
        <v>3927.0</v>
      </c>
      <c r="B3940" s="14">
        <f t="shared" si="1"/>
        <v>0.1286047433</v>
      </c>
      <c r="C3940" s="39">
        <f t="array" ref="C3940">NPV(B3940,FCFF!$C$9:$I$9)+FCFF!$B$9+FCFF!$I$9*(1+Inputs!$B$6)/(B3940-Inputs!$B$6)/(1+B3940)^7</f>
        <v>-1953.35946</v>
      </c>
    </row>
    <row r="3941" ht="14.25" customHeight="1">
      <c r="A3941" s="7">
        <v>3928.0</v>
      </c>
      <c r="B3941" s="14">
        <f t="shared" si="1"/>
        <v>0.1326754738</v>
      </c>
      <c r="C3941" s="39">
        <f t="array" ref="C3941">NPV(B3941,FCFF!$C$9:$I$9)+FCFF!$B$9+FCFF!$I$9*(1+Inputs!$B$6)/(B3941-Inputs!$B$6)/(1+B3941)^7</f>
        <v>-2007.381171</v>
      </c>
    </row>
    <row r="3942" ht="14.25" customHeight="1">
      <c r="A3942" s="7">
        <v>3929.0</v>
      </c>
      <c r="B3942" s="14">
        <f t="shared" si="1"/>
        <v>0.1066209004</v>
      </c>
      <c r="C3942" s="39">
        <f t="array" ref="C3942">NPV(B3942,FCFF!$C$9:$I$9)+FCFF!$B$9+FCFF!$I$9*(1+Inputs!$B$6)/(B3942-Inputs!$B$6)/(1+B3942)^7</f>
        <v>-1554.768881</v>
      </c>
    </row>
    <row r="3943" ht="14.25" customHeight="1">
      <c r="A3943" s="7">
        <v>3930.0</v>
      </c>
      <c r="B3943" s="14">
        <f t="shared" si="1"/>
        <v>0.1105000169</v>
      </c>
      <c r="C3943" s="39">
        <f t="array" ref="C3943">NPV(B3943,FCFF!$C$9:$I$9)+FCFF!$B$9+FCFF!$I$9*(1+Inputs!$B$6)/(B3943-Inputs!$B$6)/(1+B3943)^7</f>
        <v>-1641.667717</v>
      </c>
    </row>
    <row r="3944" ht="14.25" customHeight="1">
      <c r="A3944" s="7">
        <v>3931.0</v>
      </c>
      <c r="B3944" s="14">
        <f t="shared" si="1"/>
        <v>0.1224495194</v>
      </c>
      <c r="C3944" s="39">
        <f t="array" ref="C3944">NPV(B3944,FCFF!$C$9:$I$9)+FCFF!$B$9+FCFF!$I$9*(1+Inputs!$B$6)/(B3944-Inputs!$B$6)/(1+B3944)^7</f>
        <v>-1861.877585</v>
      </c>
    </row>
    <row r="3945" ht="14.25" customHeight="1">
      <c r="A3945" s="7">
        <v>3932.0</v>
      </c>
      <c r="B3945" s="14">
        <f t="shared" si="1"/>
        <v>0.1136924761</v>
      </c>
      <c r="C3945" s="39">
        <f t="array" ref="C3945">NPV(B3945,FCFF!$C$9:$I$9)+FCFF!$B$9+FCFF!$I$9*(1+Inputs!$B$6)/(B3945-Inputs!$B$6)/(1+B3945)^7</f>
        <v>-1706.949111</v>
      </c>
    </row>
    <row r="3946" ht="14.25" customHeight="1">
      <c r="A3946" s="7">
        <v>3933.0</v>
      </c>
      <c r="B3946" s="14">
        <f t="shared" si="1"/>
        <v>0.09797685339</v>
      </c>
      <c r="C3946" s="39">
        <f t="array" ref="C3946">NPV(B3946,FCFF!$C$9:$I$9)+FCFF!$B$9+FCFF!$I$9*(1+Inputs!$B$6)/(B3946-Inputs!$B$6)/(1+B3946)^7</f>
        <v>-1324.697632</v>
      </c>
    </row>
    <row r="3947" ht="14.25" customHeight="1">
      <c r="A3947" s="7">
        <v>3934.0</v>
      </c>
      <c r="B3947" s="14">
        <f t="shared" si="1"/>
        <v>0.1021479801</v>
      </c>
      <c r="C3947" s="39">
        <f t="array" ref="C3947">NPV(B3947,FCFF!$C$9:$I$9)+FCFF!$B$9+FCFF!$I$9*(1+Inputs!$B$6)/(B3947-Inputs!$B$6)/(1+B3947)^7</f>
        <v>-1442.683696</v>
      </c>
    </row>
    <row r="3948" ht="14.25" customHeight="1">
      <c r="A3948" s="7">
        <v>3935.0</v>
      </c>
      <c r="B3948" s="14">
        <f t="shared" si="1"/>
        <v>0.1172831853</v>
      </c>
      <c r="C3948" s="39">
        <f t="array" ref="C3948">NPV(B3948,FCFF!$C$9:$I$9)+FCFF!$B$9+FCFF!$I$9*(1+Inputs!$B$6)/(B3948-Inputs!$B$6)/(1+B3948)^7</f>
        <v>-1774.435407</v>
      </c>
    </row>
    <row r="3949" ht="14.25" customHeight="1">
      <c r="A3949" s="7">
        <v>3936.0</v>
      </c>
      <c r="B3949" s="14">
        <f t="shared" si="1"/>
        <v>0.1282735775</v>
      </c>
      <c r="C3949" s="39">
        <f t="array" ref="C3949">NPV(B3949,FCFF!$C$9:$I$9)+FCFF!$B$9+FCFF!$I$9*(1+Inputs!$B$6)/(B3949-Inputs!$B$6)/(1+B3949)^7</f>
        <v>-1948.750815</v>
      </c>
    </row>
    <row r="3950" ht="14.25" customHeight="1">
      <c r="A3950" s="7">
        <v>3937.0</v>
      </c>
      <c r="B3950" s="14">
        <f t="shared" si="1"/>
        <v>0.1058233904</v>
      </c>
      <c r="C3950" s="39">
        <f t="array" ref="C3950">NPV(B3950,FCFF!$C$9:$I$9)+FCFF!$B$9+FCFF!$I$9*(1+Inputs!$B$6)/(B3950-Inputs!$B$6)/(1+B3950)^7</f>
        <v>-1535.771476</v>
      </c>
    </row>
    <row r="3951" ht="14.25" customHeight="1">
      <c r="A3951" s="7">
        <v>3938.0</v>
      </c>
      <c r="B3951" s="14">
        <f t="shared" si="1"/>
        <v>0.1312386328</v>
      </c>
      <c r="C3951" s="39">
        <f t="array" ref="C3951">NPV(B3951,FCFF!$C$9:$I$9)+FCFF!$B$9+FCFF!$I$9*(1+Inputs!$B$6)/(B3951-Inputs!$B$6)/(1+B3951)^7</f>
        <v>-1988.852437</v>
      </c>
    </row>
    <row r="3952" ht="14.25" customHeight="1">
      <c r="A3952" s="7">
        <v>3939.0</v>
      </c>
      <c r="B3952" s="14">
        <f t="shared" si="1"/>
        <v>0.1226511895</v>
      </c>
      <c r="C3952" s="39">
        <f t="array" ref="C3952">NPV(B3952,FCFF!$C$9:$I$9)+FCFF!$B$9+FCFF!$I$9*(1+Inputs!$B$6)/(B3952-Inputs!$B$6)/(1+B3952)^7</f>
        <v>-1865.081409</v>
      </c>
    </row>
    <row r="3953" ht="14.25" customHeight="1">
      <c r="A3953" s="7">
        <v>3940.0</v>
      </c>
      <c r="B3953" s="14">
        <f t="shared" si="1"/>
        <v>0.1214035834</v>
      </c>
      <c r="C3953" s="39">
        <f t="array" ref="C3953">NPV(B3953,FCFF!$C$9:$I$9)+FCFF!$B$9+FCFF!$I$9*(1+Inputs!$B$6)/(B3953-Inputs!$B$6)/(1+B3953)^7</f>
        <v>-1845.019811</v>
      </c>
    </row>
    <row r="3954" ht="14.25" customHeight="1">
      <c r="A3954" s="7">
        <v>3941.0</v>
      </c>
      <c r="B3954" s="14">
        <f t="shared" si="1"/>
        <v>0.09672053835</v>
      </c>
      <c r="C3954" s="39">
        <f t="array" ref="C3954">NPV(B3954,FCFF!$C$9:$I$9)+FCFF!$B$9+FCFF!$I$9*(1+Inputs!$B$6)/(B3954-Inputs!$B$6)/(1+B3954)^7</f>
        <v>-1286.259492</v>
      </c>
    </row>
    <row r="3955" ht="14.25" customHeight="1">
      <c r="A3955" s="7">
        <v>3942.0</v>
      </c>
      <c r="B3955" s="14">
        <f t="shared" si="1"/>
        <v>0.1190690932</v>
      </c>
      <c r="C3955" s="39">
        <f t="array" ref="C3955">NPV(B3955,FCFF!$C$9:$I$9)+FCFF!$B$9+FCFF!$I$9*(1+Inputs!$B$6)/(B3955-Inputs!$B$6)/(1+B3955)^7</f>
        <v>-1805.876345</v>
      </c>
    </row>
    <row r="3956" ht="14.25" customHeight="1">
      <c r="A3956" s="7">
        <v>3943.0</v>
      </c>
      <c r="B3956" s="14">
        <f t="shared" si="1"/>
        <v>0.1058166757</v>
      </c>
      <c r="C3956" s="39">
        <f t="array" ref="C3956">NPV(B3956,FCFF!$C$9:$I$9)+FCFF!$B$9+FCFF!$I$9*(1+Inputs!$B$6)/(B3956-Inputs!$B$6)/(1+B3956)^7</f>
        <v>-1535.60979</v>
      </c>
    </row>
    <row r="3957" ht="14.25" customHeight="1">
      <c r="A3957" s="7">
        <v>3944.0</v>
      </c>
      <c r="B3957" s="14">
        <f t="shared" si="1"/>
        <v>0.1100185076</v>
      </c>
      <c r="C3957" s="39">
        <f t="array" ref="C3957">NPV(B3957,FCFF!$C$9:$I$9)+FCFF!$B$9+FCFF!$I$9*(1+Inputs!$B$6)/(B3957-Inputs!$B$6)/(1+B3957)^7</f>
        <v>-1631.352726</v>
      </c>
    </row>
    <row r="3958" ht="14.25" customHeight="1">
      <c r="A3958" s="7">
        <v>3945.0</v>
      </c>
      <c r="B3958" s="14">
        <f t="shared" si="1"/>
        <v>0.1083607906</v>
      </c>
      <c r="C3958" s="39">
        <f t="array" ref="C3958">NPV(B3958,FCFF!$C$9:$I$9)+FCFF!$B$9+FCFF!$I$9*(1+Inputs!$B$6)/(B3958-Inputs!$B$6)/(1+B3958)^7</f>
        <v>-1594.840059</v>
      </c>
    </row>
    <row r="3959" ht="14.25" customHeight="1">
      <c r="A3959" s="7">
        <v>3946.0</v>
      </c>
      <c r="B3959" s="14">
        <f t="shared" si="1"/>
        <v>0.1180054688</v>
      </c>
      <c r="C3959" s="39">
        <f t="array" ref="C3959">NPV(B3959,FCFF!$C$9:$I$9)+FCFF!$B$9+FCFF!$I$9*(1+Inputs!$B$6)/(B3959-Inputs!$B$6)/(1+B3959)^7</f>
        <v>-1787.313191</v>
      </c>
    </row>
    <row r="3960" ht="14.25" customHeight="1">
      <c r="A3960" s="7">
        <v>3947.0</v>
      </c>
      <c r="B3960" s="14">
        <f t="shared" si="1"/>
        <v>0.1328288857</v>
      </c>
      <c r="C3960" s="39">
        <f t="array" ref="C3960">NPV(B3960,FCFF!$C$9:$I$9)+FCFF!$B$9+FCFF!$I$9*(1+Inputs!$B$6)/(B3960-Inputs!$B$6)/(1+B3960)^7</f>
        <v>-2009.32612</v>
      </c>
    </row>
    <row r="3961" ht="14.25" customHeight="1">
      <c r="A3961" s="7">
        <v>3948.0</v>
      </c>
      <c r="B3961" s="14">
        <f t="shared" si="1"/>
        <v>0.1278110124</v>
      </c>
      <c r="C3961" s="39">
        <f t="array" ref="C3961">NPV(B3961,FCFF!$C$9:$I$9)+FCFF!$B$9+FCFF!$I$9*(1+Inputs!$B$6)/(B3961-Inputs!$B$6)/(1+B3961)^7</f>
        <v>-1942.257098</v>
      </c>
    </row>
    <row r="3962" ht="14.25" customHeight="1">
      <c r="A3962" s="7">
        <v>3949.0</v>
      </c>
      <c r="B3962" s="14">
        <f t="shared" si="1"/>
        <v>0.09358499562</v>
      </c>
      <c r="C3962" s="39">
        <f t="array" ref="C3962">NPV(B3962,FCFF!$C$9:$I$9)+FCFF!$B$9+FCFF!$I$9*(1+Inputs!$B$6)/(B3962-Inputs!$B$6)/(1+B3962)^7</f>
        <v>-1183.725624</v>
      </c>
    </row>
    <row r="3963" ht="14.25" customHeight="1">
      <c r="A3963" s="7">
        <v>3950.0</v>
      </c>
      <c r="B3963" s="14">
        <f t="shared" si="1"/>
        <v>0.1313306707</v>
      </c>
      <c r="C3963" s="39">
        <f t="array" ref="C3963">NPV(B3963,FCFF!$C$9:$I$9)+FCFF!$B$9+FCFF!$I$9*(1+Inputs!$B$6)/(B3963-Inputs!$B$6)/(1+B3963)^7</f>
        <v>-1990.056483</v>
      </c>
    </row>
    <row r="3964" ht="14.25" customHeight="1">
      <c r="A3964" s="7">
        <v>3951.0</v>
      </c>
      <c r="B3964" s="14">
        <f t="shared" si="1"/>
        <v>0.1204343529</v>
      </c>
      <c r="C3964" s="39">
        <f t="array" ref="C3964">NPV(B3964,FCFF!$C$9:$I$9)+FCFF!$B$9+FCFF!$I$9*(1+Inputs!$B$6)/(B3964-Inputs!$B$6)/(1+B3964)^7</f>
        <v>-1829.028215</v>
      </c>
    </row>
    <row r="3965" ht="14.25" customHeight="1">
      <c r="A3965" s="7">
        <v>3952.0</v>
      </c>
      <c r="B3965" s="14">
        <f t="shared" si="1"/>
        <v>0.1060474055</v>
      </c>
      <c r="C3965" s="39">
        <f t="array" ref="C3965">NPV(B3965,FCFF!$C$9:$I$9)+FCFF!$B$9+FCFF!$I$9*(1+Inputs!$B$6)/(B3965-Inputs!$B$6)/(1+B3965)^7</f>
        <v>-1541.148873</v>
      </c>
    </row>
    <row r="3966" ht="14.25" customHeight="1">
      <c r="A3966" s="7">
        <v>3953.0</v>
      </c>
      <c r="B3966" s="14">
        <f t="shared" si="1"/>
        <v>0.1151610751</v>
      </c>
      <c r="C3966" s="39">
        <f t="array" ref="C3966">NPV(B3966,FCFF!$C$9:$I$9)+FCFF!$B$9+FCFF!$I$9*(1+Inputs!$B$6)/(B3966-Inputs!$B$6)/(1+B3966)^7</f>
        <v>-1735.270981</v>
      </c>
    </row>
    <row r="3967" ht="14.25" customHeight="1">
      <c r="A3967" s="7">
        <v>3954.0</v>
      </c>
      <c r="B3967" s="14">
        <f t="shared" si="1"/>
        <v>0.1160208778</v>
      </c>
      <c r="C3967" s="39">
        <f t="array" ref="C3967">NPV(B3967,FCFF!$C$9:$I$9)+FCFF!$B$9+FCFF!$I$9*(1+Inputs!$B$6)/(B3967-Inputs!$B$6)/(1+B3967)^7</f>
        <v>-1751.383216</v>
      </c>
    </row>
    <row r="3968" ht="14.25" customHeight="1">
      <c r="A3968" s="7">
        <v>3955.0</v>
      </c>
      <c r="B3968" s="14">
        <f t="shared" si="1"/>
        <v>0.1328604121</v>
      </c>
      <c r="C3968" s="39">
        <f t="array" ref="C3968">NPV(B3968,FCFF!$C$9:$I$9)+FCFF!$B$9+FCFF!$I$9*(1+Inputs!$B$6)/(B3968-Inputs!$B$6)/(1+B3968)^7</f>
        <v>-2009.725026</v>
      </c>
    </row>
    <row r="3969" ht="14.25" customHeight="1">
      <c r="A3969" s="7">
        <v>3956.0</v>
      </c>
      <c r="B3969" s="14">
        <f t="shared" si="1"/>
        <v>0.1191229715</v>
      </c>
      <c r="C3969" s="39">
        <f t="array" ref="C3969">NPV(B3969,FCFF!$C$9:$I$9)+FCFF!$B$9+FCFF!$I$9*(1+Inputs!$B$6)/(B3969-Inputs!$B$6)/(1+B3969)^7</f>
        <v>-1806.804228</v>
      </c>
    </row>
    <row r="3970" ht="14.25" customHeight="1">
      <c r="A3970" s="7">
        <v>3957.0</v>
      </c>
      <c r="B3970" s="14">
        <f t="shared" si="1"/>
        <v>0.1282652594</v>
      </c>
      <c r="C3970" s="39">
        <f t="array" ref="C3970">NPV(B3970,FCFF!$C$9:$I$9)+FCFF!$B$9+FCFF!$I$9*(1+Inputs!$B$6)/(B3970-Inputs!$B$6)/(1+B3970)^7</f>
        <v>-1948.634625</v>
      </c>
    </row>
    <row r="3971" ht="14.25" customHeight="1">
      <c r="A3971" s="7">
        <v>3958.0</v>
      </c>
      <c r="B3971" s="14">
        <f t="shared" si="1"/>
        <v>0.1327438719</v>
      </c>
      <c r="C3971" s="39">
        <f t="array" ref="C3971">NPV(B3971,FCFF!$C$9:$I$9)+FCFF!$B$9+FCFF!$I$9*(1+Inputs!$B$6)/(B3971-Inputs!$B$6)/(1+B3971)^7</f>
        <v>-2008.249103</v>
      </c>
    </row>
    <row r="3972" ht="14.25" customHeight="1">
      <c r="A3972" s="7">
        <v>3959.0</v>
      </c>
      <c r="B3972" s="14">
        <f t="shared" si="1"/>
        <v>0.104883381</v>
      </c>
      <c r="C3972" s="39">
        <f t="array" ref="C3972">NPV(B3972,FCFF!$C$9:$I$9)+FCFF!$B$9+FCFF!$I$9*(1+Inputs!$B$6)/(B3972-Inputs!$B$6)/(1+B3972)^7</f>
        <v>-1512.848653</v>
      </c>
    </row>
    <row r="3973" ht="14.25" customHeight="1">
      <c r="A3973" s="7">
        <v>3960.0</v>
      </c>
      <c r="B3973" s="14">
        <f t="shared" si="1"/>
        <v>0.1187777897</v>
      </c>
      <c r="C3973" s="39">
        <f t="array" ref="C3973">NPV(B3973,FCFF!$C$9:$I$9)+FCFF!$B$9+FCFF!$I$9*(1+Inputs!$B$6)/(B3973-Inputs!$B$6)/(1+B3973)^7</f>
        <v>-1800.838967</v>
      </c>
    </row>
    <row r="3974" ht="14.25" customHeight="1">
      <c r="A3974" s="7">
        <v>3961.0</v>
      </c>
      <c r="B3974" s="14">
        <f t="shared" si="1"/>
        <v>0.1231133585</v>
      </c>
      <c r="C3974" s="39">
        <f t="array" ref="C3974">NPV(B3974,FCFF!$C$9:$I$9)+FCFF!$B$9+FCFF!$I$9*(1+Inputs!$B$6)/(B3974-Inputs!$B$6)/(1+B3974)^7</f>
        <v>-1872.367854</v>
      </c>
    </row>
    <row r="3975" ht="14.25" customHeight="1">
      <c r="A3975" s="7">
        <v>3962.0</v>
      </c>
      <c r="B3975" s="14">
        <f t="shared" si="1"/>
        <v>0.09569277468</v>
      </c>
      <c r="C3975" s="39">
        <f t="array" ref="C3975">NPV(B3975,FCFF!$C$9:$I$9)+FCFF!$B$9+FCFF!$I$9*(1+Inputs!$B$6)/(B3975-Inputs!$B$6)/(1+B3975)^7</f>
        <v>-1253.723023</v>
      </c>
    </row>
    <row r="3976" ht="14.25" customHeight="1">
      <c r="A3976" s="7">
        <v>3963.0</v>
      </c>
      <c r="B3976" s="14">
        <f t="shared" si="1"/>
        <v>0.1262265929</v>
      </c>
      <c r="C3976" s="39">
        <f t="array" ref="C3976">NPV(B3976,FCFF!$C$9:$I$9)+FCFF!$B$9+FCFF!$I$9*(1+Inputs!$B$6)/(B3976-Inputs!$B$6)/(1+B3976)^7</f>
        <v>-1919.503489</v>
      </c>
    </row>
    <row r="3977" ht="14.25" customHeight="1">
      <c r="A3977" s="7">
        <v>3964.0</v>
      </c>
      <c r="B3977" s="14">
        <f t="shared" si="1"/>
        <v>0.1323404384</v>
      </c>
      <c r="C3977" s="39">
        <f t="array" ref="C3977">NPV(B3977,FCFF!$C$9:$I$9)+FCFF!$B$9+FCFF!$I$9*(1+Inputs!$B$6)/(B3977-Inputs!$B$6)/(1+B3977)^7</f>
        <v>-2003.111458</v>
      </c>
    </row>
    <row r="3978" ht="14.25" customHeight="1">
      <c r="A3978" s="7">
        <v>3965.0</v>
      </c>
      <c r="B3978" s="14">
        <f t="shared" si="1"/>
        <v>0.1019473857</v>
      </c>
      <c r="C3978" s="39">
        <f t="array" ref="C3978">NPV(B3978,FCFF!$C$9:$I$9)+FCFF!$B$9+FCFF!$I$9*(1+Inputs!$B$6)/(B3978-Inputs!$B$6)/(1+B3978)^7</f>
        <v>-1437.325281</v>
      </c>
    </row>
    <row r="3979" ht="14.25" customHeight="1">
      <c r="A3979" s="7">
        <v>3966.0</v>
      </c>
      <c r="B3979" s="14">
        <f t="shared" si="1"/>
        <v>0.1194390111</v>
      </c>
      <c r="C3979" s="39">
        <f t="array" ref="C3979">NPV(B3979,FCFF!$C$9:$I$9)+FCFF!$B$9+FCFF!$I$9*(1+Inputs!$B$6)/(B3979-Inputs!$B$6)/(1+B3979)^7</f>
        <v>-1812.223218</v>
      </c>
    </row>
    <row r="3980" ht="14.25" customHeight="1">
      <c r="A3980" s="7">
        <v>3967.0</v>
      </c>
      <c r="B3980" s="14">
        <f t="shared" si="1"/>
        <v>0.1022162428</v>
      </c>
      <c r="C3980" s="39">
        <f t="array" ref="C3980">NPV(B3980,FCFF!$C$9:$I$9)+FCFF!$B$9+FCFF!$I$9*(1+Inputs!$B$6)/(B3980-Inputs!$B$6)/(1+B3980)^7</f>
        <v>-1444.500308</v>
      </c>
    </row>
    <row r="3981" ht="14.25" customHeight="1">
      <c r="A3981" s="7">
        <v>3968.0</v>
      </c>
      <c r="B3981" s="14">
        <f t="shared" si="1"/>
        <v>0.1080623533</v>
      </c>
      <c r="C3981" s="39">
        <f t="array" ref="C3981">NPV(B3981,FCFF!$C$9:$I$9)+FCFF!$B$9+FCFF!$I$9*(1+Inputs!$B$6)/(B3981-Inputs!$B$6)/(1+B3981)^7</f>
        <v>-1588.097072</v>
      </c>
    </row>
    <row r="3982" ht="14.25" customHeight="1">
      <c r="A3982" s="7">
        <v>3969.0</v>
      </c>
      <c r="B3982" s="14">
        <f t="shared" si="1"/>
        <v>0.1125906695</v>
      </c>
      <c r="C3982" s="39">
        <f t="array" ref="C3982">NPV(B3982,FCFF!$C$9:$I$9)+FCFF!$B$9+FCFF!$I$9*(1+Inputs!$B$6)/(B3982-Inputs!$B$6)/(1+B3982)^7</f>
        <v>-1685.010905</v>
      </c>
    </row>
    <row r="3983" ht="14.25" customHeight="1">
      <c r="A3983" s="7">
        <v>3970.0</v>
      </c>
      <c r="B3983" s="14">
        <f t="shared" si="1"/>
        <v>0.1008086613</v>
      </c>
      <c r="C3983" s="39">
        <f t="array" ref="C3983">NPV(B3983,FCFF!$C$9:$I$9)+FCFF!$B$9+FCFF!$I$9*(1+Inputs!$B$6)/(B3983-Inputs!$B$6)/(1+B3983)^7</f>
        <v>-1406.32524</v>
      </c>
    </row>
    <row r="3984" ht="14.25" customHeight="1">
      <c r="A3984" s="7">
        <v>3971.0</v>
      </c>
      <c r="B3984" s="14">
        <f t="shared" si="1"/>
        <v>0.1117558459</v>
      </c>
      <c r="C3984" s="39">
        <f t="array" ref="C3984">NPV(B3984,FCFF!$C$9:$I$9)+FCFF!$B$9+FCFF!$I$9*(1+Inputs!$B$6)/(B3984-Inputs!$B$6)/(1+B3984)^7</f>
        <v>-1667.979077</v>
      </c>
    </row>
    <row r="3985" ht="14.25" customHeight="1">
      <c r="A3985" s="7">
        <v>3972.0</v>
      </c>
      <c r="B3985" s="14">
        <f t="shared" si="1"/>
        <v>0.114550878</v>
      </c>
      <c r="C3985" s="39">
        <f t="array" ref="C3985">NPV(B3985,FCFF!$C$9:$I$9)+FCFF!$B$9+FCFF!$I$9*(1+Inputs!$B$6)/(B3985-Inputs!$B$6)/(1+B3985)^7</f>
        <v>-1723.628119</v>
      </c>
    </row>
    <row r="3986" ht="14.25" customHeight="1">
      <c r="A3986" s="7">
        <v>3973.0</v>
      </c>
      <c r="B3986" s="14">
        <f t="shared" si="1"/>
        <v>0.1150424048</v>
      </c>
      <c r="C3986" s="39">
        <f t="array" ref="C3986">NPV(B3986,FCFF!$C$9:$I$9)+FCFF!$B$9+FCFF!$I$9*(1+Inputs!$B$6)/(B3986-Inputs!$B$6)/(1+B3986)^7</f>
        <v>-1733.020374</v>
      </c>
    </row>
    <row r="3987" ht="14.25" customHeight="1">
      <c r="A3987" s="7">
        <v>3974.0</v>
      </c>
      <c r="B3987" s="14">
        <f t="shared" si="1"/>
        <v>0.1108566583</v>
      </c>
      <c r="C3987" s="39">
        <f t="array" ref="C3987">NPV(B3987,FCFF!$C$9:$I$9)+FCFF!$B$9+FCFF!$I$9*(1+Inputs!$B$6)/(B3987-Inputs!$B$6)/(1+B3987)^7</f>
        <v>-1649.225893</v>
      </c>
    </row>
    <row r="3988" ht="14.25" customHeight="1">
      <c r="A3988" s="7">
        <v>3975.0</v>
      </c>
      <c r="B3988" s="14">
        <f t="shared" si="1"/>
        <v>0.116062911</v>
      </c>
      <c r="C3988" s="39">
        <f t="array" ref="C3988">NPV(B3988,FCFF!$C$9:$I$9)+FCFF!$B$9+FCFF!$I$9*(1+Inputs!$B$6)/(B3988-Inputs!$B$6)/(1+B3988)^7</f>
        <v>-1752.162249</v>
      </c>
    </row>
    <row r="3989" ht="14.25" customHeight="1">
      <c r="A3989" s="7">
        <v>3976.0</v>
      </c>
      <c r="B3989" s="14">
        <f t="shared" si="1"/>
        <v>0.1215043971</v>
      </c>
      <c r="C3989" s="39">
        <f t="array" ref="C3989">NPV(B3989,FCFF!$C$9:$I$9)+FCFF!$B$9+FCFF!$I$9*(1+Inputs!$B$6)/(B3989-Inputs!$B$6)/(1+B3989)^7</f>
        <v>-1846.662519</v>
      </c>
    </row>
    <row r="3990" ht="14.25" customHeight="1">
      <c r="A3990" s="7">
        <v>3977.0</v>
      </c>
      <c r="B3990" s="14">
        <f t="shared" si="1"/>
        <v>0.09809039782</v>
      </c>
      <c r="C3990" s="39">
        <f t="array" ref="C3990">NPV(B3990,FCFF!$C$9:$I$9)+FCFF!$B$9+FCFF!$I$9*(1+Inputs!$B$6)/(B3990-Inputs!$B$6)/(1+B3990)^7</f>
        <v>-1328.101732</v>
      </c>
    </row>
    <row r="3991" ht="14.25" customHeight="1">
      <c r="A3991" s="7">
        <v>3978.0</v>
      </c>
      <c r="B3991" s="14">
        <f t="shared" si="1"/>
        <v>0.1253336065</v>
      </c>
      <c r="C3991" s="39">
        <f t="array" ref="C3991">NPV(B3991,FCFF!$C$9:$I$9)+FCFF!$B$9+FCFF!$I$9*(1+Inputs!$B$6)/(B3991-Inputs!$B$6)/(1+B3991)^7</f>
        <v>-1906.320624</v>
      </c>
    </row>
    <row r="3992" ht="14.25" customHeight="1">
      <c r="A3992" s="7">
        <v>3979.0</v>
      </c>
      <c r="B3992" s="14">
        <f t="shared" si="1"/>
        <v>0.110244245</v>
      </c>
      <c r="C3992" s="39">
        <f t="array" ref="C3992">NPV(B3992,FCFF!$C$9:$I$9)+FCFF!$B$9+FCFF!$I$9*(1+Inputs!$B$6)/(B3992-Inputs!$B$6)/(1+B3992)^7</f>
        <v>-1636.204447</v>
      </c>
    </row>
    <row r="3993" ht="14.25" customHeight="1">
      <c r="A3993" s="7">
        <v>3980.0</v>
      </c>
      <c r="B3993" s="14">
        <f t="shared" si="1"/>
        <v>0.1053982109</v>
      </c>
      <c r="C3993" s="39">
        <f t="array" ref="C3993">NPV(B3993,FCFF!$C$9:$I$9)+FCFF!$B$9+FCFF!$I$9*(1+Inputs!$B$6)/(B3993-Inputs!$B$6)/(1+B3993)^7</f>
        <v>-1525.475415</v>
      </c>
    </row>
    <row r="3994" ht="14.25" customHeight="1">
      <c r="A3994" s="7">
        <v>3981.0</v>
      </c>
      <c r="B3994" s="14">
        <f t="shared" si="1"/>
        <v>0.1096785795</v>
      </c>
      <c r="C3994" s="39">
        <f t="array" ref="C3994">NPV(B3994,FCFF!$C$9:$I$9)+FCFF!$B$9+FCFF!$I$9*(1+Inputs!$B$6)/(B3994-Inputs!$B$6)/(1+B3994)^7</f>
        <v>-1623.993166</v>
      </c>
    </row>
    <row r="3995" ht="14.25" customHeight="1">
      <c r="A3995" s="7">
        <v>3982.0</v>
      </c>
      <c r="B3995" s="14">
        <f t="shared" si="1"/>
        <v>0.1116103154</v>
      </c>
      <c r="C3995" s="39">
        <f t="array" ref="C3995">NPV(B3995,FCFF!$C$9:$I$9)+FCFF!$B$9+FCFF!$I$9*(1+Inputs!$B$6)/(B3995-Inputs!$B$6)/(1+B3995)^7</f>
        <v>-1664.972983</v>
      </c>
    </row>
    <row r="3996" ht="14.25" customHeight="1">
      <c r="A3996" s="7">
        <v>3983.0</v>
      </c>
      <c r="B3996" s="14">
        <f t="shared" si="1"/>
        <v>0.1146691181</v>
      </c>
      <c r="C3996" s="39">
        <f t="array" ref="C3996">NPV(B3996,FCFF!$C$9:$I$9)+FCFF!$B$9+FCFF!$I$9*(1+Inputs!$B$6)/(B3996-Inputs!$B$6)/(1+B3996)^7</f>
        <v>-1725.897899</v>
      </c>
    </row>
    <row r="3997" ht="14.25" customHeight="1">
      <c r="A3997" s="7">
        <v>3984.0</v>
      </c>
      <c r="B3997" s="14">
        <f t="shared" si="1"/>
        <v>0.0964651636</v>
      </c>
      <c r="C3997" s="39">
        <f t="array" ref="C3997">NPV(B3997,FCFF!$C$9:$I$9)+FCFF!$B$9+FCFF!$I$9*(1+Inputs!$B$6)/(B3997-Inputs!$B$6)/(1+B3997)^7</f>
        <v>-1278.26859</v>
      </c>
    </row>
    <row r="3998" ht="14.25" customHeight="1">
      <c r="A3998" s="7">
        <v>3985.0</v>
      </c>
      <c r="B3998" s="14">
        <f t="shared" si="1"/>
        <v>0.117773674</v>
      </c>
      <c r="C3998" s="39">
        <f t="array" ref="C3998">NPV(B3998,FCFF!$C$9:$I$9)+FCFF!$B$9+FCFF!$I$9*(1+Inputs!$B$6)/(B3998-Inputs!$B$6)/(1+B3998)^7</f>
        <v>-1783.204771</v>
      </c>
    </row>
    <row r="3999" ht="14.25" customHeight="1">
      <c r="A3999" s="7">
        <v>3986.0</v>
      </c>
      <c r="B3999" s="14">
        <f t="shared" si="1"/>
        <v>0.1158454366</v>
      </c>
      <c r="C3999" s="39">
        <f t="array" ref="C3999">NPV(B3999,FCFF!$C$9:$I$9)+FCFF!$B$9+FCFF!$I$9*(1+Inputs!$B$6)/(B3999-Inputs!$B$6)/(1+B3999)^7</f>
        <v>-1748.122995</v>
      </c>
    </row>
    <row r="4000" ht="14.25" customHeight="1">
      <c r="A4000" s="7">
        <v>3987.0</v>
      </c>
      <c r="B4000" s="14">
        <f t="shared" si="1"/>
        <v>0.09423232432</v>
      </c>
      <c r="C4000" s="39">
        <f t="array" ref="C4000">NPV(B4000,FCFF!$C$9:$I$9)+FCFF!$B$9+FCFF!$I$9*(1+Inputs!$B$6)/(B4000-Inputs!$B$6)/(1+B4000)^7</f>
        <v>-1205.707576</v>
      </c>
    </row>
    <row r="4001" ht="14.25" customHeight="1">
      <c r="A4001" s="7">
        <v>3988.0</v>
      </c>
      <c r="B4001" s="14">
        <f t="shared" si="1"/>
        <v>0.1322603191</v>
      </c>
      <c r="C4001" s="39">
        <f t="array" ref="C4001">NPV(B4001,FCFF!$C$9:$I$9)+FCFF!$B$9+FCFF!$I$9*(1+Inputs!$B$6)/(B4001-Inputs!$B$6)/(1+B4001)^7</f>
        <v>-2002.085886</v>
      </c>
    </row>
    <row r="4002" ht="14.25" customHeight="1">
      <c r="A4002" s="7">
        <v>3989.0</v>
      </c>
      <c r="B4002" s="14">
        <f t="shared" si="1"/>
        <v>0.1177332128</v>
      </c>
      <c r="C4002" s="39">
        <f t="array" ref="C4002">NPV(B4002,FCFF!$C$9:$I$9)+FCFF!$B$9+FCFF!$I$9*(1+Inputs!$B$6)/(B4002-Inputs!$B$6)/(1+B4002)^7</f>
        <v>-1782.485277</v>
      </c>
    </row>
    <row r="4003" ht="14.25" customHeight="1">
      <c r="A4003" s="7">
        <v>3990.0</v>
      </c>
      <c r="B4003" s="14">
        <f t="shared" si="1"/>
        <v>0.1162519297</v>
      </c>
      <c r="C4003" s="39">
        <f t="array" ref="C4003">NPV(B4003,FCFF!$C$9:$I$9)+FCFF!$B$9+FCFF!$I$9*(1+Inputs!$B$6)/(B4003-Inputs!$B$6)/(1+B4003)^7</f>
        <v>-1755.655638</v>
      </c>
    </row>
    <row r="4004" ht="14.25" customHeight="1">
      <c r="A4004" s="7">
        <v>3991.0</v>
      </c>
      <c r="B4004" s="14">
        <f t="shared" si="1"/>
        <v>0.1309820015</v>
      </c>
      <c r="C4004" s="39">
        <f t="array" ref="C4004">NPV(B4004,FCFF!$C$9:$I$9)+FCFF!$B$9+FCFF!$I$9*(1+Inputs!$B$6)/(B4004-Inputs!$B$6)/(1+B4004)^7</f>
        <v>-1985.482555</v>
      </c>
    </row>
    <row r="4005" ht="14.25" customHeight="1">
      <c r="A4005" s="7">
        <v>3992.0</v>
      </c>
      <c r="B4005" s="14">
        <f t="shared" si="1"/>
        <v>0.1082943135</v>
      </c>
      <c r="C4005" s="39">
        <f t="array" ref="C4005">NPV(B4005,FCFF!$C$9:$I$9)+FCFF!$B$9+FCFF!$I$9*(1+Inputs!$B$6)/(B4005-Inputs!$B$6)/(1+B4005)^7</f>
        <v>-1593.34263</v>
      </c>
    </row>
    <row r="4006" ht="14.25" customHeight="1">
      <c r="A4006" s="7">
        <v>3993.0</v>
      </c>
      <c r="B4006" s="14">
        <f t="shared" si="1"/>
        <v>0.1276849159</v>
      </c>
      <c r="C4006" s="39">
        <f t="array" ref="C4006">NPV(B4006,FCFF!$C$9:$I$9)+FCFF!$B$9+FCFF!$I$9*(1+Inputs!$B$6)/(B4006-Inputs!$B$6)/(1+B4006)^7</f>
        <v>-1940.475373</v>
      </c>
    </row>
    <row r="4007" ht="14.25" customHeight="1">
      <c r="A4007" s="7">
        <v>3994.0</v>
      </c>
      <c r="B4007" s="14">
        <f t="shared" si="1"/>
        <v>0.106638377</v>
      </c>
      <c r="C4007" s="39">
        <f t="array" ref="C4007">NPV(B4007,FCFF!$C$9:$I$9)+FCFF!$B$9+FCFF!$I$9*(1+Inputs!$B$6)/(B4007-Inputs!$B$6)/(1+B4007)^7</f>
        <v>-1555.18066</v>
      </c>
    </row>
    <row r="4008" ht="14.25" customHeight="1">
      <c r="A4008" s="7">
        <v>3995.0</v>
      </c>
      <c r="B4008" s="14">
        <f t="shared" si="1"/>
        <v>0.119219867</v>
      </c>
      <c r="C4008" s="39">
        <f t="array" ref="C4008">NPV(B4008,FCFF!$C$9:$I$9)+FCFF!$B$9+FCFF!$I$9*(1+Inputs!$B$6)/(B4008-Inputs!$B$6)/(1+B4008)^7</f>
        <v>-1808.469965</v>
      </c>
    </row>
    <row r="4009" ht="14.25" customHeight="1">
      <c r="A4009" s="7">
        <v>3996.0</v>
      </c>
      <c r="B4009" s="14">
        <f t="shared" si="1"/>
        <v>0.09766530943</v>
      </c>
      <c r="C4009" s="39">
        <f t="array" ref="C4009">NPV(B4009,FCFF!$C$9:$I$9)+FCFF!$B$9+FCFF!$I$9*(1+Inputs!$B$6)/(B4009-Inputs!$B$6)/(1+B4009)^7</f>
        <v>-1315.298706</v>
      </c>
    </row>
    <row r="4010" ht="14.25" customHeight="1">
      <c r="A4010" s="7">
        <v>3997.0</v>
      </c>
      <c r="B4010" s="14">
        <f t="shared" si="1"/>
        <v>0.1051852512</v>
      </c>
      <c r="C4010" s="39">
        <f t="array" ref="C4010">NPV(B4010,FCFF!$C$9:$I$9)+FCFF!$B$9+FCFF!$I$9*(1+Inputs!$B$6)/(B4010-Inputs!$B$6)/(1+B4010)^7</f>
        <v>-1520.27374</v>
      </c>
    </row>
    <row r="4011" ht="14.25" customHeight="1">
      <c r="A4011" s="7">
        <v>3998.0</v>
      </c>
      <c r="B4011" s="14">
        <f t="shared" si="1"/>
        <v>0.1089714813</v>
      </c>
      <c r="C4011" s="39">
        <f t="array" ref="C4011">NPV(B4011,FCFF!$C$9:$I$9)+FCFF!$B$9+FCFF!$I$9*(1+Inputs!$B$6)/(B4011-Inputs!$B$6)/(1+B4011)^7</f>
        <v>-1608.474824</v>
      </c>
    </row>
    <row r="4012" ht="14.25" customHeight="1">
      <c r="A4012" s="7">
        <v>3999.0</v>
      </c>
      <c r="B4012" s="14">
        <f t="shared" si="1"/>
        <v>0.1020643539</v>
      </c>
      <c r="C4012" s="39">
        <f t="array" ref="C4012">NPV(B4012,FCFF!$C$9:$I$9)+FCFF!$B$9+FCFF!$I$9*(1+Inputs!$B$6)/(B4012-Inputs!$B$6)/(1+B4012)^7</f>
        <v>-1440.453485</v>
      </c>
    </row>
    <row r="4013" ht="14.25" customHeight="1">
      <c r="A4013" s="7">
        <v>4000.0</v>
      </c>
      <c r="B4013" s="14">
        <f t="shared" si="1"/>
        <v>0.1293147963</v>
      </c>
      <c r="C4013" s="39">
        <f t="array" ref="C4013">NPV(B4013,FCFF!$C$9:$I$9)+FCFF!$B$9+FCFF!$I$9*(1+Inputs!$B$6)/(B4013-Inputs!$B$6)/(1+B4013)^7</f>
        <v>-1963.128846</v>
      </c>
    </row>
    <row r="4014" ht="14.25" customHeight="1">
      <c r="A4014" s="7">
        <v>4001.0</v>
      </c>
      <c r="B4014" s="14">
        <f t="shared" si="1"/>
        <v>0.0964328093</v>
      </c>
      <c r="C4014" s="39">
        <f t="array" ref="C4014">NPV(B4014,FCFF!$C$9:$I$9)+FCFF!$B$9+FCFF!$I$9*(1+Inputs!$B$6)/(B4014-Inputs!$B$6)/(1+B4014)^7</f>
        <v>-1277.251823</v>
      </c>
    </row>
    <row r="4015" ht="14.25" customHeight="1">
      <c r="A4015" s="7">
        <v>4002.0</v>
      </c>
      <c r="B4015" s="14">
        <f t="shared" si="1"/>
        <v>0.1045264065</v>
      </c>
      <c r="C4015" s="39">
        <f t="array" ref="C4015">NPV(B4015,FCFF!$C$9:$I$9)+FCFF!$B$9+FCFF!$I$9*(1+Inputs!$B$6)/(B4015-Inputs!$B$6)/(1+B4015)^7</f>
        <v>-1503.989041</v>
      </c>
    </row>
    <row r="4016" ht="14.25" customHeight="1">
      <c r="A4016" s="7">
        <v>4003.0</v>
      </c>
      <c r="B4016" s="14">
        <f t="shared" si="1"/>
        <v>0.1245999347</v>
      </c>
      <c r="C4016" s="39">
        <f t="array" ref="C4016">NPV(B4016,FCFF!$C$9:$I$9)+FCFF!$B$9+FCFF!$I$9*(1+Inputs!$B$6)/(B4016-Inputs!$B$6)/(1+B4016)^7</f>
        <v>-1895.289721</v>
      </c>
    </row>
    <row r="4017" ht="14.25" customHeight="1">
      <c r="A4017" s="7">
        <v>4004.0</v>
      </c>
      <c r="B4017" s="14">
        <f t="shared" si="1"/>
        <v>0.1084778013</v>
      </c>
      <c r="C4017" s="39">
        <f t="array" ref="C4017">NPV(B4017,FCFF!$C$9:$I$9)+FCFF!$B$9+FCFF!$I$9*(1+Inputs!$B$6)/(B4017-Inputs!$B$6)/(1+B4017)^7</f>
        <v>-1597.469446</v>
      </c>
    </row>
    <row r="4018" ht="14.25" customHeight="1">
      <c r="A4018" s="7">
        <v>4005.0</v>
      </c>
      <c r="B4018" s="14">
        <f t="shared" si="1"/>
        <v>0.09356994896</v>
      </c>
      <c r="C4018" s="39">
        <f t="array" ref="C4018">NPV(B4018,FCFF!$C$9:$I$9)+FCFF!$B$9+FCFF!$I$9*(1+Inputs!$B$6)/(B4018-Inputs!$B$6)/(1+B4018)^7</f>
        <v>-1183.2094</v>
      </c>
    </row>
    <row r="4019" ht="14.25" customHeight="1">
      <c r="A4019" s="7">
        <v>4006.0</v>
      </c>
      <c r="B4019" s="14">
        <f t="shared" si="1"/>
        <v>0.1002619129</v>
      </c>
      <c r="C4019" s="39">
        <f t="array" ref="C4019">NPV(B4019,FCFF!$C$9:$I$9)+FCFF!$B$9+FCFF!$I$9*(1+Inputs!$B$6)/(B4019-Inputs!$B$6)/(1+B4019)^7</f>
        <v>-1391.08049</v>
      </c>
    </row>
    <row r="4020" ht="14.25" customHeight="1">
      <c r="A4020" s="7">
        <v>4007.0</v>
      </c>
      <c r="B4020" s="14">
        <f t="shared" si="1"/>
        <v>0.1011187406</v>
      </c>
      <c r="C4020" s="39">
        <f t="array" ref="C4020">NPV(B4020,FCFF!$C$9:$I$9)+FCFF!$B$9+FCFF!$I$9*(1+Inputs!$B$6)/(B4020-Inputs!$B$6)/(1+B4020)^7</f>
        <v>-1414.86601</v>
      </c>
    </row>
    <row r="4021" ht="14.25" customHeight="1">
      <c r="A4021" s="7">
        <v>4008.0</v>
      </c>
      <c r="B4021" s="14">
        <f t="shared" si="1"/>
        <v>0.09309336501</v>
      </c>
      <c r="C4021" s="39">
        <f t="array" ref="C4021">NPV(B4021,FCFF!$C$9:$I$9)+FCFF!$B$9+FCFF!$I$9*(1+Inputs!$B$6)/(B4021-Inputs!$B$6)/(1+B4021)^7</f>
        <v>-1166.732684</v>
      </c>
    </row>
    <row r="4022" ht="14.25" customHeight="1">
      <c r="A4022" s="7">
        <v>4009.0</v>
      </c>
      <c r="B4022" s="14">
        <f t="shared" si="1"/>
        <v>0.1261139588</v>
      </c>
      <c r="C4022" s="39">
        <f t="array" ref="C4022">NPV(B4022,FCFF!$C$9:$I$9)+FCFF!$B$9+FCFF!$I$9*(1+Inputs!$B$6)/(B4022-Inputs!$B$6)/(1+B4022)^7</f>
        <v>-1917.855211</v>
      </c>
    </row>
    <row r="4023" ht="14.25" customHeight="1">
      <c r="A4023" s="7">
        <v>4010.0</v>
      </c>
      <c r="B4023" s="14">
        <f t="shared" si="1"/>
        <v>0.11037757</v>
      </c>
      <c r="C4023" s="39">
        <f t="array" ref="C4023">NPV(B4023,FCFF!$C$9:$I$9)+FCFF!$B$9+FCFF!$I$9*(1+Inputs!$B$6)/(B4023-Inputs!$B$6)/(1+B4023)^7</f>
        <v>-1639.056745</v>
      </c>
    </row>
    <row r="4024" ht="14.25" customHeight="1">
      <c r="A4024" s="7">
        <v>4011.0</v>
      </c>
      <c r="B4024" s="14">
        <f t="shared" si="1"/>
        <v>0.1225933845</v>
      </c>
      <c r="C4024" s="39">
        <f t="array" ref="C4024">NPV(B4024,FCFF!$C$9:$I$9)+FCFF!$B$9+FCFF!$I$9*(1+Inputs!$B$6)/(B4024-Inputs!$B$6)/(1+B4024)^7</f>
        <v>-1864.164612</v>
      </c>
    </row>
    <row r="4025" ht="14.25" customHeight="1">
      <c r="A4025" s="7">
        <v>4012.0</v>
      </c>
      <c r="B4025" s="14">
        <f t="shared" si="1"/>
        <v>0.1063864831</v>
      </c>
      <c r="C4025" s="39">
        <f t="array" ref="C4025">NPV(B4025,FCFF!$C$9:$I$9)+FCFF!$B$9+FCFF!$I$9*(1+Inputs!$B$6)/(B4025-Inputs!$B$6)/(1+B4025)^7</f>
        <v>-1549.226958</v>
      </c>
    </row>
    <row r="4026" ht="14.25" customHeight="1">
      <c r="A4026" s="7">
        <v>4013.0</v>
      </c>
      <c r="B4026" s="14">
        <f t="shared" si="1"/>
        <v>0.1293168229</v>
      </c>
      <c r="C4026" s="39">
        <f t="array" ref="C4026">NPV(B4026,FCFF!$C$9:$I$9)+FCFF!$B$9+FCFF!$I$9*(1+Inputs!$B$6)/(B4026-Inputs!$B$6)/(1+B4026)^7</f>
        <v>-1963.156513</v>
      </c>
    </row>
    <row r="4027" ht="14.25" customHeight="1">
      <c r="A4027" s="7">
        <v>4014.0</v>
      </c>
      <c r="B4027" s="14">
        <f t="shared" si="1"/>
        <v>0.132580634</v>
      </c>
      <c r="C4027" s="39">
        <f t="array" ref="C4027">NPV(B4027,FCFF!$C$9:$I$9)+FCFF!$B$9+FCFF!$I$9*(1+Inputs!$B$6)/(B4027-Inputs!$B$6)/(1+B4027)^7</f>
        <v>-2006.175617</v>
      </c>
    </row>
    <row r="4028" ht="14.25" customHeight="1">
      <c r="A4028" s="7">
        <v>4015.0</v>
      </c>
      <c r="B4028" s="14">
        <f t="shared" si="1"/>
        <v>0.1054027293</v>
      </c>
      <c r="C4028" s="39">
        <f t="array" ref="C4028">NPV(B4028,FCFF!$C$9:$I$9)+FCFF!$B$9+FCFF!$I$9*(1+Inputs!$B$6)/(B4028-Inputs!$B$6)/(1+B4028)^7</f>
        <v>-1525.585456</v>
      </c>
    </row>
    <row r="4029" ht="14.25" customHeight="1">
      <c r="A4029" s="7">
        <v>4016.0</v>
      </c>
      <c r="B4029" s="14">
        <f t="shared" si="1"/>
        <v>0.1085279871</v>
      </c>
      <c r="C4029" s="39">
        <f t="array" ref="C4029">NPV(B4029,FCFF!$C$9:$I$9)+FCFF!$B$9+FCFF!$I$9*(1+Inputs!$B$6)/(B4029-Inputs!$B$6)/(1+B4029)^7</f>
        <v>-1598.594717</v>
      </c>
    </row>
    <row r="4030" ht="14.25" customHeight="1">
      <c r="A4030" s="7">
        <v>4017.0</v>
      </c>
      <c r="B4030" s="14">
        <f t="shared" si="1"/>
        <v>0.1152604645</v>
      </c>
      <c r="C4030" s="39">
        <f t="array" ref="C4030">NPV(B4030,FCFF!$C$9:$I$9)+FCFF!$B$9+FCFF!$I$9*(1+Inputs!$B$6)/(B4030-Inputs!$B$6)/(1+B4030)^7</f>
        <v>-1737.150877</v>
      </c>
    </row>
    <row r="4031" ht="14.25" customHeight="1">
      <c r="A4031" s="7">
        <v>4018.0</v>
      </c>
      <c r="B4031" s="14">
        <f t="shared" si="1"/>
        <v>0.114410488</v>
      </c>
      <c r="C4031" s="39">
        <f t="array" ref="C4031">NPV(B4031,FCFF!$C$9:$I$9)+FCFF!$B$9+FCFF!$I$9*(1+Inputs!$B$6)/(B4031-Inputs!$B$6)/(1+B4031)^7</f>
        <v>-1720.924512</v>
      </c>
    </row>
    <row r="4032" ht="14.25" customHeight="1">
      <c r="A4032" s="7">
        <v>4019.0</v>
      </c>
      <c r="B4032" s="14">
        <f t="shared" si="1"/>
        <v>0.1034651234</v>
      </c>
      <c r="C4032" s="39">
        <f t="array" ref="C4032">NPV(B4032,FCFF!$C$9:$I$9)+FCFF!$B$9+FCFF!$I$9*(1+Inputs!$B$6)/(B4032-Inputs!$B$6)/(1+B4032)^7</f>
        <v>-1477.131828</v>
      </c>
    </row>
    <row r="4033" ht="14.25" customHeight="1">
      <c r="A4033" s="7">
        <v>4020.0</v>
      </c>
      <c r="B4033" s="14">
        <f t="shared" si="1"/>
        <v>0.1092241889</v>
      </c>
      <c r="C4033" s="39">
        <f t="array" ref="C4033">NPV(B4033,FCFF!$C$9:$I$9)+FCFF!$B$9+FCFF!$I$9*(1+Inputs!$B$6)/(B4033-Inputs!$B$6)/(1+B4033)^7</f>
        <v>-1614.053666</v>
      </c>
    </row>
    <row r="4034" ht="14.25" customHeight="1">
      <c r="A4034" s="7">
        <v>4021.0</v>
      </c>
      <c r="B4034" s="14">
        <f t="shared" si="1"/>
        <v>0.1217521662</v>
      </c>
      <c r="C4034" s="39">
        <f t="array" ref="C4034">NPV(B4034,FCFF!$C$9:$I$9)+FCFF!$B$9+FCFF!$I$9*(1+Inputs!$B$6)/(B4034-Inputs!$B$6)/(1+B4034)^7</f>
        <v>-1850.683486</v>
      </c>
    </row>
    <row r="4035" ht="14.25" customHeight="1">
      <c r="A4035" s="7">
        <v>4022.0</v>
      </c>
      <c r="B4035" s="14">
        <f t="shared" si="1"/>
        <v>0.1170388595</v>
      </c>
      <c r="C4035" s="39">
        <f t="array" ref="C4035">NPV(B4035,FCFF!$C$9:$I$9)+FCFF!$B$9+FCFF!$I$9*(1+Inputs!$B$6)/(B4035-Inputs!$B$6)/(1+B4035)^7</f>
        <v>-1770.028348</v>
      </c>
    </row>
    <row r="4036" ht="14.25" customHeight="1">
      <c r="A4036" s="7">
        <v>4023.0</v>
      </c>
      <c r="B4036" s="14">
        <f t="shared" si="1"/>
        <v>0.09331648158</v>
      </c>
      <c r="C4036" s="39">
        <f t="array" ref="C4036">NPV(B4036,FCFF!$C$9:$I$9)+FCFF!$B$9+FCFF!$I$9*(1+Inputs!$B$6)/(B4036-Inputs!$B$6)/(1+B4036)^7</f>
        <v>-1174.476918</v>
      </c>
    </row>
    <row r="4037" ht="14.25" customHeight="1">
      <c r="A4037" s="7">
        <v>4024.0</v>
      </c>
      <c r="B4037" s="14">
        <f t="shared" si="1"/>
        <v>0.1182833975</v>
      </c>
      <c r="C4037" s="39">
        <f t="array" ref="C4037">NPV(B4037,FCFF!$C$9:$I$9)+FCFF!$B$9+FCFF!$I$9*(1+Inputs!$B$6)/(B4037-Inputs!$B$6)/(1+B4037)^7</f>
        <v>-1792.209343</v>
      </c>
    </row>
    <row r="4038" ht="14.25" customHeight="1">
      <c r="A4038" s="7">
        <v>4025.0</v>
      </c>
      <c r="B4038" s="14">
        <f t="shared" si="1"/>
        <v>0.1295926813</v>
      </c>
      <c r="C4038" s="39">
        <f t="array" ref="C4038">NPV(B4038,FCFF!$C$9:$I$9)+FCFF!$B$9+FCFF!$I$9*(1+Inputs!$B$6)/(B4038-Inputs!$B$6)/(1+B4038)^7</f>
        <v>-1966.911113</v>
      </c>
    </row>
    <row r="4039" ht="14.25" customHeight="1">
      <c r="A4039" s="7">
        <v>4026.0</v>
      </c>
      <c r="B4039" s="14">
        <f t="shared" si="1"/>
        <v>0.1122843369</v>
      </c>
      <c r="C4039" s="39">
        <f t="array" ref="C4039">NPV(B4039,FCFF!$C$9:$I$9)+FCFF!$B$9+FCFF!$I$9*(1+Inputs!$B$6)/(B4039-Inputs!$B$6)/(1+B4039)^7</f>
        <v>-1678.802879</v>
      </c>
    </row>
    <row r="4040" ht="14.25" customHeight="1">
      <c r="A4040" s="7">
        <v>4027.0</v>
      </c>
      <c r="B4040" s="14">
        <f t="shared" si="1"/>
        <v>0.1153033514</v>
      </c>
      <c r="C4040" s="39">
        <f t="array" ref="C4040">NPV(B4040,FCFF!$C$9:$I$9)+FCFF!$B$9+FCFF!$I$9*(1+Inputs!$B$6)/(B4040-Inputs!$B$6)/(1+B4040)^7</f>
        <v>-1737.960644</v>
      </c>
    </row>
    <row r="4041" ht="14.25" customHeight="1">
      <c r="A4041" s="7">
        <v>4028.0</v>
      </c>
      <c r="B4041" s="14">
        <f t="shared" si="1"/>
        <v>0.1026517436</v>
      </c>
      <c r="C4041" s="39">
        <f t="array" ref="C4041">NPV(B4041,FCFF!$C$9:$I$9)+FCFF!$B$9+FCFF!$I$9*(1+Inputs!$B$6)/(B4041-Inputs!$B$6)/(1+B4041)^7</f>
        <v>-1456.008498</v>
      </c>
    </row>
    <row r="4042" ht="14.25" customHeight="1">
      <c r="A4042" s="7">
        <v>4029.0</v>
      </c>
      <c r="B4042" s="14">
        <f t="shared" si="1"/>
        <v>0.1005473552</v>
      </c>
      <c r="C4042" s="39">
        <f t="array" ref="C4042">NPV(B4042,FCFF!$C$9:$I$9)+FCFF!$B$9+FCFF!$I$9*(1+Inputs!$B$6)/(B4042-Inputs!$B$6)/(1+B4042)^7</f>
        <v>-1399.069067</v>
      </c>
    </row>
    <row r="4043" ht="14.25" customHeight="1">
      <c r="A4043" s="7">
        <v>4030.0</v>
      </c>
      <c r="B4043" s="14">
        <f t="shared" si="1"/>
        <v>0.09315003103</v>
      </c>
      <c r="C4043" s="39">
        <f t="array" ref="C4043">NPV(B4043,FCFF!$C$9:$I$9)+FCFF!$B$9+FCFF!$I$9*(1+Inputs!$B$6)/(B4043-Inputs!$B$6)/(1+B4043)^7</f>
        <v>-1168.704648</v>
      </c>
    </row>
    <row r="4044" ht="14.25" customHeight="1">
      <c r="A4044" s="7">
        <v>4031.0</v>
      </c>
      <c r="B4044" s="14">
        <f t="shared" si="1"/>
        <v>0.113943963</v>
      </c>
      <c r="C4044" s="39">
        <f t="array" ref="C4044">NPV(B4044,FCFF!$C$9:$I$9)+FCFF!$B$9+FCFF!$I$9*(1+Inputs!$B$6)/(B4044-Inputs!$B$6)/(1+B4044)^7</f>
        <v>-1711.872438</v>
      </c>
    </row>
    <row r="4045" ht="14.25" customHeight="1">
      <c r="A4045" s="7">
        <v>4032.0</v>
      </c>
      <c r="B4045" s="14">
        <f t="shared" si="1"/>
        <v>0.1061060512</v>
      </c>
      <c r="C4045" s="39">
        <f t="array" ref="C4045">NPV(B4045,FCFF!$C$9:$I$9)+FCFF!$B$9+FCFF!$I$9*(1+Inputs!$B$6)/(B4045-Inputs!$B$6)/(1+B4045)^7</f>
        <v>-1542.551298</v>
      </c>
    </row>
    <row r="4046" ht="14.25" customHeight="1">
      <c r="A4046" s="7">
        <v>4033.0</v>
      </c>
      <c r="B4046" s="14">
        <f t="shared" si="1"/>
        <v>0.09635839227</v>
      </c>
      <c r="C4046" s="39">
        <f t="array" ref="C4046">NPV(B4046,FCFF!$C$9:$I$9)+FCFF!$B$9+FCFF!$I$9*(1+Inputs!$B$6)/(B4046-Inputs!$B$6)/(1+B4046)^7</f>
        <v>-1274.909439</v>
      </c>
    </row>
    <row r="4047" ht="14.25" customHeight="1">
      <c r="A4047" s="7">
        <v>4034.0</v>
      </c>
      <c r="B4047" s="14">
        <f t="shared" si="1"/>
        <v>0.119013524</v>
      </c>
      <c r="C4047" s="39">
        <f t="array" ref="C4047">NPV(B4047,FCFF!$C$9:$I$9)+FCFF!$B$9+FCFF!$I$9*(1+Inputs!$B$6)/(B4047-Inputs!$B$6)/(1+B4047)^7</f>
        <v>-1804.918099</v>
      </c>
    </row>
    <row r="4048" ht="14.25" customHeight="1">
      <c r="A4048" s="7">
        <v>4035.0</v>
      </c>
      <c r="B4048" s="14">
        <f t="shared" si="1"/>
        <v>0.1066430458</v>
      </c>
      <c r="C4048" s="39">
        <f t="array" ref="C4048">NPV(B4048,FCFF!$C$9:$I$9)+FCFF!$B$9+FCFF!$I$9*(1+Inputs!$B$6)/(B4048-Inputs!$B$6)/(1+B4048)^7</f>
        <v>-1555.290633</v>
      </c>
    </row>
    <row r="4049" ht="14.25" customHeight="1">
      <c r="A4049" s="7">
        <v>4036.0</v>
      </c>
      <c r="B4049" s="14">
        <f t="shared" si="1"/>
        <v>0.1117368262</v>
      </c>
      <c r="C4049" s="39">
        <f t="array" ref="C4049">NPV(B4049,FCFF!$C$9:$I$9)+FCFF!$B$9+FCFF!$I$9*(1+Inputs!$B$6)/(B4049-Inputs!$B$6)/(1+B4049)^7</f>
        <v>-1667.586836</v>
      </c>
    </row>
    <row r="4050" ht="14.25" customHeight="1">
      <c r="A4050" s="7">
        <v>4037.0</v>
      </c>
      <c r="B4050" s="14">
        <f t="shared" si="1"/>
        <v>0.09339421468</v>
      </c>
      <c r="C4050" s="39">
        <f t="array" ref="C4050">NPV(B4050,FCFF!$C$9:$I$9)+FCFF!$B$9+FCFF!$I$9*(1+Inputs!$B$6)/(B4050-Inputs!$B$6)/(1+B4050)^7</f>
        <v>-1177.162328</v>
      </c>
    </row>
    <row r="4051" ht="14.25" customHeight="1">
      <c r="A4051" s="7">
        <v>4038.0</v>
      </c>
      <c r="B4051" s="14">
        <f t="shared" si="1"/>
        <v>0.1136685704</v>
      </c>
      <c r="C4051" s="39">
        <f t="array" ref="C4051">NPV(B4051,FCFF!$C$9:$I$9)+FCFF!$B$9+FCFF!$I$9*(1+Inputs!$B$6)/(B4051-Inputs!$B$6)/(1+B4051)^7</f>
        <v>-1706.479506</v>
      </c>
    </row>
    <row r="4052" ht="14.25" customHeight="1">
      <c r="A4052" s="7">
        <v>4039.0</v>
      </c>
      <c r="B4052" s="14">
        <f t="shared" si="1"/>
        <v>0.1023290105</v>
      </c>
      <c r="C4052" s="39">
        <f t="array" ref="C4052">NPV(B4052,FCFF!$C$9:$I$9)+FCFF!$B$9+FCFF!$I$9*(1+Inputs!$B$6)/(B4052-Inputs!$B$6)/(1+B4052)^7</f>
        <v>-1447.493683</v>
      </c>
    </row>
    <row r="4053" ht="14.25" customHeight="1">
      <c r="A4053" s="7">
        <v>4040.0</v>
      </c>
      <c r="B4053" s="14">
        <f t="shared" si="1"/>
        <v>0.1275497115</v>
      </c>
      <c r="C4053" s="39">
        <f t="array" ref="C4053">NPV(B4053,FCFF!$C$9:$I$9)+FCFF!$B$9+FCFF!$I$9*(1+Inputs!$B$6)/(B4053-Inputs!$B$6)/(1+B4053)^7</f>
        <v>-1938.559434</v>
      </c>
    </row>
    <row r="4054" ht="14.25" customHeight="1">
      <c r="A4054" s="7">
        <v>4041.0</v>
      </c>
      <c r="B4054" s="14">
        <f t="shared" si="1"/>
        <v>0.1280396711</v>
      </c>
      <c r="C4054" s="39">
        <f t="array" ref="C4054">NPV(B4054,FCFF!$C$9:$I$9)+FCFF!$B$9+FCFF!$I$9*(1+Inputs!$B$6)/(B4054-Inputs!$B$6)/(1+B4054)^7</f>
        <v>-1945.475393</v>
      </c>
    </row>
    <row r="4055" ht="14.25" customHeight="1">
      <c r="A4055" s="7">
        <v>4042.0</v>
      </c>
      <c r="B4055" s="14">
        <f t="shared" si="1"/>
        <v>0.1277383293</v>
      </c>
      <c r="C4055" s="39">
        <f t="array" ref="C4055">NPV(B4055,FCFF!$C$9:$I$9)+FCFF!$B$9+FCFF!$I$9*(1+Inputs!$B$6)/(B4055-Inputs!$B$6)/(1+B4055)^7</f>
        <v>-1941.230703</v>
      </c>
    </row>
    <row r="4056" ht="14.25" customHeight="1">
      <c r="A4056" s="7">
        <v>4043.0</v>
      </c>
      <c r="B4056" s="14">
        <f t="shared" si="1"/>
        <v>0.1302149283</v>
      </c>
      <c r="C4056" s="39">
        <f t="array" ref="C4056">NPV(B4056,FCFF!$C$9:$I$9)+FCFF!$B$9+FCFF!$I$9*(1+Inputs!$B$6)/(B4056-Inputs!$B$6)/(1+B4056)^7</f>
        <v>-1975.298005</v>
      </c>
    </row>
    <row r="4057" ht="14.25" customHeight="1">
      <c r="A4057" s="7">
        <v>4044.0</v>
      </c>
      <c r="B4057" s="14">
        <f t="shared" si="1"/>
        <v>0.1119591084</v>
      </c>
      <c r="C4057" s="39">
        <f t="array" ref="C4057">NPV(B4057,FCFF!$C$9:$I$9)+FCFF!$B$9+FCFF!$I$9*(1+Inputs!$B$6)/(B4057-Inputs!$B$6)/(1+B4057)^7</f>
        <v>-1672.159157</v>
      </c>
    </row>
    <row r="4058" ht="14.25" customHeight="1">
      <c r="A4058" s="7">
        <v>4045.0</v>
      </c>
      <c r="B4058" s="14">
        <f t="shared" si="1"/>
        <v>0.1146886775</v>
      </c>
      <c r="C4058" s="39">
        <f t="array" ref="C4058">NPV(B4058,FCFF!$C$9:$I$9)+FCFF!$B$9+FCFF!$I$9*(1+Inputs!$B$6)/(B4058-Inputs!$B$6)/(1+B4058)^7</f>
        <v>-1726.27273</v>
      </c>
    </row>
    <row r="4059" ht="14.25" customHeight="1">
      <c r="A4059" s="7">
        <v>4046.0</v>
      </c>
      <c r="B4059" s="14">
        <f t="shared" si="1"/>
        <v>0.1265502115</v>
      </c>
      <c r="C4059" s="39">
        <f t="array" ref="C4059">NPV(B4059,FCFF!$C$9:$I$9)+FCFF!$B$9+FCFF!$I$9*(1+Inputs!$B$6)/(B4059-Inputs!$B$6)/(1+B4059)^7</f>
        <v>-1924.216296</v>
      </c>
    </row>
    <row r="4060" ht="14.25" customHeight="1">
      <c r="A4060" s="7">
        <v>4047.0</v>
      </c>
      <c r="B4060" s="14">
        <f t="shared" si="1"/>
        <v>0.1037675137</v>
      </c>
      <c r="C4060" s="39">
        <f t="array" ref="C4060">NPV(B4060,FCFF!$C$9:$I$9)+FCFF!$B$9+FCFF!$I$9*(1+Inputs!$B$6)/(B4060-Inputs!$B$6)/(1+B4060)^7</f>
        <v>-1484.864278</v>
      </c>
    </row>
    <row r="4061" ht="14.25" customHeight="1">
      <c r="A4061" s="7">
        <v>4048.0</v>
      </c>
      <c r="B4061" s="14">
        <f t="shared" si="1"/>
        <v>0.1286429438</v>
      </c>
      <c r="C4061" s="39">
        <f t="array" ref="C4061">NPV(B4061,FCFF!$C$9:$I$9)+FCFF!$B$9+FCFF!$I$9*(1+Inputs!$B$6)/(B4061-Inputs!$B$6)/(1+B4061)^7</f>
        <v>-1953.888923</v>
      </c>
    </row>
    <row r="4062" ht="14.25" customHeight="1">
      <c r="A4062" s="7">
        <v>4049.0</v>
      </c>
      <c r="B4062" s="14">
        <f t="shared" si="1"/>
        <v>0.1112086586</v>
      </c>
      <c r="C4062" s="39">
        <f t="array" ref="C4062">NPV(B4062,FCFF!$C$9:$I$9)+FCFF!$B$9+FCFF!$I$9*(1+Inputs!$B$6)/(B4062-Inputs!$B$6)/(1+B4062)^7</f>
        <v>-1656.618354</v>
      </c>
    </row>
    <row r="4063" ht="14.25" customHeight="1">
      <c r="A4063" s="7">
        <v>4050.0</v>
      </c>
      <c r="B4063" s="14">
        <f t="shared" si="1"/>
        <v>0.1303827464</v>
      </c>
      <c r="C4063" s="39">
        <f t="array" ref="C4063">NPV(B4063,FCFF!$C$9:$I$9)+FCFF!$B$9+FCFF!$I$9*(1+Inputs!$B$6)/(B4063-Inputs!$B$6)/(1+B4063)^7</f>
        <v>-1977.540607</v>
      </c>
    </row>
    <row r="4064" ht="14.25" customHeight="1">
      <c r="A4064" s="7">
        <v>4051.0</v>
      </c>
      <c r="B4064" s="14">
        <f t="shared" si="1"/>
        <v>0.1161011751</v>
      </c>
      <c r="C4064" s="39">
        <f t="array" ref="C4064">NPV(B4064,FCFF!$C$9:$I$9)+FCFF!$B$9+FCFF!$I$9*(1+Inputs!$B$6)/(B4064-Inputs!$B$6)/(1+B4064)^7</f>
        <v>-1752.870734</v>
      </c>
    </row>
    <row r="4065" ht="14.25" customHeight="1">
      <c r="A4065" s="7">
        <v>4052.0</v>
      </c>
      <c r="B4065" s="14">
        <f t="shared" si="1"/>
        <v>0.1291729039</v>
      </c>
      <c r="C4065" s="39">
        <f t="array" ref="C4065">NPV(B4065,FCFF!$C$9:$I$9)+FCFF!$B$9+FCFF!$I$9*(1+Inputs!$B$6)/(B4065-Inputs!$B$6)/(1+B4065)^7</f>
        <v>-1961.188701</v>
      </c>
    </row>
    <row r="4066" ht="14.25" customHeight="1">
      <c r="A4066" s="7">
        <v>4053.0</v>
      </c>
      <c r="B4066" s="14">
        <f t="shared" si="1"/>
        <v>0.1260040008</v>
      </c>
      <c r="C4066" s="39">
        <f t="array" ref="C4066">NPV(B4066,FCFF!$C$9:$I$9)+FCFF!$B$9+FCFF!$I$9*(1+Inputs!$B$6)/(B4066-Inputs!$B$6)/(1+B4066)^7</f>
        <v>-1916.242081</v>
      </c>
    </row>
    <row r="4067" ht="14.25" customHeight="1">
      <c r="A4067" s="7">
        <v>4054.0</v>
      </c>
      <c r="B4067" s="14">
        <f t="shared" si="1"/>
        <v>0.1160651714</v>
      </c>
      <c r="C4067" s="39">
        <f t="array" ref="C4067">NPV(B4067,FCFF!$C$9:$I$9)+FCFF!$B$9+FCFF!$I$9*(1+Inputs!$B$6)/(B4067-Inputs!$B$6)/(1+B4067)^7</f>
        <v>-1752.20412</v>
      </c>
    </row>
    <row r="4068" ht="14.25" customHeight="1">
      <c r="A4068" s="7">
        <v>4055.0</v>
      </c>
      <c r="B4068" s="14">
        <f t="shared" si="1"/>
        <v>0.1003969643</v>
      </c>
      <c r="C4068" s="39">
        <f t="array" ref="C4068">NPV(B4068,FCFF!$C$9:$I$9)+FCFF!$B$9+FCFF!$I$9*(1+Inputs!$B$6)/(B4068-Inputs!$B$6)/(1+B4068)^7</f>
        <v>-1394.868263</v>
      </c>
    </row>
    <row r="4069" ht="14.25" customHeight="1">
      <c r="A4069" s="7">
        <v>4056.0</v>
      </c>
      <c r="B4069" s="14">
        <f t="shared" si="1"/>
        <v>0.1270297424</v>
      </c>
      <c r="C4069" s="39">
        <f t="array" ref="C4069">NPV(B4069,FCFF!$C$9:$I$9)+FCFF!$B$9+FCFF!$I$9*(1+Inputs!$B$6)/(B4069-Inputs!$B$6)/(1+B4069)^7</f>
        <v>-1931.137444</v>
      </c>
    </row>
    <row r="4070" ht="14.25" customHeight="1">
      <c r="A4070" s="7">
        <v>4057.0</v>
      </c>
      <c r="B4070" s="14">
        <f t="shared" si="1"/>
        <v>0.1263135209</v>
      </c>
      <c r="C4070" s="39">
        <f t="array" ref="C4070">NPV(B4070,FCFF!$C$9:$I$9)+FCFF!$B$9+FCFF!$I$9*(1+Inputs!$B$6)/(B4070-Inputs!$B$6)/(1+B4070)^7</f>
        <v>-1920.772754</v>
      </c>
    </row>
    <row r="4071" ht="14.25" customHeight="1">
      <c r="A4071" s="7">
        <v>4058.0</v>
      </c>
      <c r="B4071" s="14">
        <f t="shared" si="1"/>
        <v>0.1272307875</v>
      </c>
      <c r="C4071" s="39">
        <f t="array" ref="C4071">NPV(B4071,FCFF!$C$9:$I$9)+FCFF!$B$9+FCFF!$I$9*(1+Inputs!$B$6)/(B4071-Inputs!$B$6)/(1+B4071)^7</f>
        <v>-1934.017289</v>
      </c>
    </row>
    <row r="4072" ht="14.25" customHeight="1">
      <c r="A4072" s="7">
        <v>4059.0</v>
      </c>
      <c r="B4072" s="14">
        <f t="shared" si="1"/>
        <v>0.1125791121</v>
      </c>
      <c r="C4072" s="39">
        <f t="array" ref="C4072">NPV(B4072,FCFF!$C$9:$I$9)+FCFF!$B$9+FCFF!$I$9*(1+Inputs!$B$6)/(B4072-Inputs!$B$6)/(1+B4072)^7</f>
        <v>-1684.777555</v>
      </c>
    </row>
    <row r="4073" ht="14.25" customHeight="1">
      <c r="A4073" s="7">
        <v>4060.0</v>
      </c>
      <c r="B4073" s="14">
        <f t="shared" si="1"/>
        <v>0.1280585963</v>
      </c>
      <c r="C4073" s="39">
        <f t="array" ref="C4073">NPV(B4073,FCFF!$C$9:$I$9)+FCFF!$B$9+FCFF!$I$9*(1+Inputs!$B$6)/(B4073-Inputs!$B$6)/(1+B4073)^7</f>
        <v>-1945.741033</v>
      </c>
    </row>
    <row r="4074" ht="14.25" customHeight="1">
      <c r="A4074" s="7">
        <v>4061.0</v>
      </c>
      <c r="B4074" s="14">
        <f t="shared" si="1"/>
        <v>0.1191347754</v>
      </c>
      <c r="C4074" s="39">
        <f t="array" ref="C4074">NPV(B4074,FCFF!$C$9:$I$9)+FCFF!$B$9+FCFF!$I$9*(1+Inputs!$B$6)/(B4074-Inputs!$B$6)/(1+B4074)^7</f>
        <v>-1807.007354</v>
      </c>
    </row>
    <row r="4075" ht="14.25" customHeight="1">
      <c r="A4075" s="7">
        <v>4062.0</v>
      </c>
      <c r="B4075" s="14">
        <f t="shared" si="1"/>
        <v>0.09509539636</v>
      </c>
      <c r="C4075" s="39">
        <f t="array" ref="C4075">NPV(B4075,FCFF!$C$9:$I$9)+FCFF!$B$9+FCFF!$I$9*(1+Inputs!$B$6)/(B4075-Inputs!$B$6)/(1+B4075)^7</f>
        <v>-1234.341551</v>
      </c>
    </row>
    <row r="4076" ht="14.25" customHeight="1">
      <c r="A4076" s="7">
        <v>4063.0</v>
      </c>
      <c r="B4076" s="14">
        <f t="shared" si="1"/>
        <v>0.1233646121</v>
      </c>
      <c r="C4076" s="39">
        <f t="array" ref="C4076">NPV(B4076,FCFF!$C$9:$I$9)+FCFF!$B$9+FCFF!$I$9*(1+Inputs!$B$6)/(B4076-Inputs!$B$6)/(1+B4076)^7</f>
        <v>-1876.296774</v>
      </c>
    </row>
    <row r="4077" ht="14.25" customHeight="1">
      <c r="A4077" s="7">
        <v>4064.0</v>
      </c>
      <c r="B4077" s="14">
        <f t="shared" si="1"/>
        <v>0.1001145634</v>
      </c>
      <c r="C4077" s="39">
        <f t="array" ref="C4077">NPV(B4077,FCFF!$C$9:$I$9)+FCFF!$B$9+FCFF!$I$9*(1+Inputs!$B$6)/(B4077-Inputs!$B$6)/(1+B4077)^7</f>
        <v>-1386.931026</v>
      </c>
    </row>
    <row r="4078" ht="14.25" customHeight="1">
      <c r="A4078" s="7">
        <v>4065.0</v>
      </c>
      <c r="B4078" s="14">
        <f t="shared" si="1"/>
        <v>0.1141758361</v>
      </c>
      <c r="C4078" s="39">
        <f t="array" ref="C4078">NPV(B4078,FCFF!$C$9:$I$9)+FCFF!$B$9+FCFF!$I$9*(1+Inputs!$B$6)/(B4078-Inputs!$B$6)/(1+B4078)^7</f>
        <v>-1716.384606</v>
      </c>
    </row>
    <row r="4079" ht="14.25" customHeight="1">
      <c r="A4079" s="7">
        <v>4066.0</v>
      </c>
      <c r="B4079" s="14">
        <f t="shared" si="1"/>
        <v>0.1024524893</v>
      </c>
      <c r="C4079" s="39">
        <f t="array" ref="C4079">NPV(B4079,FCFF!$C$9:$I$9)+FCFF!$B$9+FCFF!$I$9*(1+Inputs!$B$6)/(B4079-Inputs!$B$6)/(1+B4079)^7</f>
        <v>-1450.760557</v>
      </c>
    </row>
    <row r="4080" ht="14.25" customHeight="1">
      <c r="A4080" s="7">
        <v>4067.0</v>
      </c>
      <c r="B4080" s="14">
        <f t="shared" si="1"/>
        <v>0.1029341515</v>
      </c>
      <c r="C4080" s="39">
        <f t="array" ref="C4080">NPV(B4080,FCFF!$C$9:$I$9)+FCFF!$B$9+FCFF!$I$9*(1+Inputs!$B$6)/(B4080-Inputs!$B$6)/(1+B4080)^7</f>
        <v>-1463.396748</v>
      </c>
    </row>
    <row r="4081" ht="14.25" customHeight="1">
      <c r="A4081" s="7">
        <v>4068.0</v>
      </c>
      <c r="B4081" s="14">
        <f t="shared" si="1"/>
        <v>0.09859407958</v>
      </c>
      <c r="C4081" s="39">
        <f t="array" ref="C4081">NPV(B4081,FCFF!$C$9:$I$9)+FCFF!$B$9+FCFF!$I$9*(1+Inputs!$B$6)/(B4081-Inputs!$B$6)/(1+B4081)^7</f>
        <v>-1343.066159</v>
      </c>
    </row>
    <row r="4082" ht="14.25" customHeight="1">
      <c r="A4082" s="7">
        <v>4069.0</v>
      </c>
      <c r="B4082" s="14">
        <f t="shared" si="1"/>
        <v>0.1224929961</v>
      </c>
      <c r="C4082" s="39">
        <f t="array" ref="C4082">NPV(B4082,FCFF!$C$9:$I$9)+FCFF!$B$9+FCFF!$I$9*(1+Inputs!$B$6)/(B4082-Inputs!$B$6)/(1+B4082)^7</f>
        <v>-1862.569534</v>
      </c>
    </row>
    <row r="4083" ht="14.25" customHeight="1">
      <c r="A4083" s="7">
        <v>4070.0</v>
      </c>
      <c r="B4083" s="14">
        <f t="shared" si="1"/>
        <v>0.110647141</v>
      </c>
      <c r="C4083" s="39">
        <f t="array" ref="C4083">NPV(B4083,FCFF!$C$9:$I$9)+FCFF!$B$9+FCFF!$I$9*(1+Inputs!$B$6)/(B4083-Inputs!$B$6)/(1+B4083)^7</f>
        <v>-1644.794045</v>
      </c>
    </row>
    <row r="4084" ht="14.25" customHeight="1">
      <c r="A4084" s="7">
        <v>4071.0</v>
      </c>
      <c r="B4084" s="14">
        <f t="shared" si="1"/>
        <v>0.1038554922</v>
      </c>
      <c r="C4084" s="39">
        <f t="array" ref="C4084">NPV(B4084,FCFF!$C$9:$I$9)+FCFF!$B$9+FCFF!$I$9*(1+Inputs!$B$6)/(B4084-Inputs!$B$6)/(1+B4084)^7</f>
        <v>-1487.1019</v>
      </c>
    </row>
    <row r="4085" ht="14.25" customHeight="1">
      <c r="A4085" s="7">
        <v>4072.0</v>
      </c>
      <c r="B4085" s="14">
        <f t="shared" si="1"/>
        <v>0.09474299164</v>
      </c>
      <c r="C4085" s="39">
        <f t="array" ref="C4085">NPV(B4085,FCFF!$C$9:$I$9)+FCFF!$B$9+FCFF!$I$9*(1+Inputs!$B$6)/(B4085-Inputs!$B$6)/(1+B4085)^7</f>
        <v>-1222.7414</v>
      </c>
    </row>
    <row r="4086" ht="14.25" customHeight="1">
      <c r="A4086" s="7">
        <v>4073.0</v>
      </c>
      <c r="B4086" s="14">
        <f t="shared" si="1"/>
        <v>0.0949806487</v>
      </c>
      <c r="C4086" s="39">
        <f t="array" ref="C4086">NPV(B4086,FCFF!$C$9:$I$9)+FCFF!$B$9+FCFF!$I$9*(1+Inputs!$B$6)/(B4086-Inputs!$B$6)/(1+B4086)^7</f>
        <v>-1230.578106</v>
      </c>
    </row>
    <row r="4087" ht="14.25" customHeight="1">
      <c r="A4087" s="7">
        <v>4074.0</v>
      </c>
      <c r="B4087" s="14">
        <f t="shared" si="1"/>
        <v>0.1126108801</v>
      </c>
      <c r="C4087" s="39">
        <f t="array" ref="C4087">NPV(B4087,FCFF!$C$9:$I$9)+FCFF!$B$9+FCFF!$I$9*(1+Inputs!$B$6)/(B4087-Inputs!$B$6)/(1+B4087)^7</f>
        <v>-1685.418803</v>
      </c>
    </row>
    <row r="4088" ht="14.25" customHeight="1">
      <c r="A4088" s="7">
        <v>4075.0</v>
      </c>
      <c r="B4088" s="14">
        <f t="shared" si="1"/>
        <v>0.1165232143</v>
      </c>
      <c r="C4088" s="39">
        <f t="array" ref="C4088">NPV(B4088,FCFF!$C$9:$I$9)+FCFF!$B$9+FCFF!$I$9*(1+Inputs!$B$6)/(B4088-Inputs!$B$6)/(1+B4088)^7</f>
        <v>-1760.64146</v>
      </c>
    </row>
    <row r="4089" ht="14.25" customHeight="1">
      <c r="A4089" s="7">
        <v>4076.0</v>
      </c>
      <c r="B4089" s="14">
        <f t="shared" si="1"/>
        <v>0.1200774726</v>
      </c>
      <c r="C4089" s="39">
        <f t="array" ref="C4089">NPV(B4089,FCFF!$C$9:$I$9)+FCFF!$B$9+FCFF!$I$9*(1+Inputs!$B$6)/(B4089-Inputs!$B$6)/(1+B4089)^7</f>
        <v>-1823.04799</v>
      </c>
    </row>
    <row r="4090" ht="14.25" customHeight="1">
      <c r="A4090" s="7">
        <v>4077.0</v>
      </c>
      <c r="B4090" s="14">
        <f t="shared" si="1"/>
        <v>0.1016374231</v>
      </c>
      <c r="C4090" s="39">
        <f t="array" ref="C4090">NPV(B4090,FCFF!$C$9:$I$9)+FCFF!$B$9+FCFF!$I$9*(1+Inputs!$B$6)/(B4090-Inputs!$B$6)/(1+B4090)^7</f>
        <v>-1428.985651</v>
      </c>
    </row>
    <row r="4091" ht="14.25" customHeight="1">
      <c r="A4091" s="7">
        <v>4078.0</v>
      </c>
      <c r="B4091" s="14">
        <f t="shared" si="1"/>
        <v>0.1146101361</v>
      </c>
      <c r="C4091" s="39">
        <f t="array" ref="C4091">NPV(B4091,FCFF!$C$9:$I$9)+FCFF!$B$9+FCFF!$I$9*(1+Inputs!$B$6)/(B4091-Inputs!$B$6)/(1+B4091)^7</f>
        <v>-1724.766487</v>
      </c>
    </row>
    <row r="4092" ht="14.25" customHeight="1">
      <c r="A4092" s="7">
        <v>4079.0</v>
      </c>
      <c r="B4092" s="14">
        <f t="shared" si="1"/>
        <v>0.1262615563</v>
      </c>
      <c r="C4092" s="39">
        <f t="array" ref="C4092">NPV(B4092,FCFF!$C$9:$I$9)+FCFF!$B$9+FCFF!$I$9*(1+Inputs!$B$6)/(B4092-Inputs!$B$6)/(1+B4092)^7</f>
        <v>-1920.014299</v>
      </c>
    </row>
    <row r="4093" ht="14.25" customHeight="1">
      <c r="A4093" s="7">
        <v>4080.0</v>
      </c>
      <c r="B4093" s="14">
        <f t="shared" si="1"/>
        <v>0.12294931</v>
      </c>
      <c r="C4093" s="39">
        <f t="array" ref="C4093">NPV(B4093,FCFF!$C$9:$I$9)+FCFF!$B$9+FCFF!$I$9*(1+Inputs!$B$6)/(B4093-Inputs!$B$6)/(1+B4093)^7</f>
        <v>-1869.790351</v>
      </c>
    </row>
    <row r="4094" ht="14.25" customHeight="1">
      <c r="A4094" s="7">
        <v>4081.0</v>
      </c>
      <c r="B4094" s="14">
        <f t="shared" si="1"/>
        <v>0.09554045696</v>
      </c>
      <c r="C4094" s="39">
        <f t="array" ref="C4094">NPV(B4094,FCFF!$C$9:$I$9)+FCFF!$B$9+FCFF!$I$9*(1+Inputs!$B$6)/(B4094-Inputs!$B$6)/(1+B4094)^7</f>
        <v>-1248.814563</v>
      </c>
    </row>
    <row r="4095" ht="14.25" customHeight="1">
      <c r="A4095" s="7">
        <v>4082.0</v>
      </c>
      <c r="B4095" s="14">
        <f t="shared" si="1"/>
        <v>0.1251811526</v>
      </c>
      <c r="C4095" s="39">
        <f t="array" ref="C4095">NPV(B4095,FCFF!$C$9:$I$9)+FCFF!$B$9+FCFF!$I$9*(1+Inputs!$B$6)/(B4095-Inputs!$B$6)/(1+B4095)^7</f>
        <v>-1904.043452</v>
      </c>
    </row>
    <row r="4096" ht="14.25" customHeight="1">
      <c r="A4096" s="7">
        <v>4083.0</v>
      </c>
      <c r="B4096" s="14">
        <f t="shared" si="1"/>
        <v>0.122369889</v>
      </c>
      <c r="C4096" s="39">
        <f t="array" ref="C4096">NPV(B4096,FCFF!$C$9:$I$9)+FCFF!$B$9+FCFF!$I$9*(1+Inputs!$B$6)/(B4096-Inputs!$B$6)/(1+B4096)^7</f>
        <v>-1860.608435</v>
      </c>
    </row>
    <row r="4097" ht="14.25" customHeight="1">
      <c r="A4097" s="7">
        <v>4084.0</v>
      </c>
      <c r="B4097" s="14">
        <f t="shared" si="1"/>
        <v>0.1122323476</v>
      </c>
      <c r="C4097" s="39">
        <f t="array" ref="C4097">NPV(B4097,FCFF!$C$9:$I$9)+FCFF!$B$9+FCFF!$I$9*(1+Inputs!$B$6)/(B4097-Inputs!$B$6)/(1+B4097)^7</f>
        <v>-1677.744514</v>
      </c>
    </row>
    <row r="4098" ht="14.25" customHeight="1">
      <c r="A4098" s="7">
        <v>4085.0</v>
      </c>
      <c r="B4098" s="14">
        <f t="shared" si="1"/>
        <v>0.09471750106</v>
      </c>
      <c r="C4098" s="39">
        <f t="array" ref="C4098">NPV(B4098,FCFF!$C$9:$I$9)+FCFF!$B$9+FCFF!$I$9*(1+Inputs!$B$6)/(B4098-Inputs!$B$6)/(1+B4098)^7</f>
        <v>-1221.897459</v>
      </c>
    </row>
    <row r="4099" ht="14.25" customHeight="1">
      <c r="A4099" s="7">
        <v>4086.0</v>
      </c>
      <c r="B4099" s="14">
        <f t="shared" si="1"/>
        <v>0.121794581</v>
      </c>
      <c r="C4099" s="39">
        <f t="array" ref="C4099">NPV(B4099,FCFF!$C$9:$I$9)+FCFF!$B$9+FCFF!$I$9*(1+Inputs!$B$6)/(B4099-Inputs!$B$6)/(1+B4099)^7</f>
        <v>-1851.369509</v>
      </c>
    </row>
    <row r="4100" ht="14.25" customHeight="1">
      <c r="A4100" s="7">
        <v>4087.0</v>
      </c>
      <c r="B4100" s="14">
        <f t="shared" si="1"/>
        <v>0.1167731758</v>
      </c>
      <c r="C4100" s="39">
        <f t="array" ref="C4100">NPV(B4100,FCFF!$C$9:$I$9)+FCFF!$B$9+FCFF!$I$9*(1+Inputs!$B$6)/(B4100-Inputs!$B$6)/(1+B4100)^7</f>
        <v>-1765.206434</v>
      </c>
    </row>
    <row r="4101" ht="14.25" customHeight="1">
      <c r="A4101" s="7">
        <v>4088.0</v>
      </c>
      <c r="B4101" s="14">
        <f t="shared" si="1"/>
        <v>0.09830220952</v>
      </c>
      <c r="C4101" s="39">
        <f t="array" ref="C4101">NPV(B4101,FCFF!$C$9:$I$9)+FCFF!$B$9+FCFF!$I$9*(1+Inputs!$B$6)/(B4101-Inputs!$B$6)/(1+B4101)^7</f>
        <v>-1334.421622</v>
      </c>
    </row>
    <row r="4102" ht="14.25" customHeight="1">
      <c r="A4102" s="7">
        <v>4089.0</v>
      </c>
      <c r="B4102" s="14">
        <f t="shared" si="1"/>
        <v>0.1106143723</v>
      </c>
      <c r="C4102" s="39">
        <f t="array" ref="C4102">NPV(B4102,FCFF!$C$9:$I$9)+FCFF!$B$9+FCFF!$I$9*(1+Inputs!$B$6)/(B4102-Inputs!$B$6)/(1+B4102)^7</f>
        <v>-1644.098744</v>
      </c>
    </row>
    <row r="4103" ht="14.25" customHeight="1">
      <c r="A4103" s="7">
        <v>4090.0</v>
      </c>
      <c r="B4103" s="14">
        <f t="shared" si="1"/>
        <v>0.09411329122</v>
      </c>
      <c r="C4103" s="39">
        <f t="array" ref="C4103">NPV(B4103,FCFF!$C$9:$I$9)+FCFF!$B$9+FCFF!$I$9*(1+Inputs!$B$6)/(B4103-Inputs!$B$6)/(1+B4103)^7</f>
        <v>-1201.698444</v>
      </c>
    </row>
    <row r="4104" ht="14.25" customHeight="1">
      <c r="A4104" s="7">
        <v>4091.0</v>
      </c>
      <c r="B4104" s="14">
        <f t="shared" si="1"/>
        <v>0.1235725871</v>
      </c>
      <c r="C4104" s="39">
        <f t="array" ref="C4104">NPV(B4104,FCFF!$C$9:$I$9)+FCFF!$B$9+FCFF!$I$9*(1+Inputs!$B$6)/(B4104-Inputs!$B$6)/(1+B4104)^7</f>
        <v>-1879.531899</v>
      </c>
    </row>
    <row r="4105" ht="14.25" customHeight="1">
      <c r="A4105" s="7">
        <v>4092.0</v>
      </c>
      <c r="B4105" s="14">
        <f t="shared" si="1"/>
        <v>0.1129267387</v>
      </c>
      <c r="C4105" s="39">
        <f t="array" ref="C4105">NPV(B4105,FCFF!$C$9:$I$9)+FCFF!$B$9+FCFF!$I$9*(1+Inputs!$B$6)/(B4105-Inputs!$B$6)/(1+B4105)^7</f>
        <v>-1691.766728</v>
      </c>
    </row>
    <row r="4106" ht="14.25" customHeight="1">
      <c r="A4106" s="7">
        <v>4093.0</v>
      </c>
      <c r="B4106" s="14">
        <f t="shared" si="1"/>
        <v>0.09361307212</v>
      </c>
      <c r="C4106" s="39">
        <f t="array" ref="C4106">NPV(B4106,FCFF!$C$9:$I$9)+FCFF!$B$9+FCFF!$I$9*(1+Inputs!$B$6)/(B4106-Inputs!$B$6)/(1+B4106)^7</f>
        <v>-1184.688232</v>
      </c>
    </row>
    <row r="4107" ht="14.25" customHeight="1">
      <c r="A4107" s="7">
        <v>4094.0</v>
      </c>
      <c r="B4107" s="14">
        <f t="shared" si="1"/>
        <v>0.1272772181</v>
      </c>
      <c r="C4107" s="39">
        <f t="array" ref="C4107">NPV(B4107,FCFF!$C$9:$I$9)+FCFF!$B$9+FCFF!$I$9*(1+Inputs!$B$6)/(B4107-Inputs!$B$6)/(1+B4107)^7</f>
        <v>-1934.680555</v>
      </c>
    </row>
    <row r="4108" ht="14.25" customHeight="1">
      <c r="A4108" s="7">
        <v>4095.0</v>
      </c>
      <c r="B4108" s="14">
        <f t="shared" si="1"/>
        <v>0.1306742512</v>
      </c>
      <c r="C4108" s="39">
        <f t="array" ref="C4108">NPV(B4108,FCFF!$C$9:$I$9)+FCFF!$B$9+FCFF!$I$9*(1+Inputs!$B$6)/(B4108-Inputs!$B$6)/(1+B4108)^7</f>
        <v>-1981.416768</v>
      </c>
    </row>
    <row r="4109" ht="14.25" customHeight="1">
      <c r="A4109" s="7">
        <v>4096.0</v>
      </c>
      <c r="B4109" s="14">
        <f t="shared" si="1"/>
        <v>0.1173798927</v>
      </c>
      <c r="C4109" s="39">
        <f t="array" ref="C4109">NPV(B4109,FCFF!$C$9:$I$9)+FCFF!$B$9+FCFF!$I$9*(1+Inputs!$B$6)/(B4109-Inputs!$B$6)/(1+B4109)^7</f>
        <v>-1776.172621</v>
      </c>
    </row>
    <row r="4110" ht="14.25" customHeight="1">
      <c r="A4110" s="7">
        <v>4097.0</v>
      </c>
      <c r="B4110" s="14">
        <f t="shared" si="1"/>
        <v>0.1140637053</v>
      </c>
      <c r="C4110" s="39">
        <f t="array" ref="C4110">NPV(B4110,FCFF!$C$9:$I$9)+FCFF!$B$9+FCFF!$I$9*(1+Inputs!$B$6)/(B4110-Inputs!$B$6)/(1+B4110)^7</f>
        <v>-1714.205822</v>
      </c>
    </row>
    <row r="4111" ht="14.25" customHeight="1">
      <c r="A4111" s="7">
        <v>4098.0</v>
      </c>
      <c r="B4111" s="14">
        <f t="shared" si="1"/>
        <v>0.1294694129</v>
      </c>
      <c r="C4111" s="39">
        <f t="array" ref="C4111">NPV(B4111,FCFF!$C$9:$I$9)+FCFF!$B$9+FCFF!$I$9*(1+Inputs!$B$6)/(B4111-Inputs!$B$6)/(1+B4111)^7</f>
        <v>-1965.236146</v>
      </c>
    </row>
    <row r="4112" ht="14.25" customHeight="1">
      <c r="A4112" s="7">
        <v>4099.0</v>
      </c>
      <c r="B4112" s="14">
        <f t="shared" si="1"/>
        <v>0.1208069257</v>
      </c>
      <c r="C4112" s="39">
        <f t="array" ref="C4112">NPV(B4112,FCFF!$C$9:$I$9)+FCFF!$B$9+FCFF!$I$9*(1+Inputs!$B$6)/(B4112-Inputs!$B$6)/(1+B4112)^7</f>
        <v>-1835.218255</v>
      </c>
    </row>
    <row r="4113" ht="14.25" customHeight="1">
      <c r="A4113" s="7">
        <v>4100.0</v>
      </c>
      <c r="B4113" s="14">
        <f t="shared" si="1"/>
        <v>0.1320371551</v>
      </c>
      <c r="C4113" s="39">
        <f t="array" ref="C4113">NPV(B4113,FCFF!$C$9:$I$9)+FCFF!$B$9+FCFF!$I$9*(1+Inputs!$B$6)/(B4113-Inputs!$B$6)/(1+B4113)^7</f>
        <v>-1999.219998</v>
      </c>
    </row>
    <row r="4114" ht="14.25" customHeight="1">
      <c r="A4114" s="7">
        <v>4101.0</v>
      </c>
      <c r="B4114" s="14">
        <f t="shared" si="1"/>
        <v>0.1115511491</v>
      </c>
      <c r="C4114" s="39">
        <f t="array" ref="C4114">NPV(B4114,FCFF!$C$9:$I$9)+FCFF!$B$9+FCFF!$I$9*(1+Inputs!$B$6)/(B4114-Inputs!$B$6)/(1+B4114)^7</f>
        <v>-1663.747655</v>
      </c>
    </row>
    <row r="4115" ht="14.25" customHeight="1">
      <c r="A4115" s="7">
        <v>4102.0</v>
      </c>
      <c r="B4115" s="14">
        <f t="shared" si="1"/>
        <v>0.1050877466</v>
      </c>
      <c r="C4115" s="39">
        <f t="array" ref="C4115">NPV(B4115,FCFF!$C$9:$I$9)+FCFF!$B$9+FCFF!$I$9*(1+Inputs!$B$6)/(B4115-Inputs!$B$6)/(1+B4115)^7</f>
        <v>-1517.88208</v>
      </c>
    </row>
    <row r="4116" ht="14.25" customHeight="1">
      <c r="A4116" s="7">
        <v>4103.0</v>
      </c>
      <c r="B4116" s="14">
        <f t="shared" si="1"/>
        <v>0.1316221932</v>
      </c>
      <c r="C4116" s="39">
        <f t="array" ref="C4116">NPV(B4116,FCFF!$C$9:$I$9)+FCFF!$B$9+FCFF!$I$9*(1+Inputs!$B$6)/(B4116-Inputs!$B$6)/(1+B4116)^7</f>
        <v>-1993.854525</v>
      </c>
    </row>
    <row r="4117" ht="14.25" customHeight="1">
      <c r="A4117" s="7">
        <v>4104.0</v>
      </c>
      <c r="B4117" s="14">
        <f t="shared" si="1"/>
        <v>0.1209058262</v>
      </c>
      <c r="C4117" s="39">
        <f t="array" ref="C4117">NPV(B4117,FCFF!$C$9:$I$9)+FCFF!$B$9+FCFF!$I$9*(1+Inputs!$B$6)/(B4117-Inputs!$B$6)/(1+B4117)^7</f>
        <v>-1836.852381</v>
      </c>
    </row>
    <row r="4118" ht="14.25" customHeight="1">
      <c r="A4118" s="7">
        <v>4105.0</v>
      </c>
      <c r="B4118" s="14">
        <f t="shared" si="1"/>
        <v>0.1056252294</v>
      </c>
      <c r="C4118" s="39">
        <f t="array" ref="C4118">NPV(B4118,FCFF!$C$9:$I$9)+FCFF!$B$9+FCFF!$I$9*(1+Inputs!$B$6)/(B4118-Inputs!$B$6)/(1+B4118)^7</f>
        <v>-1530.987561</v>
      </c>
    </row>
    <row r="4119" ht="14.25" customHeight="1">
      <c r="A4119" s="7">
        <v>4106.0</v>
      </c>
      <c r="B4119" s="14">
        <f t="shared" si="1"/>
        <v>0.1081670565</v>
      </c>
      <c r="C4119" s="39">
        <f t="array" ref="C4119">NPV(B4119,FCFF!$C$9:$I$9)+FCFF!$B$9+FCFF!$I$9*(1+Inputs!$B$6)/(B4119-Inputs!$B$6)/(1+B4119)^7</f>
        <v>-1590.468796</v>
      </c>
    </row>
    <row r="4120" ht="14.25" customHeight="1">
      <c r="A4120" s="7">
        <v>4107.0</v>
      </c>
      <c r="B4120" s="14">
        <f t="shared" si="1"/>
        <v>0.1032036071</v>
      </c>
      <c r="C4120" s="39">
        <f t="array" ref="C4120">NPV(B4120,FCFF!$C$9:$I$9)+FCFF!$B$9+FCFF!$I$9*(1+Inputs!$B$6)/(B4120-Inputs!$B$6)/(1+B4120)^7</f>
        <v>-1470.392245</v>
      </c>
    </row>
    <row r="4121" ht="14.25" customHeight="1">
      <c r="A4121" s="7">
        <v>4108.0</v>
      </c>
      <c r="B4121" s="14">
        <f t="shared" si="1"/>
        <v>0.1209888804</v>
      </c>
      <c r="C4121" s="39">
        <f t="array" ref="C4121">NPV(B4121,FCFF!$C$9:$I$9)+FCFF!$B$9+FCFF!$I$9*(1+Inputs!$B$6)/(B4121-Inputs!$B$6)/(1+B4121)^7</f>
        <v>-1838.221768</v>
      </c>
    </row>
    <row r="4122" ht="14.25" customHeight="1">
      <c r="A4122" s="7">
        <v>4109.0</v>
      </c>
      <c r="B4122" s="14">
        <f t="shared" si="1"/>
        <v>0.1279809805</v>
      </c>
      <c r="C4122" s="39">
        <f t="array" ref="C4122">NPV(B4122,FCFF!$C$9:$I$9)+FCFF!$B$9+FCFF!$I$9*(1+Inputs!$B$6)/(B4122-Inputs!$B$6)/(1+B4122)^7</f>
        <v>-1944.650889</v>
      </c>
    </row>
    <row r="4123" ht="14.25" customHeight="1">
      <c r="A4123" s="7">
        <v>4110.0</v>
      </c>
      <c r="B4123" s="14">
        <f t="shared" si="1"/>
        <v>0.1002668097</v>
      </c>
      <c r="C4123" s="39">
        <f t="array" ref="C4123">NPV(B4123,FCFF!$C$9:$I$9)+FCFF!$B$9+FCFF!$I$9*(1+Inputs!$B$6)/(B4123-Inputs!$B$6)/(1+B4123)^7</f>
        <v>-1391.218086</v>
      </c>
    </row>
    <row r="4124" ht="14.25" customHeight="1">
      <c r="A4124" s="7">
        <v>4111.0</v>
      </c>
      <c r="B4124" s="14">
        <f t="shared" si="1"/>
        <v>0.1261940036</v>
      </c>
      <c r="C4124" s="39">
        <f t="array" ref="C4124">NPV(B4124,FCFF!$C$9:$I$9)+FCFF!$B$9+FCFF!$I$9*(1+Inputs!$B$6)/(B4124-Inputs!$B$6)/(1+B4124)^7</f>
        <v>-1919.027007</v>
      </c>
    </row>
    <row r="4125" ht="14.25" customHeight="1">
      <c r="A4125" s="7">
        <v>4112.0</v>
      </c>
      <c r="B4125" s="14">
        <f t="shared" si="1"/>
        <v>0.09907638394</v>
      </c>
      <c r="C4125" s="39">
        <f t="array" ref="C4125">NPV(B4125,FCFF!$C$9:$I$9)+FCFF!$B$9+FCFF!$I$9*(1+Inputs!$B$6)/(B4125-Inputs!$B$6)/(1+B4125)^7</f>
        <v>-1357.190368</v>
      </c>
    </row>
    <row r="4126" ht="14.25" customHeight="1">
      <c r="A4126" s="7">
        <v>4113.0</v>
      </c>
      <c r="B4126" s="14">
        <f t="shared" si="1"/>
        <v>0.1090833671</v>
      </c>
      <c r="C4126" s="39">
        <f t="array" ref="C4126">NPV(B4126,FCFF!$C$9:$I$9)+FCFF!$B$9+FCFF!$I$9*(1+Inputs!$B$6)/(B4126-Inputs!$B$6)/(1+B4126)^7</f>
        <v>-1610.949377</v>
      </c>
    </row>
    <row r="4127" ht="14.25" customHeight="1">
      <c r="A4127" s="7">
        <v>4114.0</v>
      </c>
      <c r="B4127" s="14">
        <f t="shared" si="1"/>
        <v>0.1228596884</v>
      </c>
      <c r="C4127" s="39">
        <f t="array" ref="C4127">NPV(B4127,FCFF!$C$9:$I$9)+FCFF!$B$9+FCFF!$I$9*(1+Inputs!$B$6)/(B4127-Inputs!$B$6)/(1+B4127)^7</f>
        <v>-1868.378127</v>
      </c>
    </row>
    <row r="4128" ht="14.25" customHeight="1">
      <c r="A4128" s="7">
        <v>4115.0</v>
      </c>
      <c r="B4128" s="14">
        <f t="shared" si="1"/>
        <v>0.1148830297</v>
      </c>
      <c r="C4128" s="39">
        <f t="array" ref="C4128">NPV(B4128,FCFF!$C$9:$I$9)+FCFF!$B$9+FCFF!$I$9*(1+Inputs!$B$6)/(B4128-Inputs!$B$6)/(1+B4128)^7</f>
        <v>-1729.987438</v>
      </c>
    </row>
    <row r="4129" ht="14.25" customHeight="1">
      <c r="A4129" s="7">
        <v>4116.0</v>
      </c>
      <c r="B4129" s="14">
        <f t="shared" si="1"/>
        <v>0.1275037758</v>
      </c>
      <c r="C4129" s="39">
        <f t="array" ref="C4129">NPV(B4129,FCFF!$C$9:$I$9)+FCFF!$B$9+FCFF!$I$9*(1+Inputs!$B$6)/(B4129-Inputs!$B$6)/(1+B4129)^7</f>
        <v>-1937.907188</v>
      </c>
    </row>
    <row r="4130" ht="14.25" customHeight="1">
      <c r="A4130" s="7">
        <v>4117.0</v>
      </c>
      <c r="B4130" s="14">
        <f t="shared" si="1"/>
        <v>0.1314886716</v>
      </c>
      <c r="C4130" s="39">
        <f t="array" ref="C4130">NPV(B4130,FCFF!$C$9:$I$9)+FCFF!$B$9+FCFF!$I$9*(1+Inputs!$B$6)/(B4130-Inputs!$B$6)/(1+B4130)^7</f>
        <v>-1992.117915</v>
      </c>
    </row>
    <row r="4131" ht="14.25" customHeight="1">
      <c r="A4131" s="7">
        <v>4118.0</v>
      </c>
      <c r="B4131" s="14">
        <f t="shared" si="1"/>
        <v>0.1163268191</v>
      </c>
      <c r="C4131" s="39">
        <f t="array" ref="C4131">NPV(B4131,FCFF!$C$9:$I$9)+FCFF!$B$9+FCFF!$I$9*(1+Inputs!$B$6)/(B4131-Inputs!$B$6)/(1+B4131)^7</f>
        <v>-1757.035283</v>
      </c>
    </row>
    <row r="4132" ht="14.25" customHeight="1">
      <c r="A4132" s="7">
        <v>4119.0</v>
      </c>
      <c r="B4132" s="14">
        <f t="shared" si="1"/>
        <v>0.1269797352</v>
      </c>
      <c r="C4132" s="39">
        <f t="array" ref="C4132">NPV(B4132,FCFF!$C$9:$I$9)+FCFF!$B$9+FCFF!$I$9*(1+Inputs!$B$6)/(B4132-Inputs!$B$6)/(1+B4132)^7</f>
        <v>-1930.419123</v>
      </c>
    </row>
    <row r="4133" ht="14.25" customHeight="1">
      <c r="A4133" s="7">
        <v>4120.0</v>
      </c>
      <c r="B4133" s="14">
        <f t="shared" si="1"/>
        <v>0.09561163435</v>
      </c>
      <c r="C4133" s="39">
        <f t="array" ref="C4133">NPV(B4133,FCFF!$C$9:$I$9)+FCFF!$B$9+FCFF!$I$9*(1+Inputs!$B$6)/(B4133-Inputs!$B$6)/(1+B4133)^7</f>
        <v>-1251.111086</v>
      </c>
    </row>
    <row r="4134" ht="14.25" customHeight="1">
      <c r="A4134" s="7">
        <v>4121.0</v>
      </c>
      <c r="B4134" s="14">
        <f t="shared" si="1"/>
        <v>0.1276225535</v>
      </c>
      <c r="C4134" s="39">
        <f t="array" ref="C4134">NPV(B4134,FCFF!$C$9:$I$9)+FCFF!$B$9+FCFF!$I$9*(1+Inputs!$B$6)/(B4134-Inputs!$B$6)/(1+B4134)^7</f>
        <v>-1939.592367</v>
      </c>
    </row>
    <row r="4135" ht="14.25" customHeight="1">
      <c r="A4135" s="7">
        <v>4122.0</v>
      </c>
      <c r="B4135" s="14">
        <f t="shared" si="1"/>
        <v>0.09598565448</v>
      </c>
      <c r="C4135" s="39">
        <f t="array" ref="C4135">NPV(B4135,FCFF!$C$9:$I$9)+FCFF!$B$9+FCFF!$I$9*(1+Inputs!$B$6)/(B4135-Inputs!$B$6)/(1+B4135)^7</f>
        <v>-1263.097745</v>
      </c>
    </row>
    <row r="4136" ht="14.25" customHeight="1">
      <c r="A4136" s="7">
        <v>4123.0</v>
      </c>
      <c r="B4136" s="14">
        <f t="shared" si="1"/>
        <v>0.09542789685</v>
      </c>
      <c r="C4136" s="39">
        <f t="array" ref="C4136">NPV(B4136,FCFF!$C$9:$I$9)+FCFF!$B$9+FCFF!$I$9*(1+Inputs!$B$6)/(B4136-Inputs!$B$6)/(1+B4136)^7</f>
        <v>-1245.172691</v>
      </c>
    </row>
    <row r="4137" ht="14.25" customHeight="1">
      <c r="A4137" s="7">
        <v>4124.0</v>
      </c>
      <c r="B4137" s="14">
        <f t="shared" si="1"/>
        <v>0.1150868626</v>
      </c>
      <c r="C4137" s="39">
        <f t="array" ref="C4137">NPV(B4137,FCFF!$C$9:$I$9)+FCFF!$B$9+FCFF!$I$9*(1+Inputs!$B$6)/(B4137-Inputs!$B$6)/(1+B4137)^7</f>
        <v>-1733.864295</v>
      </c>
    </row>
    <row r="4138" ht="14.25" customHeight="1">
      <c r="A4138" s="7">
        <v>4125.0</v>
      </c>
      <c r="B4138" s="14">
        <f t="shared" si="1"/>
        <v>0.1315326022</v>
      </c>
      <c r="C4138" s="39">
        <f t="array" ref="C4138">NPV(B4138,FCFF!$C$9:$I$9)+FCFF!$B$9+FCFF!$I$9*(1+Inputs!$B$6)/(B4138-Inputs!$B$6)/(1+B4138)^7</f>
        <v>-1992.689835</v>
      </c>
    </row>
    <row r="4139" ht="14.25" customHeight="1">
      <c r="A4139" s="7">
        <v>4126.0</v>
      </c>
      <c r="B4139" s="14">
        <f t="shared" si="1"/>
        <v>0.1101468615</v>
      </c>
      <c r="C4139" s="39">
        <f t="array" ref="C4139">NPV(B4139,FCFF!$C$9:$I$9)+FCFF!$B$9+FCFF!$I$9*(1+Inputs!$B$6)/(B4139-Inputs!$B$6)/(1+B4139)^7</f>
        <v>-1634.11487</v>
      </c>
    </row>
    <row r="4140" ht="14.25" customHeight="1">
      <c r="A4140" s="7">
        <v>4127.0</v>
      </c>
      <c r="B4140" s="14">
        <f t="shared" si="1"/>
        <v>0.107504555</v>
      </c>
      <c r="C4140" s="39">
        <f t="array" ref="C4140">NPV(B4140,FCFF!$C$9:$I$9)+FCFF!$B$9+FCFF!$I$9*(1+Inputs!$B$6)/(B4140-Inputs!$B$6)/(1+B4140)^7</f>
        <v>-1575.350925</v>
      </c>
    </row>
    <row r="4141" ht="14.25" customHeight="1">
      <c r="A4141" s="7">
        <v>4128.0</v>
      </c>
      <c r="B4141" s="14">
        <f t="shared" si="1"/>
        <v>0.1150605272</v>
      </c>
      <c r="C4141" s="39">
        <f t="array" ref="C4141">NPV(B4141,FCFF!$C$9:$I$9)+FCFF!$B$9+FCFF!$I$9*(1+Inputs!$B$6)/(B4141-Inputs!$B$6)/(1+B4141)^7</f>
        <v>-1733.364495</v>
      </c>
    </row>
    <row r="4142" ht="14.25" customHeight="1">
      <c r="A4142" s="7">
        <v>4129.0</v>
      </c>
      <c r="B4142" s="14">
        <f t="shared" si="1"/>
        <v>0.1121410261</v>
      </c>
      <c r="C4142" s="39">
        <f t="array" ref="C4142">NPV(B4142,FCFF!$C$9:$I$9)+FCFF!$B$9+FCFF!$I$9*(1+Inputs!$B$6)/(B4142-Inputs!$B$6)/(1+B4142)^7</f>
        <v>-1675.882077</v>
      </c>
    </row>
    <row r="4143" ht="14.25" customHeight="1">
      <c r="A4143" s="7">
        <v>4130.0</v>
      </c>
      <c r="B4143" s="14">
        <f t="shared" si="1"/>
        <v>0.0960168504</v>
      </c>
      <c r="C4143" s="39">
        <f t="array" ref="C4143">NPV(B4143,FCFF!$C$9:$I$9)+FCFF!$B$9+FCFF!$I$9*(1+Inputs!$B$6)/(B4143-Inputs!$B$6)/(1+B4143)^7</f>
        <v>-1264.091408</v>
      </c>
    </row>
    <row r="4144" ht="14.25" customHeight="1">
      <c r="A4144" s="7">
        <v>4131.0</v>
      </c>
      <c r="B4144" s="14">
        <f t="shared" si="1"/>
        <v>0.1225750513</v>
      </c>
      <c r="C4144" s="39">
        <f t="array" ref="C4144">NPV(B4144,FCFF!$C$9:$I$9)+FCFF!$B$9+FCFF!$I$9*(1+Inputs!$B$6)/(B4144-Inputs!$B$6)/(1+B4144)^7</f>
        <v>-1863.87359</v>
      </c>
    </row>
    <row r="4145" ht="14.25" customHeight="1">
      <c r="A4145" s="7">
        <v>4132.0</v>
      </c>
      <c r="B4145" s="14">
        <f t="shared" si="1"/>
        <v>0.09678292332</v>
      </c>
      <c r="C4145" s="39">
        <f t="array" ref="C4145">NPV(B4145,FCFF!$C$9:$I$9)+FCFF!$B$9+FCFF!$I$9*(1+Inputs!$B$6)/(B4145-Inputs!$B$6)/(1+B4145)^7</f>
        <v>-1288.202306</v>
      </c>
    </row>
    <row r="4146" ht="14.25" customHeight="1">
      <c r="A4146" s="7">
        <v>4133.0</v>
      </c>
      <c r="B4146" s="14">
        <f t="shared" si="1"/>
        <v>0.0997809039</v>
      </c>
      <c r="C4146" s="39">
        <f t="array" ref="C4146">NPV(B4146,FCFF!$C$9:$I$9)+FCFF!$B$9+FCFF!$I$9*(1+Inputs!$B$6)/(B4146-Inputs!$B$6)/(1+B4146)^7</f>
        <v>-1377.469746</v>
      </c>
    </row>
    <row r="4147" ht="14.25" customHeight="1">
      <c r="A4147" s="7">
        <v>4134.0</v>
      </c>
      <c r="B4147" s="14">
        <f t="shared" si="1"/>
        <v>0.09633293172</v>
      </c>
      <c r="C4147" s="39">
        <f t="array" ref="C4147">NPV(B4147,FCFF!$C$9:$I$9)+FCFF!$B$9+FCFF!$I$9*(1+Inputs!$B$6)/(B4147-Inputs!$B$6)/(1+B4147)^7</f>
        <v>-1274.106828</v>
      </c>
    </row>
    <row r="4148" ht="14.25" customHeight="1">
      <c r="A4148" s="7">
        <v>4135.0</v>
      </c>
      <c r="B4148" s="14">
        <f t="shared" si="1"/>
        <v>0.1222606721</v>
      </c>
      <c r="C4148" s="39">
        <f t="array" ref="C4148">NPV(B4148,FCFF!$C$9:$I$9)+FCFF!$B$9+FCFF!$I$9*(1+Inputs!$B$6)/(B4148-Inputs!$B$6)/(1+B4148)^7</f>
        <v>-1858.863942</v>
      </c>
    </row>
    <row r="4149" ht="14.25" customHeight="1">
      <c r="A4149" s="7">
        <v>4136.0</v>
      </c>
      <c r="B4149" s="14">
        <f t="shared" si="1"/>
        <v>0.127891719</v>
      </c>
      <c r="C4149" s="39">
        <f t="array" ref="C4149">NPV(B4149,FCFF!$C$9:$I$9)+FCFF!$B$9+FCFF!$I$9*(1+Inputs!$B$6)/(B4149-Inputs!$B$6)/(1+B4149)^7</f>
        <v>-1943.394871</v>
      </c>
    </row>
    <row r="4150" ht="14.25" customHeight="1">
      <c r="A4150" s="7">
        <v>4137.0</v>
      </c>
      <c r="B4150" s="14">
        <f t="shared" si="1"/>
        <v>0.1283072903</v>
      </c>
      <c r="C4150" s="39">
        <f t="array" ref="C4150">NPV(B4150,FCFF!$C$9:$I$9)+FCFF!$B$9+FCFF!$I$9*(1+Inputs!$B$6)/(B4150-Inputs!$B$6)/(1+B4150)^7</f>
        <v>-1949.221511</v>
      </c>
    </row>
    <row r="4151" ht="14.25" customHeight="1">
      <c r="A4151" s="7">
        <v>4138.0</v>
      </c>
      <c r="B4151" s="14">
        <f t="shared" si="1"/>
        <v>0.1029383408</v>
      </c>
      <c r="C4151" s="39">
        <f t="array" ref="C4151">NPV(B4151,FCFF!$C$9:$I$9)+FCFF!$B$9+FCFF!$I$9*(1+Inputs!$B$6)/(B4151-Inputs!$B$6)/(1+B4151)^7</f>
        <v>-1463.50591</v>
      </c>
    </row>
    <row r="4152" ht="14.25" customHeight="1">
      <c r="A4152" s="7">
        <v>4139.0</v>
      </c>
      <c r="B4152" s="14">
        <f t="shared" si="1"/>
        <v>0.09540781067</v>
      </c>
      <c r="C4152" s="39">
        <f t="array" ref="C4152">NPV(B4152,FCFF!$C$9:$I$9)+FCFF!$B$9+FCFF!$I$9*(1+Inputs!$B$6)/(B4152-Inputs!$B$6)/(1+B4152)^7</f>
        <v>-1244.521494</v>
      </c>
    </row>
    <row r="4153" ht="14.25" customHeight="1">
      <c r="A4153" s="7">
        <v>4140.0</v>
      </c>
      <c r="B4153" s="14">
        <f t="shared" si="1"/>
        <v>0.1227343693</v>
      </c>
      <c r="C4153" s="39">
        <f t="array" ref="C4153">NPV(B4153,FCFF!$C$9:$I$9)+FCFF!$B$9+FCFF!$I$9*(1+Inputs!$B$6)/(B4153-Inputs!$B$6)/(1+B4153)^7</f>
        <v>-1866.398516</v>
      </c>
    </row>
    <row r="4154" ht="14.25" customHeight="1">
      <c r="A4154" s="7">
        <v>4141.0</v>
      </c>
      <c r="B4154" s="14">
        <f t="shared" si="1"/>
        <v>0.1318322216</v>
      </c>
      <c r="C4154" s="39">
        <f t="array" ref="C4154">NPV(B4154,FCFF!$C$9:$I$9)+FCFF!$B$9+FCFF!$I$9*(1+Inputs!$B$6)/(B4154-Inputs!$B$6)/(1+B4154)^7</f>
        <v>-1996.576157</v>
      </c>
    </row>
    <row r="4155" ht="14.25" customHeight="1">
      <c r="A4155" s="7">
        <v>4142.0</v>
      </c>
      <c r="B4155" s="14">
        <f t="shared" si="1"/>
        <v>0.09307475748</v>
      </c>
      <c r="C4155" s="39">
        <f t="array" ref="C4155">NPV(B4155,FCFF!$C$9:$I$9)+FCFF!$B$9+FCFF!$I$9*(1+Inputs!$B$6)/(B4155-Inputs!$B$6)/(1+B4155)^7</f>
        <v>-1166.084382</v>
      </c>
    </row>
    <row r="4156" ht="14.25" customHeight="1">
      <c r="A4156" s="7">
        <v>4143.0</v>
      </c>
      <c r="B4156" s="14">
        <f t="shared" si="1"/>
        <v>0.09513038108</v>
      </c>
      <c r="C4156" s="39">
        <f t="array" ref="C4156">NPV(B4156,FCFF!$C$9:$I$9)+FCFF!$B$9+FCFF!$I$9*(1+Inputs!$B$6)/(B4156-Inputs!$B$6)/(1+B4156)^7</f>
        <v>-1235.486345</v>
      </c>
    </row>
    <row r="4157" ht="14.25" customHeight="1">
      <c r="A4157" s="7">
        <v>4144.0</v>
      </c>
      <c r="B4157" s="14">
        <f t="shared" si="1"/>
        <v>0.09790129516</v>
      </c>
      <c r="C4157" s="39">
        <f t="array" ref="C4157">NPV(B4157,FCFF!$C$9:$I$9)+FCFF!$B$9+FCFF!$I$9*(1+Inputs!$B$6)/(B4157-Inputs!$B$6)/(1+B4157)^7</f>
        <v>-1322.426055</v>
      </c>
    </row>
    <row r="4158" ht="14.25" customHeight="1">
      <c r="A4158" s="7">
        <v>4145.0</v>
      </c>
      <c r="B4158" s="14">
        <f t="shared" si="1"/>
        <v>0.1181405112</v>
      </c>
      <c r="C4158" s="39">
        <f t="array" ref="C4158">NPV(B4158,FCFF!$C$9:$I$9)+FCFF!$B$9+FCFF!$I$9*(1+Inputs!$B$6)/(B4158-Inputs!$B$6)/(1+B4158)^7</f>
        <v>-1789.696241</v>
      </c>
    </row>
    <row r="4159" ht="14.25" customHeight="1">
      <c r="A4159" s="7">
        <v>4146.0</v>
      </c>
      <c r="B4159" s="14">
        <f t="shared" si="1"/>
        <v>0.09999018886</v>
      </c>
      <c r="C4159" s="39">
        <f t="array" ref="C4159">NPV(B4159,FCFF!$C$9:$I$9)+FCFF!$B$9+FCFF!$I$9*(1+Inputs!$B$6)/(B4159-Inputs!$B$6)/(1+B4159)^7</f>
        <v>-1383.414864</v>
      </c>
    </row>
    <row r="4160" ht="14.25" customHeight="1">
      <c r="A4160" s="7">
        <v>4147.0</v>
      </c>
      <c r="B4160" s="14">
        <f t="shared" si="1"/>
        <v>0.1063300285</v>
      </c>
      <c r="C4160" s="39">
        <f t="array" ref="C4160">NPV(B4160,FCFF!$C$9:$I$9)+FCFF!$B$9+FCFF!$I$9*(1+Inputs!$B$6)/(B4160-Inputs!$B$6)/(1+B4160)^7</f>
        <v>-1547.887095</v>
      </c>
    </row>
    <row r="4161" ht="14.25" customHeight="1">
      <c r="A4161" s="7">
        <v>4148.0</v>
      </c>
      <c r="B4161" s="14">
        <f t="shared" si="1"/>
        <v>0.1110716275</v>
      </c>
      <c r="C4161" s="39">
        <f t="array" ref="C4161">NPV(B4161,FCFF!$C$9:$I$9)+FCFF!$B$9+FCFF!$I$9*(1+Inputs!$B$6)/(B4161-Inputs!$B$6)/(1+B4161)^7</f>
        <v>-1653.748425</v>
      </c>
    </row>
    <row r="4162" ht="14.25" customHeight="1">
      <c r="A4162" s="7">
        <v>4149.0</v>
      </c>
      <c r="B4162" s="14">
        <f t="shared" si="1"/>
        <v>0.1301010459</v>
      </c>
      <c r="C4162" s="39">
        <f t="array" ref="C4162">NPV(B4162,FCFF!$C$9:$I$9)+FCFF!$B$9+FCFF!$I$9*(1+Inputs!$B$6)/(B4162-Inputs!$B$6)/(1+B4162)^7</f>
        <v>-1973.771512</v>
      </c>
    </row>
    <row r="4163" ht="14.25" customHeight="1">
      <c r="A4163" s="7">
        <v>4150.0</v>
      </c>
      <c r="B4163" s="14">
        <f t="shared" si="1"/>
        <v>0.1315304467</v>
      </c>
      <c r="C4163" s="39">
        <f t="array" ref="C4163">NPV(B4163,FCFF!$C$9:$I$9)+FCFF!$B$9+FCFF!$I$9*(1+Inputs!$B$6)/(B4163-Inputs!$B$6)/(1+B4163)^7</f>
        <v>-1992.661785</v>
      </c>
    </row>
    <row r="4164" ht="14.25" customHeight="1">
      <c r="A4164" s="7">
        <v>4151.0</v>
      </c>
      <c r="B4164" s="14">
        <f t="shared" si="1"/>
        <v>0.1094814686</v>
      </c>
      <c r="C4164" s="39">
        <f t="array" ref="C4164">NPV(B4164,FCFF!$C$9:$I$9)+FCFF!$B$9+FCFF!$I$9*(1+Inputs!$B$6)/(B4164-Inputs!$B$6)/(1+B4164)^7</f>
        <v>-1619.695888</v>
      </c>
    </row>
    <row r="4165" ht="14.25" customHeight="1">
      <c r="A4165" s="7">
        <v>4152.0</v>
      </c>
      <c r="B4165" s="14">
        <f t="shared" si="1"/>
        <v>0.1264686395</v>
      </c>
      <c r="C4165" s="39">
        <f t="array" ref="C4165">NPV(B4165,FCFF!$C$9:$I$9)+FCFF!$B$9+FCFF!$I$9*(1+Inputs!$B$6)/(B4165-Inputs!$B$6)/(1+B4165)^7</f>
        <v>-1923.031583</v>
      </c>
    </row>
    <row r="4166" ht="14.25" customHeight="1">
      <c r="A4166" s="7">
        <v>4153.0</v>
      </c>
      <c r="B4166" s="14">
        <f t="shared" si="1"/>
        <v>0.1018960768</v>
      </c>
      <c r="C4166" s="39">
        <f t="array" ref="C4166">NPV(B4166,FCFF!$C$9:$I$9)+FCFF!$B$9+FCFF!$I$9*(1+Inputs!$B$6)/(B4166-Inputs!$B$6)/(1+B4166)^7</f>
        <v>-1435.949824</v>
      </c>
    </row>
    <row r="4167" ht="14.25" customHeight="1">
      <c r="A4167" s="7">
        <v>4154.0</v>
      </c>
      <c r="B4167" s="14">
        <f t="shared" si="1"/>
        <v>0.09870274021</v>
      </c>
      <c r="C4167" s="39">
        <f t="array" ref="C4167">NPV(B4167,FCFF!$C$9:$I$9)+FCFF!$B$9+FCFF!$I$9*(1+Inputs!$B$6)/(B4167-Inputs!$B$6)/(1+B4167)^7</f>
        <v>-1346.265633</v>
      </c>
    </row>
    <row r="4168" ht="14.25" customHeight="1">
      <c r="A4168" s="7">
        <v>4155.0</v>
      </c>
      <c r="B4168" s="14">
        <f t="shared" si="1"/>
        <v>0.120103156</v>
      </c>
      <c r="C4168" s="39">
        <f t="array" ref="C4168">NPV(B4168,FCFF!$C$9:$I$9)+FCFF!$B$9+FCFF!$I$9*(1+Inputs!$B$6)/(B4168-Inputs!$B$6)/(1+B4168)^7</f>
        <v>-1823.480041</v>
      </c>
    </row>
    <row r="4169" ht="14.25" customHeight="1">
      <c r="A4169" s="7">
        <v>4156.0</v>
      </c>
      <c r="B4169" s="14">
        <f t="shared" si="1"/>
        <v>0.1216673011</v>
      </c>
      <c r="C4169" s="39">
        <f t="array" ref="C4169">NPV(B4169,FCFF!$C$9:$I$9)+FCFF!$B$9+FCFF!$I$9*(1+Inputs!$B$6)/(B4169-Inputs!$B$6)/(1+B4169)^7</f>
        <v>-1849.308839</v>
      </c>
    </row>
    <row r="4170" ht="14.25" customHeight="1">
      <c r="A4170" s="7">
        <v>4157.0</v>
      </c>
      <c r="B4170" s="14">
        <f t="shared" si="1"/>
        <v>0.1186488327</v>
      </c>
      <c r="C4170" s="39">
        <f t="array" ref="C4170">NPV(B4170,FCFF!$C$9:$I$9)+FCFF!$B$9+FCFF!$I$9*(1+Inputs!$B$6)/(B4170-Inputs!$B$6)/(1+B4170)^7</f>
        <v>-1798.59781</v>
      </c>
    </row>
    <row r="4171" ht="14.25" customHeight="1">
      <c r="A4171" s="7">
        <v>4158.0</v>
      </c>
      <c r="B4171" s="14">
        <f t="shared" si="1"/>
        <v>0.120770219</v>
      </c>
      <c r="C4171" s="39">
        <f t="array" ref="C4171">NPV(B4171,FCFF!$C$9:$I$9)+FCFF!$B$9+FCFF!$I$9*(1+Inputs!$B$6)/(B4171-Inputs!$B$6)/(1+B4171)^7</f>
        <v>-1834.610793</v>
      </c>
    </row>
    <row r="4172" ht="14.25" customHeight="1">
      <c r="A4172" s="7">
        <v>4159.0</v>
      </c>
      <c r="B4172" s="14">
        <f t="shared" si="1"/>
        <v>0.1232162295</v>
      </c>
      <c r="C4172" s="39">
        <f t="array" ref="C4172">NPV(B4172,FCFF!$C$9:$I$9)+FCFF!$B$9+FCFF!$I$9*(1+Inputs!$B$6)/(B4172-Inputs!$B$6)/(1+B4172)^7</f>
        <v>-1873.979208</v>
      </c>
    </row>
    <row r="4173" ht="14.25" customHeight="1">
      <c r="A4173" s="7">
        <v>4160.0</v>
      </c>
      <c r="B4173" s="14">
        <f t="shared" si="1"/>
        <v>0.09819169449</v>
      </c>
      <c r="C4173" s="39">
        <f t="array" ref="C4173">NPV(B4173,FCFF!$C$9:$I$9)+FCFF!$B$9+FCFF!$I$9*(1+Inputs!$B$6)/(B4173-Inputs!$B$6)/(1+B4173)^7</f>
        <v>-1331.129058</v>
      </c>
    </row>
    <row r="4174" ht="14.25" customHeight="1">
      <c r="A4174" s="7">
        <v>4161.0</v>
      </c>
      <c r="B4174" s="14">
        <f t="shared" si="1"/>
        <v>0.116037595</v>
      </c>
      <c r="C4174" s="39">
        <f t="array" ref="C4174">NPV(B4174,FCFF!$C$9:$I$9)+FCFF!$B$9+FCFF!$I$9*(1+Inputs!$B$6)/(B4174-Inputs!$B$6)/(1+B4174)^7</f>
        <v>-1751.693143</v>
      </c>
    </row>
    <row r="4175" ht="14.25" customHeight="1">
      <c r="A4175" s="7">
        <v>4162.0</v>
      </c>
      <c r="B4175" s="14">
        <f t="shared" si="1"/>
        <v>0.11425662</v>
      </c>
      <c r="C4175" s="39">
        <f t="array" ref="C4175">NPV(B4175,FCFF!$C$9:$I$9)+FCFF!$B$9+FCFF!$I$9*(1+Inputs!$B$6)/(B4175-Inputs!$B$6)/(1+B4175)^7</f>
        <v>-1717.950543</v>
      </c>
    </row>
    <row r="4176" ht="14.25" customHeight="1">
      <c r="A4176" s="7">
        <v>4163.0</v>
      </c>
      <c r="B4176" s="14">
        <f t="shared" si="1"/>
        <v>0.108227536</v>
      </c>
      <c r="C4176" s="39">
        <f t="array" ref="C4176">NPV(B4176,FCFF!$C$9:$I$9)+FCFF!$B$9+FCFF!$I$9*(1+Inputs!$B$6)/(B4176-Inputs!$B$6)/(1+B4176)^7</f>
        <v>-1591.8358</v>
      </c>
    </row>
    <row r="4177" ht="14.25" customHeight="1">
      <c r="A4177" s="7">
        <v>4164.0</v>
      </c>
      <c r="B4177" s="14">
        <f t="shared" si="1"/>
        <v>0.1222853474</v>
      </c>
      <c r="C4177" s="39">
        <f t="array" ref="C4177">NPV(B4177,FCFF!$C$9:$I$9)+FCFF!$B$9+FCFF!$I$9*(1+Inputs!$B$6)/(B4177-Inputs!$B$6)/(1+B4177)^7</f>
        <v>-1859.258458</v>
      </c>
    </row>
    <row r="4178" ht="14.25" customHeight="1">
      <c r="A4178" s="7">
        <v>4165.0</v>
      </c>
      <c r="B4178" s="14">
        <f t="shared" si="1"/>
        <v>0.1107421759</v>
      </c>
      <c r="C4178" s="39">
        <f t="array" ref="C4178">NPV(B4178,FCFF!$C$9:$I$9)+FCFF!$B$9+FCFF!$I$9*(1+Inputs!$B$6)/(B4178-Inputs!$B$6)/(1+B4178)^7</f>
        <v>-1646.807235</v>
      </c>
    </row>
    <row r="4179" ht="14.25" customHeight="1">
      <c r="A4179" s="7">
        <v>4166.0</v>
      </c>
      <c r="B4179" s="14">
        <f t="shared" si="1"/>
        <v>0.1303104772</v>
      </c>
      <c r="C4179" s="39">
        <f t="array" ref="C4179">NPV(B4179,FCFF!$C$9:$I$9)+FCFF!$B$9+FCFF!$I$9*(1+Inputs!$B$6)/(B4179-Inputs!$B$6)/(1+B4179)^7</f>
        <v>-1976.575852</v>
      </c>
    </row>
    <row r="4180" ht="14.25" customHeight="1">
      <c r="A4180" s="7">
        <v>4167.0</v>
      </c>
      <c r="B4180" s="14">
        <f t="shared" si="1"/>
        <v>0.1220553503</v>
      </c>
      <c r="C4180" s="39">
        <f t="array" ref="C4180">NPV(B4180,FCFF!$C$9:$I$9)+FCFF!$B$9+FCFF!$I$9*(1+Inputs!$B$6)/(B4180-Inputs!$B$6)/(1+B4180)^7</f>
        <v>-1855.572456</v>
      </c>
    </row>
    <row r="4181" ht="14.25" customHeight="1">
      <c r="A4181" s="7">
        <v>4168.0</v>
      </c>
      <c r="B4181" s="14">
        <f t="shared" si="1"/>
        <v>0.102432864</v>
      </c>
      <c r="C4181" s="39">
        <f t="array" ref="C4181">NPV(B4181,FCFF!$C$9:$I$9)+FCFF!$B$9+FCFF!$I$9*(1+Inputs!$B$6)/(B4181-Inputs!$B$6)/(1+B4181)^7</f>
        <v>-1450.242085</v>
      </c>
    </row>
    <row r="4182" ht="14.25" customHeight="1">
      <c r="A4182" s="7">
        <v>4169.0</v>
      </c>
      <c r="B4182" s="14">
        <f t="shared" si="1"/>
        <v>0.113076559</v>
      </c>
      <c r="C4182" s="39">
        <f t="array" ref="C4182">NPV(B4182,FCFF!$C$9:$I$9)+FCFF!$B$9+FCFF!$I$9*(1+Inputs!$B$6)/(B4182-Inputs!$B$6)/(1+B4182)^7</f>
        <v>-1694.760166</v>
      </c>
    </row>
    <row r="4183" ht="14.25" customHeight="1">
      <c r="A4183" s="7">
        <v>4170.0</v>
      </c>
      <c r="B4183" s="14">
        <f t="shared" si="1"/>
        <v>0.1181986795</v>
      </c>
      <c r="C4183" s="39">
        <f t="array" ref="C4183">NPV(B4183,FCFF!$C$9:$I$9)+FCFF!$B$9+FCFF!$I$9*(1+Inputs!$B$6)/(B4183-Inputs!$B$6)/(1+B4183)^7</f>
        <v>-1790.720349</v>
      </c>
    </row>
    <row r="4184" ht="14.25" customHeight="1">
      <c r="A4184" s="7">
        <v>4171.0</v>
      </c>
      <c r="B4184" s="14">
        <f t="shared" si="1"/>
        <v>0.11694918</v>
      </c>
      <c r="C4184" s="39">
        <f t="array" ref="C4184">NPV(B4184,FCFF!$C$9:$I$9)+FCFF!$B$9+FCFF!$I$9*(1+Inputs!$B$6)/(B4184-Inputs!$B$6)/(1+B4184)^7</f>
        <v>-1768.404209</v>
      </c>
    </row>
    <row r="4185" ht="14.25" customHeight="1">
      <c r="A4185" s="7">
        <v>4172.0</v>
      </c>
      <c r="B4185" s="14">
        <f t="shared" si="1"/>
        <v>0.10665652</v>
      </c>
      <c r="C4185" s="39">
        <f t="array" ref="C4185">NPV(B4185,FCFF!$C$9:$I$9)+FCFF!$B$9+FCFF!$I$9*(1+Inputs!$B$6)/(B4185-Inputs!$B$6)/(1+B4185)^7</f>
        <v>-1555.607936</v>
      </c>
    </row>
    <row r="4186" ht="14.25" customHeight="1">
      <c r="A4186" s="7">
        <v>4173.0</v>
      </c>
      <c r="B4186" s="14">
        <f t="shared" si="1"/>
        <v>0.09991928221</v>
      </c>
      <c r="C4186" s="39">
        <f t="array" ref="C4186">NPV(B4186,FCFF!$C$9:$I$9)+FCFF!$B$9+FCFF!$I$9*(1+Inputs!$B$6)/(B4186-Inputs!$B$6)/(1+B4186)^7</f>
        <v>-1381.404644</v>
      </c>
    </row>
    <row r="4187" ht="14.25" customHeight="1">
      <c r="A4187" s="7">
        <v>4174.0</v>
      </c>
      <c r="B4187" s="14">
        <f t="shared" si="1"/>
        <v>0.1022694484</v>
      </c>
      <c r="C4187" s="39">
        <f t="array" ref="C4187">NPV(B4187,FCFF!$C$9:$I$9)+FCFF!$B$9+FCFF!$I$9*(1+Inputs!$B$6)/(B4187-Inputs!$B$6)/(1+B4187)^7</f>
        <v>-1445.913807</v>
      </c>
    </row>
    <row r="4188" ht="14.25" customHeight="1">
      <c r="A4188" s="7">
        <v>4175.0</v>
      </c>
      <c r="B4188" s="14">
        <f t="shared" si="1"/>
        <v>0.09433790731</v>
      </c>
      <c r="C4188" s="39">
        <f t="array" ref="C4188">NPV(B4188,FCFF!$C$9:$I$9)+FCFF!$B$9+FCFF!$I$9*(1+Inputs!$B$6)/(B4188-Inputs!$B$6)/(1+B4188)^7</f>
        <v>-1209.251392</v>
      </c>
    </row>
    <row r="4189" ht="14.25" customHeight="1">
      <c r="A4189" s="7">
        <v>4176.0</v>
      </c>
      <c r="B4189" s="14">
        <f t="shared" si="1"/>
        <v>0.1153068208</v>
      </c>
      <c r="C4189" s="39">
        <f t="array" ref="C4189">NPV(B4189,FCFF!$C$9:$I$9)+FCFF!$B$9+FCFF!$I$9*(1+Inputs!$B$6)/(B4189-Inputs!$B$6)/(1+B4189)^7</f>
        <v>-1738.026114</v>
      </c>
    </row>
    <row r="4190" ht="14.25" customHeight="1">
      <c r="A4190" s="7">
        <v>4177.0</v>
      </c>
      <c r="B4190" s="14">
        <f t="shared" si="1"/>
        <v>0.09906094062</v>
      </c>
      <c r="C4190" s="39">
        <f t="array" ref="C4190">NPV(B4190,FCFF!$C$9:$I$9)+FCFF!$B$9+FCFF!$I$9*(1+Inputs!$B$6)/(B4190-Inputs!$B$6)/(1+B4190)^7</f>
        <v>-1356.741181</v>
      </c>
    </row>
    <row r="4191" ht="14.25" customHeight="1">
      <c r="A4191" s="7">
        <v>4178.0</v>
      </c>
      <c r="B4191" s="14">
        <f t="shared" si="1"/>
        <v>0.1255451537</v>
      </c>
      <c r="C4191" s="39">
        <f t="array" ref="C4191">NPV(B4191,FCFF!$C$9:$I$9)+FCFF!$B$9+FCFF!$I$9*(1+Inputs!$B$6)/(B4191-Inputs!$B$6)/(1+B4191)^7</f>
        <v>-1909.467545</v>
      </c>
    </row>
    <row r="4192" ht="14.25" customHeight="1">
      <c r="A4192" s="7">
        <v>4179.0</v>
      </c>
      <c r="B4192" s="14">
        <f t="shared" si="1"/>
        <v>0.1171732951</v>
      </c>
      <c r="C4192" s="39">
        <f t="array" ref="C4192">NPV(B4192,FCFF!$C$9:$I$9)+FCFF!$B$9+FCFF!$I$9*(1+Inputs!$B$6)/(B4192-Inputs!$B$6)/(1+B4192)^7</f>
        <v>-1772.456462</v>
      </c>
    </row>
    <row r="4193" ht="14.25" customHeight="1">
      <c r="A4193" s="7">
        <v>4180.0</v>
      </c>
      <c r="B4193" s="14">
        <f t="shared" si="1"/>
        <v>0.1140113422</v>
      </c>
      <c r="C4193" s="39">
        <f t="array" ref="C4193">NPV(B4193,FCFF!$C$9:$I$9)+FCFF!$B$9+FCFF!$I$9*(1+Inputs!$B$6)/(B4193-Inputs!$B$6)/(1+B4193)^7</f>
        <v>-1713.186291</v>
      </c>
    </row>
    <row r="4194" ht="14.25" customHeight="1">
      <c r="A4194" s="7">
        <v>4181.0</v>
      </c>
      <c r="B4194" s="14">
        <f t="shared" si="1"/>
        <v>0.115346002</v>
      </c>
      <c r="C4194" s="39">
        <f t="array" ref="C4194">NPV(B4194,FCFF!$C$9:$I$9)+FCFF!$B$9+FCFF!$I$9*(1+Inputs!$B$6)/(B4194-Inputs!$B$6)/(1+B4194)^7</f>
        <v>-1738.765105</v>
      </c>
    </row>
    <row r="4195" ht="14.25" customHeight="1">
      <c r="A4195" s="7">
        <v>4182.0</v>
      </c>
      <c r="B4195" s="14">
        <f t="shared" si="1"/>
        <v>0.0951756664</v>
      </c>
      <c r="C4195" s="39">
        <f t="array" ref="C4195">NPV(B4195,FCFF!$C$9:$I$9)+FCFF!$B$9+FCFF!$I$9*(1+Inputs!$B$6)/(B4195-Inputs!$B$6)/(1+B4195)^7</f>
        <v>-1236.966389</v>
      </c>
    </row>
    <row r="4196" ht="14.25" customHeight="1">
      <c r="A4196" s="7">
        <v>4183.0</v>
      </c>
      <c r="B4196" s="14">
        <f t="shared" si="1"/>
        <v>0.1006187203</v>
      </c>
      <c r="C4196" s="39">
        <f t="array" ref="C4196">NPV(B4196,FCFF!$C$9:$I$9)+FCFF!$B$9+FCFF!$I$9*(1+Inputs!$B$6)/(B4196-Inputs!$B$6)/(1+B4196)^7</f>
        <v>-1401.05617</v>
      </c>
    </row>
    <row r="4197" ht="14.25" customHeight="1">
      <c r="A4197" s="7">
        <v>4184.0</v>
      </c>
      <c r="B4197" s="14">
        <f t="shared" si="1"/>
        <v>0.1166414468</v>
      </c>
      <c r="C4197" s="39">
        <f t="array" ref="C4197">NPV(B4197,FCFF!$C$9:$I$9)+FCFF!$B$9+FCFF!$I$9*(1+Inputs!$B$6)/(B4197-Inputs!$B$6)/(1+B4197)^7</f>
        <v>-1762.804153</v>
      </c>
    </row>
    <row r="4198" ht="14.25" customHeight="1">
      <c r="A4198" s="7">
        <v>4185.0</v>
      </c>
      <c r="B4198" s="14">
        <f t="shared" si="1"/>
        <v>0.1144939639</v>
      </c>
      <c r="C4198" s="39">
        <f t="array" ref="C4198">NPV(B4198,FCFF!$C$9:$I$9)+FCFF!$B$9+FCFF!$I$9*(1+Inputs!$B$6)/(B4198-Inputs!$B$6)/(1+B4198)^7</f>
        <v>-1722.533207</v>
      </c>
    </row>
    <row r="4199" ht="14.25" customHeight="1">
      <c r="A4199" s="7">
        <v>4186.0</v>
      </c>
      <c r="B4199" s="14">
        <f t="shared" si="1"/>
        <v>0.1033032782</v>
      </c>
      <c r="C4199" s="39">
        <f t="array" ref="C4199">NPV(B4199,FCFF!$C$9:$I$9)+FCFF!$B$9+FCFF!$I$9*(1+Inputs!$B$6)/(B4199-Inputs!$B$6)/(1+B4199)^7</f>
        <v>-1472.966646</v>
      </c>
    </row>
    <row r="4200" ht="14.25" customHeight="1">
      <c r="A4200" s="7">
        <v>4187.0</v>
      </c>
      <c r="B4200" s="14">
        <f t="shared" si="1"/>
        <v>0.09456578963</v>
      </c>
      <c r="C4200" s="39">
        <f t="array" ref="C4200">NPV(B4200,FCFF!$C$9:$I$9)+FCFF!$B$9+FCFF!$I$9*(1+Inputs!$B$6)/(B4200-Inputs!$B$6)/(1+B4200)^7</f>
        <v>-1216.860927</v>
      </c>
    </row>
    <row r="4201" ht="14.25" customHeight="1">
      <c r="A4201" s="7">
        <v>4188.0</v>
      </c>
      <c r="B4201" s="14">
        <f t="shared" si="1"/>
        <v>0.1096018383</v>
      </c>
      <c r="C4201" s="39">
        <f t="array" ref="C4201">NPV(B4201,FCFF!$C$9:$I$9)+FCFF!$B$9+FCFF!$I$9*(1+Inputs!$B$6)/(B4201-Inputs!$B$6)/(1+B4201)^7</f>
        <v>-1622.322716</v>
      </c>
    </row>
    <row r="4202" ht="14.25" customHeight="1">
      <c r="A4202" s="7">
        <v>4189.0</v>
      </c>
      <c r="B4202" s="14">
        <f t="shared" si="1"/>
        <v>0.132242649</v>
      </c>
      <c r="C4202" s="39">
        <f t="array" ref="C4202">NPV(B4202,FCFF!$C$9:$I$9)+FCFF!$B$9+FCFF!$I$9*(1+Inputs!$B$6)/(B4202-Inputs!$B$6)/(1+B4202)^7</f>
        <v>-2001.859464</v>
      </c>
    </row>
    <row r="4203" ht="14.25" customHeight="1">
      <c r="A4203" s="7">
        <v>4190.0</v>
      </c>
      <c r="B4203" s="14">
        <f t="shared" si="1"/>
        <v>0.1314605333</v>
      </c>
      <c r="C4203" s="39">
        <f t="array" ref="C4203">NPV(B4203,FCFF!$C$9:$I$9)+FCFF!$B$9+FCFF!$I$9*(1+Inputs!$B$6)/(B4203-Inputs!$B$6)/(1+B4203)^7</f>
        <v>-1991.751307</v>
      </c>
    </row>
    <row r="4204" ht="14.25" customHeight="1">
      <c r="A4204" s="7">
        <v>4191.0</v>
      </c>
      <c r="B4204" s="14">
        <f t="shared" si="1"/>
        <v>0.1213443284</v>
      </c>
      <c r="C4204" s="39">
        <f t="array" ref="C4204">NPV(B4204,FCFF!$C$9:$I$9)+FCFF!$B$9+FCFF!$I$9*(1+Inputs!$B$6)/(B4204-Inputs!$B$6)/(1+B4204)^7</f>
        <v>-1844.052485</v>
      </c>
    </row>
    <row r="4205" ht="14.25" customHeight="1">
      <c r="A4205" s="7">
        <v>4192.0</v>
      </c>
      <c r="B4205" s="14">
        <f t="shared" si="1"/>
        <v>0.1064431719</v>
      </c>
      <c r="C4205" s="39">
        <f t="array" ref="C4205">NPV(B4205,FCFF!$C$9:$I$9)+FCFF!$B$9+FCFF!$I$9*(1+Inputs!$B$6)/(B4205-Inputs!$B$6)/(1+B4205)^7</f>
        <v>-1550.570344</v>
      </c>
    </row>
    <row r="4206" ht="14.25" customHeight="1">
      <c r="A4206" s="7">
        <v>4193.0</v>
      </c>
      <c r="B4206" s="14">
        <f t="shared" si="1"/>
        <v>0.1144642971</v>
      </c>
      <c r="C4206" s="39">
        <f t="array" ref="C4206">NPV(B4206,FCFF!$C$9:$I$9)+FCFF!$B$9+FCFF!$I$9*(1+Inputs!$B$6)/(B4206-Inputs!$B$6)/(1+B4206)^7</f>
        <v>-1721.961868</v>
      </c>
    </row>
    <row r="4207" ht="14.25" customHeight="1">
      <c r="A4207" s="7">
        <v>4194.0</v>
      </c>
      <c r="B4207" s="14">
        <f t="shared" si="1"/>
        <v>0.1174426061</v>
      </c>
      <c r="C4207" s="39">
        <f t="array" ref="C4207">NPV(B4207,FCFF!$C$9:$I$9)+FCFF!$B$9+FCFF!$I$9*(1+Inputs!$B$6)/(B4207-Inputs!$B$6)/(1+B4207)^7</f>
        <v>-1777.297019</v>
      </c>
    </row>
    <row r="4208" ht="14.25" customHeight="1">
      <c r="A4208" s="7">
        <v>4195.0</v>
      </c>
      <c r="B4208" s="14">
        <f t="shared" si="1"/>
        <v>0.1281240227</v>
      </c>
      <c r="C4208" s="39">
        <f t="array" ref="C4208">NPV(B4208,FCFF!$C$9:$I$9)+FCFF!$B$9+FCFF!$I$9*(1+Inputs!$B$6)/(B4208-Inputs!$B$6)/(1+B4208)^7</f>
        <v>-1946.658524</v>
      </c>
    </row>
    <row r="4209" ht="14.25" customHeight="1">
      <c r="A4209" s="7">
        <v>4196.0</v>
      </c>
      <c r="B4209" s="14">
        <f t="shared" si="1"/>
        <v>0.09574329129</v>
      </c>
      <c r="C4209" s="39">
        <f t="array" ref="C4209">NPV(B4209,FCFF!$C$9:$I$9)+FCFF!$B$9+FCFF!$I$9*(1+Inputs!$B$6)/(B4209-Inputs!$B$6)/(1+B4209)^7</f>
        <v>-1255.34593</v>
      </c>
    </row>
    <row r="4210" ht="14.25" customHeight="1">
      <c r="A4210" s="7">
        <v>4197.0</v>
      </c>
      <c r="B4210" s="14">
        <f t="shared" si="1"/>
        <v>0.1181628811</v>
      </c>
      <c r="C4210" s="39">
        <f t="array" ref="C4210">NPV(B4210,FCFF!$C$9:$I$9)+FCFF!$B$9+FCFF!$I$9*(1+Inputs!$B$6)/(B4210-Inputs!$B$6)/(1+B4210)^7</f>
        <v>-1790.090252</v>
      </c>
    </row>
    <row r="4211" ht="14.25" customHeight="1">
      <c r="A4211" s="7">
        <v>4198.0</v>
      </c>
      <c r="B4211" s="14">
        <f t="shared" si="1"/>
        <v>0.1306662107</v>
      </c>
      <c r="C4211" s="39">
        <f t="array" ref="C4211">NPV(B4211,FCFF!$C$9:$I$9)+FCFF!$B$9+FCFF!$I$9*(1+Inputs!$B$6)/(B4211-Inputs!$B$6)/(1+B4211)^7</f>
        <v>-1981.31018</v>
      </c>
    </row>
    <row r="4212" ht="14.25" customHeight="1">
      <c r="A4212" s="7">
        <v>4199.0</v>
      </c>
      <c r="B4212" s="14">
        <f t="shared" si="1"/>
        <v>0.09588882402</v>
      </c>
      <c r="C4212" s="39">
        <f t="array" ref="C4212">NPV(B4212,FCFF!$C$9:$I$9)+FCFF!$B$9+FCFF!$I$9*(1+Inputs!$B$6)/(B4212-Inputs!$B$6)/(1+B4212)^7</f>
        <v>-1260.007501</v>
      </c>
    </row>
    <row r="4213" ht="14.25" customHeight="1">
      <c r="A4213" s="7">
        <v>4200.0</v>
      </c>
      <c r="B4213" s="14">
        <f t="shared" si="1"/>
        <v>0.09539796208</v>
      </c>
      <c r="C4213" s="39">
        <f t="array" ref="C4213">NPV(B4213,FCFF!$C$9:$I$9)+FCFF!$B$9+FCFF!$I$9*(1+Inputs!$B$6)/(B4213-Inputs!$B$6)/(1+B4213)^7</f>
        <v>-1244.202056</v>
      </c>
    </row>
    <row r="4214" ht="14.25" customHeight="1">
      <c r="A4214" s="7">
        <v>4201.0</v>
      </c>
      <c r="B4214" s="14">
        <f t="shared" si="1"/>
        <v>0.09376892525</v>
      </c>
      <c r="C4214" s="39">
        <f t="array" ref="C4214">NPV(B4214,FCFF!$C$9:$I$9)+FCFF!$B$9+FCFF!$I$9*(1+Inputs!$B$6)/(B4214-Inputs!$B$6)/(1+B4214)^7</f>
        <v>-1190.016433</v>
      </c>
    </row>
    <row r="4215" ht="14.25" customHeight="1">
      <c r="A4215" s="7">
        <v>4202.0</v>
      </c>
      <c r="B4215" s="14">
        <f t="shared" si="1"/>
        <v>0.1053472895</v>
      </c>
      <c r="C4215" s="39">
        <f t="array" ref="C4215">NPV(B4215,FCFF!$C$9:$I$9)+FCFF!$B$9+FCFF!$I$9*(1+Inputs!$B$6)/(B4215-Inputs!$B$6)/(1+B4215)^7</f>
        <v>-1524.234356</v>
      </c>
    </row>
    <row r="4216" ht="14.25" customHeight="1">
      <c r="A4216" s="7">
        <v>4203.0</v>
      </c>
      <c r="B4216" s="14">
        <f t="shared" si="1"/>
        <v>0.0954980361</v>
      </c>
      <c r="C4216" s="39">
        <f t="array" ref="C4216">NPV(B4216,FCFF!$C$9:$I$9)+FCFF!$B$9+FCFF!$I$9*(1+Inputs!$B$6)/(B4216-Inputs!$B$6)/(1+B4216)^7</f>
        <v>-1247.443501</v>
      </c>
    </row>
    <row r="4217" ht="14.25" customHeight="1">
      <c r="A4217" s="7">
        <v>4204.0</v>
      </c>
      <c r="B4217" s="14">
        <f t="shared" si="1"/>
        <v>0.1129072694</v>
      </c>
      <c r="C4217" s="39">
        <f t="array" ref="C4217">NPV(B4217,FCFF!$C$9:$I$9)+FCFF!$B$9+FCFF!$I$9*(1+Inputs!$B$6)/(B4217-Inputs!$B$6)/(1+B4217)^7</f>
        <v>-1691.376902</v>
      </c>
    </row>
    <row r="4218" ht="14.25" customHeight="1">
      <c r="A4218" s="7">
        <v>4205.0</v>
      </c>
      <c r="B4218" s="14">
        <f t="shared" si="1"/>
        <v>0.1059058786</v>
      </c>
      <c r="C4218" s="39">
        <f t="array" ref="C4218">NPV(B4218,FCFF!$C$9:$I$9)+FCFF!$B$9+FCFF!$I$9*(1+Inputs!$B$6)/(B4218-Inputs!$B$6)/(1+B4218)^7</f>
        <v>-1537.755349</v>
      </c>
    </row>
    <row r="4219" ht="14.25" customHeight="1">
      <c r="A4219" s="7">
        <v>4206.0</v>
      </c>
      <c r="B4219" s="14">
        <f t="shared" si="1"/>
        <v>0.1004000977</v>
      </c>
      <c r="C4219" s="39">
        <f t="array" ref="C4219">NPV(B4219,FCFF!$C$9:$I$9)+FCFF!$B$9+FCFF!$I$9*(1+Inputs!$B$6)/(B4219-Inputs!$B$6)/(1+B4219)^7</f>
        <v>-1394.955973</v>
      </c>
    </row>
    <row r="4220" ht="14.25" customHeight="1">
      <c r="A4220" s="7">
        <v>4207.0</v>
      </c>
      <c r="B4220" s="14">
        <f t="shared" si="1"/>
        <v>0.09623080116</v>
      </c>
      <c r="C4220" s="39">
        <f t="array" ref="C4220">NPV(B4220,FCFF!$C$9:$I$9)+FCFF!$B$9+FCFF!$I$9*(1+Inputs!$B$6)/(B4220-Inputs!$B$6)/(1+B4220)^7</f>
        <v>-1270.881113</v>
      </c>
    </row>
    <row r="4221" ht="14.25" customHeight="1">
      <c r="A4221" s="7">
        <v>4208.0</v>
      </c>
      <c r="B4221" s="14">
        <f t="shared" si="1"/>
        <v>0.1139391957</v>
      </c>
      <c r="C4221" s="39">
        <f t="array" ref="C4221">NPV(B4221,FCFF!$C$9:$I$9)+FCFF!$B$9+FCFF!$I$9*(1+Inputs!$B$6)/(B4221-Inputs!$B$6)/(1+B4221)^7</f>
        <v>-1711.779395</v>
      </c>
    </row>
    <row r="4222" ht="14.25" customHeight="1">
      <c r="A4222" s="7">
        <v>4209.0</v>
      </c>
      <c r="B4222" s="14">
        <f t="shared" si="1"/>
        <v>0.1328099487</v>
      </c>
      <c r="C4222" s="39">
        <f t="array" ref="C4222">NPV(B4222,FCFF!$C$9:$I$9)+FCFF!$B$9+FCFF!$I$9*(1+Inputs!$B$6)/(B4222-Inputs!$B$6)/(1+B4222)^7</f>
        <v>-2009.086381</v>
      </c>
    </row>
    <row r="4223" ht="14.25" customHeight="1">
      <c r="A4223" s="7">
        <v>4210.0</v>
      </c>
      <c r="B4223" s="14">
        <f t="shared" si="1"/>
        <v>0.110780561</v>
      </c>
      <c r="C4223" s="39">
        <f t="array" ref="C4223">NPV(B4223,FCFF!$C$9:$I$9)+FCFF!$B$9+FCFF!$I$9*(1+Inputs!$B$6)/(B4223-Inputs!$B$6)/(1+B4223)^7</f>
        <v>-1647.618983</v>
      </c>
    </row>
    <row r="4224" ht="14.25" customHeight="1">
      <c r="A4224" s="7">
        <v>4211.0</v>
      </c>
      <c r="B4224" s="14">
        <f t="shared" si="1"/>
        <v>0.09334353471</v>
      </c>
      <c r="C4224" s="39">
        <f t="array" ref="C4224">NPV(B4224,FCFF!$C$9:$I$9)+FCFF!$B$9+FCFF!$I$9*(1+Inputs!$B$6)/(B4224-Inputs!$B$6)/(1+B4224)^7</f>
        <v>-1175.412249</v>
      </c>
    </row>
    <row r="4225" ht="14.25" customHeight="1">
      <c r="A4225" s="7">
        <v>4212.0</v>
      </c>
      <c r="B4225" s="14">
        <f t="shared" si="1"/>
        <v>0.1203971654</v>
      </c>
      <c r="C4225" s="39">
        <f t="array" ref="C4225">NPV(B4225,FCFF!$C$9:$I$9)+FCFF!$B$9+FCFF!$I$9*(1+Inputs!$B$6)/(B4225-Inputs!$B$6)/(1+B4225)^7</f>
        <v>-1828.407402</v>
      </c>
    </row>
    <row r="4226" ht="14.25" customHeight="1">
      <c r="A4226" s="7">
        <v>4213.0</v>
      </c>
      <c r="B4226" s="14">
        <f t="shared" si="1"/>
        <v>0.1138430721</v>
      </c>
      <c r="C4226" s="39">
        <f t="array" ref="C4226">NPV(B4226,FCFF!$C$9:$I$9)+FCFF!$B$9+FCFF!$I$9*(1+Inputs!$B$6)/(B4226-Inputs!$B$6)/(1+B4226)^7</f>
        <v>-1709.901009</v>
      </c>
    </row>
    <row r="4227" ht="14.25" customHeight="1">
      <c r="A4227" s="7">
        <v>4214.0</v>
      </c>
      <c r="B4227" s="14">
        <f t="shared" si="1"/>
        <v>0.1270671356</v>
      </c>
      <c r="C4227" s="39">
        <f t="array" ref="C4227">NPV(B4227,FCFF!$C$9:$I$9)+FCFF!$B$9+FCFF!$I$9*(1+Inputs!$B$6)/(B4227-Inputs!$B$6)/(1+B4227)^7</f>
        <v>-1931.674051</v>
      </c>
    </row>
    <row r="4228" ht="14.25" customHeight="1">
      <c r="A4228" s="7">
        <v>4215.0</v>
      </c>
      <c r="B4228" s="14">
        <f t="shared" si="1"/>
        <v>0.1085526666</v>
      </c>
      <c r="C4228" s="39">
        <f t="array" ref="C4228">NPV(B4228,FCFF!$C$9:$I$9)+FCFF!$B$9+FCFF!$I$9*(1+Inputs!$B$6)/(B4228-Inputs!$B$6)/(1+B4228)^7</f>
        <v>-1599.147542</v>
      </c>
    </row>
    <row r="4229" ht="14.25" customHeight="1">
      <c r="A4229" s="7">
        <v>4216.0</v>
      </c>
      <c r="B4229" s="14">
        <f t="shared" si="1"/>
        <v>0.0944136869</v>
      </c>
      <c r="C4229" s="39">
        <f t="array" ref="C4229">NPV(B4229,FCFF!$C$9:$I$9)+FCFF!$B$9+FCFF!$I$9*(1+Inputs!$B$6)/(B4229-Inputs!$B$6)/(1+B4229)^7</f>
        <v>-1211.787779</v>
      </c>
    </row>
    <row r="4230" ht="14.25" customHeight="1">
      <c r="A4230" s="7">
        <v>4217.0</v>
      </c>
      <c r="B4230" s="14">
        <f t="shared" si="1"/>
        <v>0.1300465534</v>
      </c>
      <c r="C4230" s="39">
        <f t="array" ref="C4230">NPV(B4230,FCFF!$C$9:$I$9)+FCFF!$B$9+FCFF!$I$9*(1+Inputs!$B$6)/(B4230-Inputs!$B$6)/(1+B4230)^7</f>
        <v>-1973.039752</v>
      </c>
    </row>
    <row r="4231" ht="14.25" customHeight="1">
      <c r="A4231" s="7">
        <v>4218.0</v>
      </c>
      <c r="B4231" s="14">
        <f t="shared" si="1"/>
        <v>0.1083926808</v>
      </c>
      <c r="C4231" s="39">
        <f t="array" ref="C4231">NPV(B4231,FCFF!$C$9:$I$9)+FCFF!$B$9+FCFF!$I$9*(1+Inputs!$B$6)/(B4231-Inputs!$B$6)/(1+B4231)^7</f>
        <v>-1595.557475</v>
      </c>
    </row>
    <row r="4232" ht="14.25" customHeight="1">
      <c r="A4232" s="7">
        <v>4219.0</v>
      </c>
      <c r="B4232" s="14">
        <f t="shared" si="1"/>
        <v>0.1109878408</v>
      </c>
      <c r="C4232" s="39">
        <f t="array" ref="C4232">NPV(B4232,FCFF!$C$9:$I$9)+FCFF!$B$9+FCFF!$I$9*(1+Inputs!$B$6)/(B4232-Inputs!$B$6)/(1+B4232)^7</f>
        <v>-1651.988671</v>
      </c>
    </row>
    <row r="4233" ht="14.25" customHeight="1">
      <c r="A4233" s="7">
        <v>4220.0</v>
      </c>
      <c r="B4233" s="14">
        <f t="shared" si="1"/>
        <v>0.1161375177</v>
      </c>
      <c r="C4233" s="39">
        <f t="array" ref="C4233">NPV(B4233,FCFF!$C$9:$I$9)+FCFF!$B$9+FCFF!$I$9*(1+Inputs!$B$6)/(B4233-Inputs!$B$6)/(1+B4233)^7</f>
        <v>-1753.543029</v>
      </c>
    </row>
    <row r="4234" ht="14.25" customHeight="1">
      <c r="A4234" s="7">
        <v>4221.0</v>
      </c>
      <c r="B4234" s="14">
        <f t="shared" si="1"/>
        <v>0.1044406722</v>
      </c>
      <c r="C4234" s="39">
        <f t="array" ref="C4234">NPV(B4234,FCFF!$C$9:$I$9)+FCFF!$B$9+FCFF!$I$9*(1+Inputs!$B$6)/(B4234-Inputs!$B$6)/(1+B4234)^7</f>
        <v>-1501.848345</v>
      </c>
    </row>
    <row r="4235" ht="14.25" customHeight="1">
      <c r="A4235" s="7">
        <v>4222.0</v>
      </c>
      <c r="B4235" s="14">
        <f t="shared" si="1"/>
        <v>0.1184112004</v>
      </c>
      <c r="C4235" s="39">
        <f t="array" ref="C4235">NPV(B4235,FCFF!$C$9:$I$9)+FCFF!$B$9+FCFF!$I$9*(1+Inputs!$B$6)/(B4235-Inputs!$B$6)/(1+B4235)^7</f>
        <v>-1794.449903</v>
      </c>
    </row>
    <row r="4236" ht="14.25" customHeight="1">
      <c r="A4236" s="7">
        <v>4223.0</v>
      </c>
      <c r="B4236" s="14">
        <f t="shared" si="1"/>
        <v>0.1060435674</v>
      </c>
      <c r="C4236" s="39">
        <f t="array" ref="C4236">NPV(B4236,FCFF!$C$9:$I$9)+FCFF!$B$9+FCFF!$I$9*(1+Inputs!$B$6)/(B4236-Inputs!$B$6)/(1+B4236)^7</f>
        <v>-1541.057016</v>
      </c>
    </row>
    <row r="4237" ht="14.25" customHeight="1">
      <c r="A4237" s="7">
        <v>4224.0</v>
      </c>
      <c r="B4237" s="14">
        <f t="shared" si="1"/>
        <v>0.1308771039</v>
      </c>
      <c r="C4237" s="39">
        <f t="array" ref="C4237">NPV(B4237,FCFF!$C$9:$I$9)+FCFF!$B$9+FCFF!$I$9*(1+Inputs!$B$6)/(B4237-Inputs!$B$6)/(1+B4237)^7</f>
        <v>-1984.099749</v>
      </c>
    </row>
    <row r="4238" ht="14.25" customHeight="1">
      <c r="A4238" s="7">
        <v>4225.0</v>
      </c>
      <c r="B4238" s="14">
        <f t="shared" si="1"/>
        <v>0.1167834119</v>
      </c>
      <c r="C4238" s="39">
        <f t="array" ref="C4238">NPV(B4238,FCFF!$C$9:$I$9)+FCFF!$B$9+FCFF!$I$9*(1+Inputs!$B$6)/(B4238-Inputs!$B$6)/(1+B4238)^7</f>
        <v>-1765.392785</v>
      </c>
    </row>
    <row r="4239" ht="14.25" customHeight="1">
      <c r="A4239" s="7">
        <v>4226.0</v>
      </c>
      <c r="B4239" s="14">
        <f t="shared" si="1"/>
        <v>0.1148035826</v>
      </c>
      <c r="C4239" s="39">
        <f t="array" ref="C4239">NPV(B4239,FCFF!$C$9:$I$9)+FCFF!$B$9+FCFF!$I$9*(1+Inputs!$B$6)/(B4239-Inputs!$B$6)/(1+B4239)^7</f>
        <v>-1728.471094</v>
      </c>
    </row>
    <row r="4240" ht="14.25" customHeight="1">
      <c r="A4240" s="7">
        <v>4227.0</v>
      </c>
      <c r="B4240" s="14">
        <f t="shared" si="1"/>
        <v>0.1056901021</v>
      </c>
      <c r="C4240" s="39">
        <f t="array" ref="C4240">NPV(B4240,FCFF!$C$9:$I$9)+FCFF!$B$9+FCFF!$I$9*(1+Inputs!$B$6)/(B4240-Inputs!$B$6)/(1+B4240)^7</f>
        <v>-1532.556507</v>
      </c>
    </row>
    <row r="4241" ht="14.25" customHeight="1">
      <c r="A4241" s="7">
        <v>4228.0</v>
      </c>
      <c r="B4241" s="14">
        <f t="shared" si="1"/>
        <v>0.10510834</v>
      </c>
      <c r="C4241" s="39">
        <f t="array" ref="C4241">NPV(B4241,FCFF!$C$9:$I$9)+FCFF!$B$9+FCFF!$I$9*(1+Inputs!$B$6)/(B4241-Inputs!$B$6)/(1+B4241)^7</f>
        <v>-1518.387735</v>
      </c>
    </row>
    <row r="4242" ht="14.25" customHeight="1">
      <c r="A4242" s="7">
        <v>4229.0</v>
      </c>
      <c r="B4242" s="14">
        <f t="shared" si="1"/>
        <v>0.1017592486</v>
      </c>
      <c r="C4242" s="39">
        <f t="array" ref="C4242">NPV(B4242,FCFF!$C$9:$I$9)+FCFF!$B$9+FCFF!$I$9*(1+Inputs!$B$6)/(B4242-Inputs!$B$6)/(1+B4242)^7</f>
        <v>-1432.27209</v>
      </c>
    </row>
    <row r="4243" ht="14.25" customHeight="1">
      <c r="A4243" s="7">
        <v>4230.0</v>
      </c>
      <c r="B4243" s="14">
        <f t="shared" si="1"/>
        <v>0.09989682137</v>
      </c>
      <c r="C4243" s="39">
        <f t="array" ref="C4243">NPV(B4243,FCFF!$C$9:$I$9)+FCFF!$B$9+FCFF!$I$9*(1+Inputs!$B$6)/(B4243-Inputs!$B$6)/(1+B4243)^7</f>
        <v>-1380.767018</v>
      </c>
    </row>
    <row r="4244" ht="14.25" customHeight="1">
      <c r="A4244" s="7">
        <v>4231.0</v>
      </c>
      <c r="B4244" s="14">
        <f t="shared" si="1"/>
        <v>0.1061871772</v>
      </c>
      <c r="C4244" s="39">
        <f t="array" ref="C4244">NPV(B4244,FCFF!$C$9:$I$9)+FCFF!$B$9+FCFF!$I$9*(1+Inputs!$B$6)/(B4244-Inputs!$B$6)/(1+B4244)^7</f>
        <v>-1544.487663</v>
      </c>
    </row>
    <row r="4245" ht="14.25" customHeight="1">
      <c r="A4245" s="7">
        <v>4232.0</v>
      </c>
      <c r="B4245" s="14">
        <f t="shared" si="1"/>
        <v>0.1110500311</v>
      </c>
      <c r="C4245" s="39">
        <f t="array" ref="C4245">NPV(B4245,FCFF!$C$9:$I$9)+FCFF!$B$9+FCFF!$I$9*(1+Inputs!$B$6)/(B4245-Inputs!$B$6)/(1+B4245)^7</f>
        <v>-1653.295199</v>
      </c>
    </row>
    <row r="4246" ht="14.25" customHeight="1">
      <c r="A4246" s="7">
        <v>4233.0</v>
      </c>
      <c r="B4246" s="14">
        <f t="shared" si="1"/>
        <v>0.1000767572</v>
      </c>
      <c r="C4246" s="39">
        <f t="array" ref="C4246">NPV(B4246,FCFF!$C$9:$I$9)+FCFF!$B$9+FCFF!$I$9*(1+Inputs!$B$6)/(B4246-Inputs!$B$6)/(1+B4246)^7</f>
        <v>-1385.863545</v>
      </c>
    </row>
    <row r="4247" ht="14.25" customHeight="1">
      <c r="A4247" s="7">
        <v>4234.0</v>
      </c>
      <c r="B4247" s="14">
        <f t="shared" si="1"/>
        <v>0.09329147882</v>
      </c>
      <c r="C4247" s="39">
        <f t="array" ref="C4247">NPV(B4247,FCFF!$C$9:$I$9)+FCFF!$B$9+FCFF!$I$9*(1+Inputs!$B$6)/(B4247-Inputs!$B$6)/(1+B4247)^7</f>
        <v>-1173.611773</v>
      </c>
    </row>
    <row r="4248" ht="14.25" customHeight="1">
      <c r="A4248" s="7">
        <v>4235.0</v>
      </c>
      <c r="B4248" s="14">
        <f t="shared" si="1"/>
        <v>0.1177769751</v>
      </c>
      <c r="C4248" s="39">
        <f t="array" ref="C4248">NPV(B4248,FCFF!$C$9:$I$9)+FCFF!$B$9+FCFF!$I$9*(1+Inputs!$B$6)/(B4248-Inputs!$B$6)/(1+B4248)^7</f>
        <v>-1783.263441</v>
      </c>
    </row>
    <row r="4249" ht="14.25" customHeight="1">
      <c r="A4249" s="7">
        <v>4236.0</v>
      </c>
      <c r="B4249" s="14">
        <f t="shared" si="1"/>
        <v>0.09595572484</v>
      </c>
      <c r="C4249" s="39">
        <f t="array" ref="C4249">NPV(B4249,FCFF!$C$9:$I$9)+FCFF!$B$9+FCFF!$I$9*(1+Inputs!$B$6)/(B4249-Inputs!$B$6)/(1+B4249)^7</f>
        <v>-1262.143536</v>
      </c>
    </row>
    <row r="4250" ht="14.25" customHeight="1">
      <c r="A4250" s="7">
        <v>4237.0</v>
      </c>
      <c r="B4250" s="14">
        <f t="shared" si="1"/>
        <v>0.1187116148</v>
      </c>
      <c r="C4250" s="39">
        <f t="array" ref="C4250">NPV(B4250,FCFF!$C$9:$I$9)+FCFF!$B$9+FCFF!$I$9*(1+Inputs!$B$6)/(B4250-Inputs!$B$6)/(1+B4250)^7</f>
        <v>-1799.689765</v>
      </c>
    </row>
    <row r="4251" ht="14.25" customHeight="1">
      <c r="A4251" s="7">
        <v>4238.0</v>
      </c>
      <c r="B4251" s="14">
        <f t="shared" si="1"/>
        <v>0.1169624867</v>
      </c>
      <c r="C4251" s="39">
        <f t="array" ref="C4251">NPV(B4251,FCFF!$C$9:$I$9)+FCFF!$B$9+FCFF!$I$9*(1+Inputs!$B$6)/(B4251-Inputs!$B$6)/(1+B4251)^7</f>
        <v>-1768.645423</v>
      </c>
    </row>
    <row r="4252" ht="14.25" customHeight="1">
      <c r="A4252" s="7">
        <v>4239.0</v>
      </c>
      <c r="B4252" s="14">
        <f t="shared" si="1"/>
        <v>0.1158155977</v>
      </c>
      <c r="C4252" s="39">
        <f t="array" ref="C4252">NPV(B4252,FCFF!$C$9:$I$9)+FCFF!$B$9+FCFF!$I$9*(1+Inputs!$B$6)/(B4252-Inputs!$B$6)/(1+B4252)^7</f>
        <v>-1747.567109</v>
      </c>
    </row>
    <row r="4253" ht="14.25" customHeight="1">
      <c r="A4253" s="7">
        <v>4240.0</v>
      </c>
      <c r="B4253" s="14">
        <f t="shared" si="1"/>
        <v>0.1249659249</v>
      </c>
      <c r="C4253" s="39">
        <f t="array" ref="C4253">NPV(B4253,FCFF!$C$9:$I$9)+FCFF!$B$9+FCFF!$I$9*(1+Inputs!$B$6)/(B4253-Inputs!$B$6)/(1+B4253)^7</f>
        <v>-1900.815292</v>
      </c>
    </row>
    <row r="4254" ht="14.25" customHeight="1">
      <c r="A4254" s="7">
        <v>4241.0</v>
      </c>
      <c r="B4254" s="14">
        <f t="shared" si="1"/>
        <v>0.109539382</v>
      </c>
      <c r="C4254" s="39">
        <f t="array" ref="C4254">NPV(B4254,FCFF!$C$9:$I$9)+FCFF!$B$9+FCFF!$I$9*(1+Inputs!$B$6)/(B4254-Inputs!$B$6)/(1+B4254)^7</f>
        <v>-1620.960755</v>
      </c>
    </row>
    <row r="4255" ht="14.25" customHeight="1">
      <c r="A4255" s="7">
        <v>4242.0</v>
      </c>
      <c r="B4255" s="14">
        <f t="shared" si="1"/>
        <v>0.1291186787</v>
      </c>
      <c r="C4255" s="39">
        <f t="array" ref="C4255">NPV(B4255,FCFF!$C$9:$I$9)+FCFF!$B$9+FCFF!$I$9*(1+Inputs!$B$6)/(B4255-Inputs!$B$6)/(1+B4255)^7</f>
        <v>-1960.445672</v>
      </c>
    </row>
    <row r="4256" ht="14.25" customHeight="1">
      <c r="A4256" s="7">
        <v>4243.0</v>
      </c>
      <c r="B4256" s="14">
        <f t="shared" si="1"/>
        <v>0.113935054</v>
      </c>
      <c r="C4256" s="39">
        <f t="array" ref="C4256">NPV(B4256,FCFF!$C$9:$I$9)+FCFF!$B$9+FCFF!$I$9*(1+Inputs!$B$6)/(B4256-Inputs!$B$6)/(1+B4256)^7</f>
        <v>-1711.698554</v>
      </c>
    </row>
    <row r="4257" ht="14.25" customHeight="1">
      <c r="A4257" s="7">
        <v>4244.0</v>
      </c>
      <c r="B4257" s="14">
        <f t="shared" si="1"/>
        <v>0.1153099688</v>
      </c>
      <c r="C4257" s="39">
        <f t="array" ref="C4257">NPV(B4257,FCFF!$C$9:$I$9)+FCFF!$B$9+FCFF!$I$9*(1+Inputs!$B$6)/(B4257-Inputs!$B$6)/(1+B4257)^7</f>
        <v>-1738.085514</v>
      </c>
    </row>
    <row r="4258" ht="14.25" customHeight="1">
      <c r="A4258" s="7">
        <v>4245.0</v>
      </c>
      <c r="B4258" s="14">
        <f t="shared" si="1"/>
        <v>0.1148602572</v>
      </c>
      <c r="C4258" s="39">
        <f t="array" ref="C4258">NPV(B4258,FCFF!$C$9:$I$9)+FCFF!$B$9+FCFF!$I$9*(1+Inputs!$B$6)/(B4258-Inputs!$B$6)/(1+B4258)^7</f>
        <v>-1729.5531</v>
      </c>
    </row>
    <row r="4259" ht="14.25" customHeight="1">
      <c r="A4259" s="7">
        <v>4246.0</v>
      </c>
      <c r="B4259" s="14">
        <f t="shared" si="1"/>
        <v>0.125176778</v>
      </c>
      <c r="C4259" s="39">
        <f t="array" ref="C4259">NPV(B4259,FCFF!$C$9:$I$9)+FCFF!$B$9+FCFF!$I$9*(1+Inputs!$B$6)/(B4259-Inputs!$B$6)/(1+B4259)^7</f>
        <v>-1903.977995</v>
      </c>
    </row>
    <row r="4260" ht="14.25" customHeight="1">
      <c r="A4260" s="7">
        <v>4247.0</v>
      </c>
      <c r="B4260" s="14">
        <f t="shared" si="1"/>
        <v>0.1172106269</v>
      </c>
      <c r="C4260" s="39">
        <f t="array" ref="C4260">NPV(B4260,FCFF!$C$9:$I$9)+FCFF!$B$9+FCFF!$I$9*(1+Inputs!$B$6)/(B4260-Inputs!$B$6)/(1+B4260)^7</f>
        <v>-1773.129335</v>
      </c>
    </row>
    <row r="4261" ht="14.25" customHeight="1">
      <c r="A4261" s="7">
        <v>4248.0</v>
      </c>
      <c r="B4261" s="14">
        <f t="shared" si="1"/>
        <v>0.1048422174</v>
      </c>
      <c r="C4261" s="39">
        <f t="array" ref="C4261">NPV(B4261,FCFF!$C$9:$I$9)+FCFF!$B$9+FCFF!$I$9*(1+Inputs!$B$6)/(B4261-Inputs!$B$6)/(1+B4261)^7</f>
        <v>-1511.831423</v>
      </c>
    </row>
    <row r="4262" ht="14.25" customHeight="1">
      <c r="A4262" s="7">
        <v>4249.0</v>
      </c>
      <c r="B4262" s="14">
        <f t="shared" si="1"/>
        <v>0.09382581716</v>
      </c>
      <c r="C4262" s="39">
        <f t="array" ref="C4262">NPV(B4262,FCFF!$C$9:$I$9)+FCFF!$B$9+FCFF!$I$9*(1+Inputs!$B$6)/(B4262-Inputs!$B$6)/(1+B4262)^7</f>
        <v>-1191.954999</v>
      </c>
    </row>
    <row r="4263" ht="14.25" customHeight="1">
      <c r="A4263" s="7">
        <v>4250.0</v>
      </c>
      <c r="B4263" s="14">
        <f t="shared" si="1"/>
        <v>0.1225258534</v>
      </c>
      <c r="C4263" s="39">
        <f t="array" ref="C4263">NPV(B4263,FCFF!$C$9:$I$9)+FCFF!$B$9+FCFF!$I$9*(1+Inputs!$B$6)/(B4263-Inputs!$B$6)/(1+B4263)^7</f>
        <v>-1863.092012</v>
      </c>
    </row>
    <row r="4264" ht="14.25" customHeight="1">
      <c r="A4264" s="7">
        <v>4251.0</v>
      </c>
      <c r="B4264" s="14">
        <f t="shared" si="1"/>
        <v>0.09694128734</v>
      </c>
      <c r="C4264" s="39">
        <f t="array" ref="C4264">NPV(B4264,FCFF!$C$9:$I$9)+FCFF!$B$9+FCFF!$I$9*(1+Inputs!$B$6)/(B4264-Inputs!$B$6)/(1+B4264)^7</f>
        <v>-1293.117903</v>
      </c>
    </row>
    <row r="4265" ht="14.25" customHeight="1">
      <c r="A4265" s="7">
        <v>4252.0</v>
      </c>
      <c r="B4265" s="14">
        <f t="shared" si="1"/>
        <v>0.1193424618</v>
      </c>
      <c r="C4265" s="39">
        <f t="array" ref="C4265">NPV(B4265,FCFF!$C$9:$I$9)+FCFF!$B$9+FCFF!$I$9*(1+Inputs!$B$6)/(B4265-Inputs!$B$6)/(1+B4265)^7</f>
        <v>-1810.572028</v>
      </c>
    </row>
    <row r="4266" ht="14.25" customHeight="1">
      <c r="A4266" s="7">
        <v>4253.0</v>
      </c>
      <c r="B4266" s="14">
        <f t="shared" si="1"/>
        <v>0.09553556754</v>
      </c>
      <c r="C4266" s="39">
        <f t="array" ref="C4266">NPV(B4266,FCFF!$C$9:$I$9)+FCFF!$B$9+FCFF!$I$9*(1+Inputs!$B$6)/(B4266-Inputs!$B$6)/(1+B4266)^7</f>
        <v>-1248.656624</v>
      </c>
    </row>
    <row r="4267" ht="14.25" customHeight="1">
      <c r="A4267" s="7">
        <v>4254.0</v>
      </c>
      <c r="B4267" s="14">
        <f t="shared" si="1"/>
        <v>0.1003285887</v>
      </c>
      <c r="C4267" s="39">
        <f t="array" ref="C4267">NPV(B4267,FCFF!$C$9:$I$9)+FCFF!$B$9+FCFF!$I$9*(1+Inputs!$B$6)/(B4267-Inputs!$B$6)/(1+B4267)^7</f>
        <v>-1392.95237</v>
      </c>
    </row>
    <row r="4268" ht="14.25" customHeight="1">
      <c r="A4268" s="7">
        <v>4255.0</v>
      </c>
      <c r="B4268" s="14">
        <f t="shared" si="1"/>
        <v>0.09853363058</v>
      </c>
      <c r="C4268" s="39">
        <f t="array" ref="C4268">NPV(B4268,FCFF!$C$9:$I$9)+FCFF!$B$9+FCFF!$I$9*(1+Inputs!$B$6)/(B4268-Inputs!$B$6)/(1+B4268)^7</f>
        <v>-1341.281856</v>
      </c>
    </row>
    <row r="4269" ht="14.25" customHeight="1">
      <c r="A4269" s="7">
        <v>4256.0</v>
      </c>
      <c r="B4269" s="14">
        <f t="shared" si="1"/>
        <v>0.1207058112</v>
      </c>
      <c r="C4269" s="39">
        <f t="array" ref="C4269">NPV(B4269,FCFF!$C$9:$I$9)+FCFF!$B$9+FCFF!$I$9*(1+Inputs!$B$6)/(B4269-Inputs!$B$6)/(1+B4269)^7</f>
        <v>-1833.54364</v>
      </c>
    </row>
    <row r="4270" ht="14.25" customHeight="1">
      <c r="A4270" s="7">
        <v>4257.0</v>
      </c>
      <c r="B4270" s="14">
        <f t="shared" si="1"/>
        <v>0.1225789312</v>
      </c>
      <c r="C4270" s="39">
        <f t="array" ref="C4270">NPV(B4270,FCFF!$C$9:$I$9)+FCFF!$B$9+FCFF!$I$9*(1+Inputs!$B$6)/(B4270-Inputs!$B$6)/(1+B4270)^7</f>
        <v>-1863.93519</v>
      </c>
    </row>
    <row r="4271" ht="14.25" customHeight="1">
      <c r="A4271" s="7">
        <v>4258.0</v>
      </c>
      <c r="B4271" s="14">
        <f t="shared" si="1"/>
        <v>0.09642601597</v>
      </c>
      <c r="C4271" s="39">
        <f t="array" ref="C4271">NPV(B4271,FCFF!$C$9:$I$9)+FCFF!$B$9+FCFF!$I$9*(1+Inputs!$B$6)/(B4271-Inputs!$B$6)/(1+B4271)^7</f>
        <v>-1277.03821</v>
      </c>
    </row>
    <row r="4272" ht="14.25" customHeight="1">
      <c r="A4272" s="7">
        <v>4259.0</v>
      </c>
      <c r="B4272" s="14">
        <f t="shared" si="1"/>
        <v>0.1101126284</v>
      </c>
      <c r="C4272" s="39">
        <f t="array" ref="C4272">NPV(B4272,FCFF!$C$9:$I$9)+FCFF!$B$9+FCFF!$I$9*(1+Inputs!$B$6)/(B4272-Inputs!$B$6)/(1+B4272)^7</f>
        <v>-1633.379077</v>
      </c>
    </row>
    <row r="4273" ht="14.25" customHeight="1">
      <c r="A4273" s="7">
        <v>4260.0</v>
      </c>
      <c r="B4273" s="14">
        <f t="shared" si="1"/>
        <v>0.1320926027</v>
      </c>
      <c r="C4273" s="39">
        <f t="array" ref="C4273">NPV(B4273,FCFF!$C$9:$I$9)+FCFF!$B$9+FCFF!$I$9*(1+Inputs!$B$6)/(B4273-Inputs!$B$6)/(1+B4273)^7</f>
        <v>-1999.933336</v>
      </c>
    </row>
    <row r="4274" ht="14.25" customHeight="1">
      <c r="A4274" s="7">
        <v>4261.0</v>
      </c>
      <c r="B4274" s="14">
        <f t="shared" si="1"/>
        <v>0.1130561288</v>
      </c>
      <c r="C4274" s="39">
        <f t="array" ref="C4274">NPV(B4274,FCFF!$C$9:$I$9)+FCFF!$B$9+FCFF!$I$9*(1+Inputs!$B$6)/(B4274-Inputs!$B$6)/(1+B4274)^7</f>
        <v>-1694.35263</v>
      </c>
    </row>
    <row r="4275" ht="14.25" customHeight="1">
      <c r="A4275" s="7">
        <v>4262.0</v>
      </c>
      <c r="B4275" s="14">
        <f t="shared" si="1"/>
        <v>0.1304826714</v>
      </c>
      <c r="C4275" s="39">
        <f t="array" ref="C4275">NPV(B4275,FCFF!$C$9:$I$9)+FCFF!$B$9+FCFF!$I$9*(1+Inputs!$B$6)/(B4275-Inputs!$B$6)/(1+B4275)^7</f>
        <v>-1978.87207</v>
      </c>
    </row>
    <row r="4276" ht="14.25" customHeight="1">
      <c r="A4276" s="7">
        <v>4263.0</v>
      </c>
      <c r="B4276" s="14">
        <f t="shared" si="1"/>
        <v>0.101865293</v>
      </c>
      <c r="C4276" s="39">
        <f t="array" ref="C4276">NPV(B4276,FCFF!$C$9:$I$9)+FCFF!$B$9+FCFF!$I$9*(1+Inputs!$B$6)/(B4276-Inputs!$B$6)/(1+B4276)^7</f>
        <v>-1435.123637</v>
      </c>
    </row>
    <row r="4277" ht="14.25" customHeight="1">
      <c r="A4277" s="7">
        <v>4264.0</v>
      </c>
      <c r="B4277" s="14">
        <f t="shared" si="1"/>
        <v>0.1263042178</v>
      </c>
      <c r="C4277" s="39">
        <f t="array" ref="C4277">NPV(B4277,FCFF!$C$9:$I$9)+FCFF!$B$9+FCFF!$I$9*(1+Inputs!$B$6)/(B4277-Inputs!$B$6)/(1+B4277)^7</f>
        <v>-1920.637035</v>
      </c>
    </row>
    <row r="4278" ht="14.25" customHeight="1">
      <c r="A4278" s="7">
        <v>4265.0</v>
      </c>
      <c r="B4278" s="14">
        <f t="shared" si="1"/>
        <v>0.1196192085</v>
      </c>
      <c r="C4278" s="39">
        <f t="array" ref="C4278">NPV(B4278,FCFF!$C$9:$I$9)+FCFF!$B$9+FCFF!$I$9*(1+Inputs!$B$6)/(B4278-Inputs!$B$6)/(1+B4278)^7</f>
        <v>-1815.294899</v>
      </c>
    </row>
    <row r="4279" ht="14.25" customHeight="1">
      <c r="A4279" s="7">
        <v>4266.0</v>
      </c>
      <c r="B4279" s="14">
        <f t="shared" si="1"/>
        <v>0.1058294546</v>
      </c>
      <c r="C4279" s="39">
        <f t="array" ref="C4279">NPV(B4279,FCFF!$C$9:$I$9)+FCFF!$B$9+FCFF!$I$9*(1+Inputs!$B$6)/(B4279-Inputs!$B$6)/(1+B4279)^7</f>
        <v>-1535.917474</v>
      </c>
    </row>
    <row r="4280" ht="14.25" customHeight="1">
      <c r="A4280" s="7">
        <v>4267.0</v>
      </c>
      <c r="B4280" s="14">
        <f t="shared" si="1"/>
        <v>0.09475618128</v>
      </c>
      <c r="C4280" s="39">
        <f t="array" ref="C4280">NPV(B4280,FCFF!$C$9:$I$9)+FCFF!$B$9+FCFF!$I$9*(1+Inputs!$B$6)/(B4280-Inputs!$B$6)/(1+B4280)^7</f>
        <v>-1223.177823</v>
      </c>
    </row>
    <row r="4281" ht="14.25" customHeight="1">
      <c r="A4281" s="7">
        <v>4268.0</v>
      </c>
      <c r="B4281" s="14">
        <f t="shared" si="1"/>
        <v>0.1100959752</v>
      </c>
      <c r="C4281" s="39">
        <f t="array" ref="C4281">NPV(B4281,FCFF!$C$9:$I$9)+FCFF!$B$9+FCFF!$I$9*(1+Inputs!$B$6)/(B4281-Inputs!$B$6)/(1+B4281)^7</f>
        <v>-1633.020903</v>
      </c>
    </row>
    <row r="4282" ht="14.25" customHeight="1">
      <c r="A4282" s="7">
        <v>4269.0</v>
      </c>
      <c r="B4282" s="14">
        <f t="shared" si="1"/>
        <v>0.1008322973</v>
      </c>
      <c r="C4282" s="39">
        <f t="array" ref="C4282">NPV(B4282,FCFF!$C$9:$I$9)+FCFF!$B$9+FCFF!$I$9*(1+Inputs!$B$6)/(B4282-Inputs!$B$6)/(1+B4282)^7</f>
        <v>-1406.978921</v>
      </c>
    </row>
    <row r="4283" ht="14.25" customHeight="1">
      <c r="A4283" s="7">
        <v>4270.0</v>
      </c>
      <c r="B4283" s="14">
        <f t="shared" si="1"/>
        <v>0.1020317736</v>
      </c>
      <c r="C4283" s="39">
        <f t="array" ref="C4283">NPV(B4283,FCFF!$C$9:$I$9)+FCFF!$B$9+FCFF!$I$9*(1+Inputs!$B$6)/(B4283-Inputs!$B$6)/(1+B4283)^7</f>
        <v>-1439.583188</v>
      </c>
    </row>
    <row r="4284" ht="14.25" customHeight="1">
      <c r="A4284" s="7">
        <v>4271.0</v>
      </c>
      <c r="B4284" s="14">
        <f t="shared" si="1"/>
        <v>0.1121364627</v>
      </c>
      <c r="C4284" s="39">
        <f t="array" ref="C4284">NPV(B4284,FCFF!$C$9:$I$9)+FCFF!$B$9+FCFF!$I$9*(1+Inputs!$B$6)/(B4284-Inputs!$B$6)/(1+B4284)^7</f>
        <v>-1675.788897</v>
      </c>
    </row>
    <row r="4285" ht="14.25" customHeight="1">
      <c r="A4285" s="7">
        <v>4272.0</v>
      </c>
      <c r="B4285" s="14">
        <f t="shared" si="1"/>
        <v>0.1198335967</v>
      </c>
      <c r="C4285" s="39">
        <f t="array" ref="C4285">NPV(B4285,FCFF!$C$9:$I$9)+FCFF!$B$9+FCFF!$I$9*(1+Inputs!$B$6)/(B4285-Inputs!$B$6)/(1+B4285)^7</f>
        <v>-1818.932424</v>
      </c>
    </row>
    <row r="4286" ht="14.25" customHeight="1">
      <c r="A4286" s="7">
        <v>4273.0</v>
      </c>
      <c r="B4286" s="14">
        <f t="shared" si="1"/>
        <v>0.1231579548</v>
      </c>
      <c r="C4286" s="39">
        <f t="array" ref="C4286">NPV(B4286,FCFF!$C$9:$I$9)+FCFF!$B$9+FCFF!$I$9*(1+Inputs!$B$6)/(B4286-Inputs!$B$6)/(1+B4286)^7</f>
        <v>-1873.066869</v>
      </c>
    </row>
    <row r="4287" ht="14.25" customHeight="1">
      <c r="A4287" s="7">
        <v>4274.0</v>
      </c>
      <c r="B4287" s="14">
        <f t="shared" si="1"/>
        <v>0.1060308778</v>
      </c>
      <c r="C4287" s="39">
        <f t="array" ref="C4287">NPV(B4287,FCFF!$C$9:$I$9)+FCFF!$B$9+FCFF!$I$9*(1+Inputs!$B$6)/(B4287-Inputs!$B$6)/(1+B4287)^7</f>
        <v>-1540.75324</v>
      </c>
    </row>
    <row r="4288" ht="14.25" customHeight="1">
      <c r="A4288" s="7">
        <v>4275.0</v>
      </c>
      <c r="B4288" s="14">
        <f t="shared" si="1"/>
        <v>0.128901079</v>
      </c>
      <c r="C4288" s="39">
        <f t="array" ref="C4288">NPV(B4288,FCFF!$C$9:$I$9)+FCFF!$B$9+FCFF!$I$9*(1+Inputs!$B$6)/(B4288-Inputs!$B$6)/(1+B4288)^7</f>
        <v>-1957.455108</v>
      </c>
    </row>
    <row r="4289" ht="14.25" customHeight="1">
      <c r="A4289" s="7">
        <v>4276.0</v>
      </c>
      <c r="B4289" s="14">
        <f t="shared" si="1"/>
        <v>0.1228450557</v>
      </c>
      <c r="C4289" s="39">
        <f t="array" ref="C4289">NPV(B4289,FCFF!$C$9:$I$9)+FCFF!$B$9+FCFF!$I$9*(1+Inputs!$B$6)/(B4289-Inputs!$B$6)/(1+B4289)^7</f>
        <v>-1868.147274</v>
      </c>
    </row>
    <row r="4290" ht="14.25" customHeight="1">
      <c r="A4290" s="7">
        <v>4277.0</v>
      </c>
      <c r="B4290" s="14">
        <f t="shared" si="1"/>
        <v>0.1211343377</v>
      </c>
      <c r="C4290" s="39">
        <f t="array" ref="C4290">NPV(B4290,FCFF!$C$9:$I$9)+FCFF!$B$9+FCFF!$I$9*(1+Inputs!$B$6)/(B4290-Inputs!$B$6)/(1+B4290)^7</f>
        <v>-1840.613666</v>
      </c>
    </row>
    <row r="4291" ht="14.25" customHeight="1">
      <c r="A4291" s="7">
        <v>4278.0</v>
      </c>
      <c r="B4291" s="14">
        <f t="shared" si="1"/>
        <v>0.1217765975</v>
      </c>
      <c r="C4291" s="39">
        <f t="array" ref="C4291">NPV(B4291,FCFF!$C$9:$I$9)+FCFF!$B$9+FCFF!$I$9*(1+Inputs!$B$6)/(B4291-Inputs!$B$6)/(1+B4291)^7</f>
        <v>-1851.078723</v>
      </c>
    </row>
    <row r="4292" ht="14.25" customHeight="1">
      <c r="A4292" s="7">
        <v>4279.0</v>
      </c>
      <c r="B4292" s="14">
        <f t="shared" si="1"/>
        <v>0.1002313763</v>
      </c>
      <c r="C4292" s="39">
        <f t="array" ref="C4292">NPV(B4292,FCFF!$C$9:$I$9)+FCFF!$B$9+FCFF!$I$9*(1+Inputs!$B$6)/(B4292-Inputs!$B$6)/(1+B4292)^7</f>
        <v>-1390.221999</v>
      </c>
    </row>
    <row r="4293" ht="14.25" customHeight="1">
      <c r="A4293" s="7">
        <v>4280.0</v>
      </c>
      <c r="B4293" s="14">
        <f t="shared" si="1"/>
        <v>0.09401493054</v>
      </c>
      <c r="C4293" s="39">
        <f t="array" ref="C4293">NPV(B4293,FCFF!$C$9:$I$9)+FCFF!$B$9+FCFF!$I$9*(1+Inputs!$B$6)/(B4293-Inputs!$B$6)/(1+B4293)^7</f>
        <v>-1198.37443</v>
      </c>
    </row>
    <row r="4294" ht="14.25" customHeight="1">
      <c r="A4294" s="7">
        <v>4281.0</v>
      </c>
      <c r="B4294" s="14">
        <f t="shared" si="1"/>
        <v>0.1188156728</v>
      </c>
      <c r="C4294" s="39">
        <f t="array" ref="C4294">NPV(B4294,FCFF!$C$9:$I$9)+FCFF!$B$9+FCFF!$I$9*(1+Inputs!$B$6)/(B4294-Inputs!$B$6)/(1+B4294)^7</f>
        <v>-1801.496035</v>
      </c>
    </row>
    <row r="4295" ht="14.25" customHeight="1">
      <c r="A4295" s="7">
        <v>4282.0</v>
      </c>
      <c r="B4295" s="14">
        <f t="shared" si="1"/>
        <v>0.1065900058</v>
      </c>
      <c r="C4295" s="39">
        <f t="array" ref="C4295">NPV(B4295,FCFF!$C$9:$I$9)+FCFF!$B$9+FCFF!$I$9*(1+Inputs!$B$6)/(B4295-Inputs!$B$6)/(1+B4295)^7</f>
        <v>-1554.040479</v>
      </c>
    </row>
    <row r="4296" ht="14.25" customHeight="1">
      <c r="A4296" s="7">
        <v>4283.0</v>
      </c>
      <c r="B4296" s="14">
        <f t="shared" si="1"/>
        <v>0.1055933498</v>
      </c>
      <c r="C4296" s="39">
        <f t="array" ref="C4296">NPV(B4296,FCFF!$C$9:$I$9)+FCFF!$B$9+FCFF!$I$9*(1+Inputs!$B$6)/(B4296-Inputs!$B$6)/(1+B4296)^7</f>
        <v>-1530.215545</v>
      </c>
    </row>
    <row r="4297" ht="14.25" customHeight="1">
      <c r="A4297" s="7">
        <v>4284.0</v>
      </c>
      <c r="B4297" s="14">
        <f t="shared" si="1"/>
        <v>0.1286136798</v>
      </c>
      <c r="C4297" s="39">
        <f t="array" ref="C4297">NPV(B4297,FCFF!$C$9:$I$9)+FCFF!$B$9+FCFF!$I$9*(1+Inputs!$B$6)/(B4297-Inputs!$B$6)/(1+B4297)^7</f>
        <v>-1953.483361</v>
      </c>
    </row>
    <row r="4298" ht="14.25" customHeight="1">
      <c r="A4298" s="7">
        <v>4285.0</v>
      </c>
      <c r="B4298" s="14">
        <f t="shared" si="1"/>
        <v>0.09730636191</v>
      </c>
      <c r="C4298" s="39">
        <f t="array" ref="C4298">NPV(B4298,FCFF!$C$9:$I$9)+FCFF!$B$9+FCFF!$I$9*(1+Inputs!$B$6)/(B4298-Inputs!$B$6)/(1+B4298)^7</f>
        <v>-1304.361764</v>
      </c>
    </row>
    <row r="4299" ht="14.25" customHeight="1">
      <c r="A4299" s="7">
        <v>4286.0</v>
      </c>
      <c r="B4299" s="14">
        <f t="shared" si="1"/>
        <v>0.1070648477</v>
      </c>
      <c r="C4299" s="39">
        <f t="array" ref="C4299">NPV(B4299,FCFF!$C$9:$I$9)+FCFF!$B$9+FCFF!$I$9*(1+Inputs!$B$6)/(B4299-Inputs!$B$6)/(1+B4299)^7</f>
        <v>-1565.169759</v>
      </c>
    </row>
    <row r="4300" ht="14.25" customHeight="1">
      <c r="A4300" s="7">
        <v>4287.0</v>
      </c>
      <c r="B4300" s="14">
        <f t="shared" si="1"/>
        <v>0.1035444894</v>
      </c>
      <c r="C4300" s="39">
        <f t="array" ref="C4300">NPV(B4300,FCFF!$C$9:$I$9)+FCFF!$B$9+FCFF!$I$9*(1+Inputs!$B$6)/(B4300-Inputs!$B$6)/(1+B4300)^7</f>
        <v>-1479.167556</v>
      </c>
    </row>
    <row r="4301" ht="14.25" customHeight="1">
      <c r="A4301" s="7">
        <v>4288.0</v>
      </c>
      <c r="B4301" s="14">
        <f t="shared" si="1"/>
        <v>0.1200496024</v>
      </c>
      <c r="C4301" s="39">
        <f t="array" ref="C4301">NPV(B4301,FCFF!$C$9:$I$9)+FCFF!$B$9+FCFF!$I$9*(1+Inputs!$B$6)/(B4301-Inputs!$B$6)/(1+B4301)^7</f>
        <v>-1822.578856</v>
      </c>
    </row>
    <row r="4302" ht="14.25" customHeight="1">
      <c r="A4302" s="7">
        <v>4289.0</v>
      </c>
      <c r="B4302" s="14">
        <f t="shared" si="1"/>
        <v>0.1012268691</v>
      </c>
      <c r="C4302" s="39">
        <f t="array" ref="C4302">NPV(B4302,FCFF!$C$9:$I$9)+FCFF!$B$9+FCFF!$I$9*(1+Inputs!$B$6)/(B4302-Inputs!$B$6)/(1+B4302)^7</f>
        <v>-1417.826634</v>
      </c>
    </row>
    <row r="4303" ht="14.25" customHeight="1">
      <c r="A4303" s="7">
        <v>4290.0</v>
      </c>
      <c r="B4303" s="14">
        <f t="shared" si="1"/>
        <v>0.1081368828</v>
      </c>
      <c r="C4303" s="39">
        <f t="array" ref="C4303">NPV(B4303,FCFF!$C$9:$I$9)+FCFF!$B$9+FCFF!$I$9*(1+Inputs!$B$6)/(B4303-Inputs!$B$6)/(1+B4303)^7</f>
        <v>-1589.785977</v>
      </c>
    </row>
    <row r="4304" ht="14.25" customHeight="1">
      <c r="A4304" s="7">
        <v>4291.0</v>
      </c>
      <c r="B4304" s="14">
        <f t="shared" si="1"/>
        <v>0.1190350266</v>
      </c>
      <c r="C4304" s="39">
        <f t="array" ref="C4304">NPV(B4304,FCFF!$C$9:$I$9)+FCFF!$B$9+FCFF!$I$9*(1+Inputs!$B$6)/(B4304-Inputs!$B$6)/(1+B4304)^7</f>
        <v>-1805.289045</v>
      </c>
    </row>
    <row r="4305" ht="14.25" customHeight="1">
      <c r="A4305" s="7">
        <v>4292.0</v>
      </c>
      <c r="B4305" s="14">
        <f t="shared" si="1"/>
        <v>0.1151765299</v>
      </c>
      <c r="C4305" s="39">
        <f t="array" ref="C4305">NPV(B4305,FCFF!$C$9:$I$9)+FCFF!$B$9+FCFF!$I$9*(1+Inputs!$B$6)/(B4305-Inputs!$B$6)/(1+B4305)^7</f>
        <v>-1735.5636</v>
      </c>
    </row>
    <row r="4306" ht="14.25" customHeight="1">
      <c r="A4306" s="7">
        <v>4293.0</v>
      </c>
      <c r="B4306" s="14">
        <f t="shared" si="1"/>
        <v>0.1112073113</v>
      </c>
      <c r="C4306" s="39">
        <f t="array" ref="C4306">NPV(B4306,FCFF!$C$9:$I$9)+FCFF!$B$9+FCFF!$I$9*(1+Inputs!$B$6)/(B4306-Inputs!$B$6)/(1+B4306)^7</f>
        <v>-1656.590184</v>
      </c>
    </row>
    <row r="4307" ht="14.25" customHeight="1">
      <c r="A4307" s="7">
        <v>4294.0</v>
      </c>
      <c r="B4307" s="14">
        <f t="shared" si="1"/>
        <v>0.1060206089</v>
      </c>
      <c r="C4307" s="39">
        <f t="array" ref="C4307">NPV(B4307,FCFF!$C$9:$I$9)+FCFF!$B$9+FCFF!$I$9*(1+Inputs!$B$6)/(B4307-Inputs!$B$6)/(1+B4307)^7</f>
        <v>-1540.507337</v>
      </c>
    </row>
    <row r="4308" ht="14.25" customHeight="1">
      <c r="A4308" s="7">
        <v>4295.0</v>
      </c>
      <c r="B4308" s="14">
        <f t="shared" si="1"/>
        <v>0.1172721674</v>
      </c>
      <c r="C4308" s="39">
        <f t="array" ref="C4308">NPV(B4308,FCFF!$C$9:$I$9)+FCFF!$B$9+FCFF!$I$9*(1+Inputs!$B$6)/(B4308-Inputs!$B$6)/(1+B4308)^7</f>
        <v>-1774.237229</v>
      </c>
    </row>
    <row r="4309" ht="14.25" customHeight="1">
      <c r="A4309" s="7">
        <v>4296.0</v>
      </c>
      <c r="B4309" s="14">
        <f t="shared" si="1"/>
        <v>0.1199856142</v>
      </c>
      <c r="C4309" s="39">
        <f t="array" ref="C4309">NPV(B4309,FCFF!$C$9:$I$9)+FCFF!$B$9+FCFF!$I$9*(1+Inputs!$B$6)/(B4309-Inputs!$B$6)/(1+B4309)^7</f>
        <v>-1821.500591</v>
      </c>
    </row>
    <row r="4310" ht="14.25" customHeight="1">
      <c r="A4310" s="7">
        <v>4297.0</v>
      </c>
      <c r="B4310" s="14">
        <f t="shared" si="1"/>
        <v>0.110012537</v>
      </c>
      <c r="C4310" s="39">
        <f t="array" ref="C4310">NPV(B4310,FCFF!$C$9:$I$9)+FCFF!$B$9+FCFF!$I$9*(1+Inputs!$B$6)/(B4310-Inputs!$B$6)/(1+B4310)^7</f>
        <v>-1631.224019</v>
      </c>
    </row>
    <row r="4311" ht="14.25" customHeight="1">
      <c r="A4311" s="7">
        <v>4298.0</v>
      </c>
      <c r="B4311" s="14">
        <f t="shared" si="1"/>
        <v>0.1290331356</v>
      </c>
      <c r="C4311" s="39">
        <f t="array" ref="C4311">NPV(B4311,FCFF!$C$9:$I$9)+FCFF!$B$9+FCFF!$I$9*(1+Inputs!$B$6)/(B4311-Inputs!$B$6)/(1+B4311)^7</f>
        <v>-1959.271714</v>
      </c>
    </row>
    <row r="4312" ht="14.25" customHeight="1">
      <c r="A4312" s="7">
        <v>4299.0</v>
      </c>
      <c r="B4312" s="14">
        <f t="shared" si="1"/>
        <v>0.116848743</v>
      </c>
      <c r="C4312" s="39">
        <f t="array" ref="C4312">NPV(B4312,FCFF!$C$9:$I$9)+FCFF!$B$9+FCFF!$I$9*(1+Inputs!$B$6)/(B4312-Inputs!$B$6)/(1+B4312)^7</f>
        <v>-1766.581063</v>
      </c>
    </row>
    <row r="4313" ht="14.25" customHeight="1">
      <c r="A4313" s="7">
        <v>4300.0</v>
      </c>
      <c r="B4313" s="14">
        <f t="shared" si="1"/>
        <v>0.1049549029</v>
      </c>
      <c r="C4313" s="39">
        <f t="array" ref="C4313">NPV(B4313,FCFF!$C$9:$I$9)+FCFF!$B$9+FCFF!$I$9*(1+Inputs!$B$6)/(B4313-Inputs!$B$6)/(1+B4313)^7</f>
        <v>-1514.613386</v>
      </c>
    </row>
    <row r="4314" ht="14.25" customHeight="1">
      <c r="A4314" s="7">
        <v>4301.0</v>
      </c>
      <c r="B4314" s="14">
        <f t="shared" si="1"/>
        <v>0.1166602479</v>
      </c>
      <c r="C4314" s="39">
        <f t="array" ref="C4314">NPV(B4314,FCFF!$C$9:$I$9)+FCFF!$B$9+FCFF!$I$9*(1+Inputs!$B$6)/(B4314-Inputs!$B$6)/(1+B4314)^7</f>
        <v>-1763.147489</v>
      </c>
    </row>
    <row r="4315" ht="14.25" customHeight="1">
      <c r="A4315" s="7">
        <v>4302.0</v>
      </c>
      <c r="B4315" s="14">
        <f t="shared" si="1"/>
        <v>0.1198953038</v>
      </c>
      <c r="C4315" s="39">
        <f t="array" ref="C4315">NPV(B4315,FCFF!$C$9:$I$9)+FCFF!$B$9+FCFF!$I$9*(1+Inputs!$B$6)/(B4315-Inputs!$B$6)/(1+B4315)^7</f>
        <v>-1819.976005</v>
      </c>
    </row>
    <row r="4316" ht="14.25" customHeight="1">
      <c r="A4316" s="7">
        <v>4303.0</v>
      </c>
      <c r="B4316" s="14">
        <f t="shared" si="1"/>
        <v>0.09972049866</v>
      </c>
      <c r="C4316" s="39">
        <f t="array" ref="C4316">NPV(B4316,FCFF!$C$9:$I$9)+FCFF!$B$9+FCFF!$I$9*(1+Inputs!$B$6)/(B4316-Inputs!$B$6)/(1+B4316)^7</f>
        <v>-1375.747149</v>
      </c>
    </row>
    <row r="4317" ht="14.25" customHeight="1">
      <c r="A4317" s="7">
        <v>4304.0</v>
      </c>
      <c r="B4317" s="14">
        <f t="shared" si="1"/>
        <v>0.1320256956</v>
      </c>
      <c r="C4317" s="39">
        <f t="array" ref="C4317">NPV(B4317,FCFF!$C$9:$I$9)+FCFF!$B$9+FCFF!$I$9*(1+Inputs!$B$6)/(B4317-Inputs!$B$6)/(1+B4317)^7</f>
        <v>-1999.072464</v>
      </c>
    </row>
    <row r="4318" ht="14.25" customHeight="1">
      <c r="A4318" s="7">
        <v>4305.0</v>
      </c>
      <c r="B4318" s="14">
        <f t="shared" si="1"/>
        <v>0.1159015584</v>
      </c>
      <c r="C4318" s="39">
        <f t="array" ref="C4318">NPV(B4318,FCFF!$C$9:$I$9)+FCFF!$B$9+FCFF!$I$9*(1+Inputs!$B$6)/(B4318-Inputs!$B$6)/(1+B4318)^7</f>
        <v>-1749.167423</v>
      </c>
    </row>
    <row r="4319" ht="14.25" customHeight="1">
      <c r="A4319" s="7">
        <v>4306.0</v>
      </c>
      <c r="B4319" s="14">
        <f t="shared" si="1"/>
        <v>0.1189204436</v>
      </c>
      <c r="C4319" s="39">
        <f t="array" ref="C4319">NPV(B4319,FCFF!$C$9:$I$9)+FCFF!$B$9+FCFF!$I$9*(1+Inputs!$B$6)/(B4319-Inputs!$B$6)/(1+B4319)^7</f>
        <v>-1803.310171</v>
      </c>
    </row>
    <row r="4320" ht="14.25" customHeight="1">
      <c r="A4320" s="7">
        <v>4307.0</v>
      </c>
      <c r="B4320" s="14">
        <f t="shared" si="1"/>
        <v>0.1067490639</v>
      </c>
      <c r="C4320" s="39">
        <f t="array" ref="C4320">NPV(B4320,FCFF!$C$9:$I$9)+FCFF!$B$9+FCFF!$I$9*(1+Inputs!$B$6)/(B4320-Inputs!$B$6)/(1+B4320)^7</f>
        <v>-1557.784175</v>
      </c>
    </row>
    <row r="4321" ht="14.25" customHeight="1">
      <c r="A4321" s="7">
        <v>4308.0</v>
      </c>
      <c r="B4321" s="14">
        <f t="shared" si="1"/>
        <v>0.0941199789</v>
      </c>
      <c r="C4321" s="39">
        <f t="array" ref="C4321">NPV(B4321,FCFF!$C$9:$I$9)+FCFF!$B$9+FCFF!$I$9*(1+Inputs!$B$6)/(B4321-Inputs!$B$6)/(1+B4321)^7</f>
        <v>-1201.924082</v>
      </c>
    </row>
    <row r="4322" ht="14.25" customHeight="1">
      <c r="A4322" s="7">
        <v>4309.0</v>
      </c>
      <c r="B4322" s="14">
        <f t="shared" si="1"/>
        <v>0.1296911891</v>
      </c>
      <c r="C4322" s="39">
        <f t="array" ref="C4322">NPV(B4322,FCFF!$C$9:$I$9)+FCFF!$B$9+FCFF!$I$9*(1+Inputs!$B$6)/(B4322-Inputs!$B$6)/(1+B4322)^7</f>
        <v>-1968.246408</v>
      </c>
    </row>
    <row r="4323" ht="14.25" customHeight="1">
      <c r="A4323" s="7">
        <v>4310.0</v>
      </c>
      <c r="B4323" s="14">
        <f t="shared" si="1"/>
        <v>0.1295714885</v>
      </c>
      <c r="C4323" s="39">
        <f t="array" ref="C4323">NPV(B4323,FCFF!$C$9:$I$9)+FCFF!$B$9+FCFF!$I$9*(1+Inputs!$B$6)/(B4323-Inputs!$B$6)/(1+B4323)^7</f>
        <v>-1966.623467</v>
      </c>
    </row>
    <row r="4324" ht="14.25" customHeight="1">
      <c r="A4324" s="7">
        <v>4311.0</v>
      </c>
      <c r="B4324" s="14">
        <f t="shared" si="1"/>
        <v>0.1249104608</v>
      </c>
      <c r="C4324" s="39">
        <f t="array" ref="C4324">NPV(B4324,FCFF!$C$9:$I$9)+FCFF!$B$9+FCFF!$I$9*(1+Inputs!$B$6)/(B4324-Inputs!$B$6)/(1+B4324)^7</f>
        <v>-1899.980853</v>
      </c>
    </row>
    <row r="4325" ht="14.25" customHeight="1">
      <c r="A4325" s="7">
        <v>4312.0</v>
      </c>
      <c r="B4325" s="14">
        <f t="shared" si="1"/>
        <v>0.1233085674</v>
      </c>
      <c r="C4325" s="39">
        <f t="array" ref="C4325">NPV(B4325,FCFF!$C$9:$I$9)+FCFF!$B$9+FCFF!$I$9*(1+Inputs!$B$6)/(B4325-Inputs!$B$6)/(1+B4325)^7</f>
        <v>-1875.422346</v>
      </c>
    </row>
    <row r="4326" ht="14.25" customHeight="1">
      <c r="A4326" s="7">
        <v>4313.0</v>
      </c>
      <c r="B4326" s="14">
        <f t="shared" si="1"/>
        <v>0.1227822922</v>
      </c>
      <c r="C4326" s="39">
        <f t="array" ref="C4326">NPV(B4326,FCFF!$C$9:$I$9)+FCFF!$B$9+FCFF!$I$9*(1+Inputs!$B$6)/(B4326-Inputs!$B$6)/(1+B4326)^7</f>
        <v>-1867.156207</v>
      </c>
    </row>
    <row r="4327" ht="14.25" customHeight="1">
      <c r="A4327" s="7">
        <v>4314.0</v>
      </c>
      <c r="B4327" s="14">
        <f t="shared" si="1"/>
        <v>0.1261874685</v>
      </c>
      <c r="C4327" s="39">
        <f t="array" ref="C4327">NPV(B4327,FCFF!$C$9:$I$9)+FCFF!$B$9+FCFF!$I$9*(1+Inputs!$B$6)/(B4327-Inputs!$B$6)/(1+B4327)^7</f>
        <v>-1918.931417</v>
      </c>
    </row>
    <row r="4328" ht="14.25" customHeight="1">
      <c r="A4328" s="7">
        <v>4315.0</v>
      </c>
      <c r="B4328" s="14">
        <f t="shared" si="1"/>
        <v>0.09590180829</v>
      </c>
      <c r="C4328" s="39">
        <f t="array" ref="C4328">NPV(B4328,FCFF!$C$9:$I$9)+FCFF!$B$9+FCFF!$I$9*(1+Inputs!$B$6)/(B4328-Inputs!$B$6)/(1+B4328)^7</f>
        <v>-1260.422406</v>
      </c>
    </row>
    <row r="4329" ht="14.25" customHeight="1">
      <c r="A4329" s="7">
        <v>4316.0</v>
      </c>
      <c r="B4329" s="14">
        <f t="shared" si="1"/>
        <v>0.1251848797</v>
      </c>
      <c r="C4329" s="39">
        <f t="array" ref="C4329">NPV(B4329,FCFF!$C$9:$I$9)+FCFF!$B$9+FCFF!$I$9*(1+Inputs!$B$6)/(B4329-Inputs!$B$6)/(1+B4329)^7</f>
        <v>-1904.099217</v>
      </c>
    </row>
    <row r="4330" ht="14.25" customHeight="1">
      <c r="A4330" s="7">
        <v>4317.0</v>
      </c>
      <c r="B4330" s="14">
        <f t="shared" si="1"/>
        <v>0.1263387511</v>
      </c>
      <c r="C4330" s="39">
        <f t="array" ref="C4330">NPV(B4330,FCFF!$C$9:$I$9)+FCFF!$B$9+FCFF!$I$9*(1+Inputs!$B$6)/(B4330-Inputs!$B$6)/(1+B4330)^7</f>
        <v>-1921.140688</v>
      </c>
    </row>
    <row r="4331" ht="14.25" customHeight="1">
      <c r="A4331" s="7">
        <v>4318.0</v>
      </c>
      <c r="B4331" s="14">
        <f t="shared" si="1"/>
        <v>0.1182507228</v>
      </c>
      <c r="C4331" s="39">
        <f t="array" ref="C4331">NPV(B4331,FCFF!$C$9:$I$9)+FCFF!$B$9+FCFF!$I$9*(1+Inputs!$B$6)/(B4331-Inputs!$B$6)/(1+B4331)^7</f>
        <v>-1791.635414</v>
      </c>
    </row>
    <row r="4332" ht="14.25" customHeight="1">
      <c r="A4332" s="7">
        <v>4319.0</v>
      </c>
      <c r="B4332" s="14">
        <f t="shared" si="1"/>
        <v>0.1257617092</v>
      </c>
      <c r="C4332" s="39">
        <f t="array" ref="C4332">NPV(B4332,FCFF!$C$9:$I$9)+FCFF!$B$9+FCFF!$I$9*(1+Inputs!$B$6)/(B4332-Inputs!$B$6)/(1+B4332)^7</f>
        <v>-1912.673515</v>
      </c>
    </row>
    <row r="4333" ht="14.25" customHeight="1">
      <c r="A4333" s="7">
        <v>4320.0</v>
      </c>
      <c r="B4333" s="14">
        <f t="shared" si="1"/>
        <v>0.0946945915</v>
      </c>
      <c r="C4333" s="39">
        <f t="array" ref="C4333">NPV(B4333,FCFF!$C$9:$I$9)+FCFF!$B$9+FCFF!$I$9*(1+Inputs!$B$6)/(B4333-Inputs!$B$6)/(1+B4333)^7</f>
        <v>-1221.138408</v>
      </c>
    </row>
    <row r="4334" ht="14.25" customHeight="1">
      <c r="A4334" s="7">
        <v>4321.0</v>
      </c>
      <c r="B4334" s="14">
        <f t="shared" si="1"/>
        <v>0.1014655742</v>
      </c>
      <c r="C4334" s="39">
        <f t="array" ref="C4334">NPV(B4334,FCFF!$C$9:$I$9)+FCFF!$B$9+FCFF!$I$9*(1+Inputs!$B$6)/(B4334-Inputs!$B$6)/(1+B4334)^7</f>
        <v>-1424.330493</v>
      </c>
    </row>
    <row r="4335" ht="14.25" customHeight="1">
      <c r="A4335" s="7">
        <v>4322.0</v>
      </c>
      <c r="B4335" s="14">
        <f t="shared" si="1"/>
        <v>0.09638648243</v>
      </c>
      <c r="C4335" s="39">
        <f t="array" ref="C4335">NPV(B4335,FCFF!$C$9:$I$9)+FCFF!$B$9+FCFF!$I$9*(1+Inputs!$B$6)/(B4335-Inputs!$B$6)/(1+B4335)^7</f>
        <v>-1275.794232</v>
      </c>
    </row>
    <row r="4336" ht="14.25" customHeight="1">
      <c r="A4336" s="7">
        <v>4323.0</v>
      </c>
      <c r="B4336" s="14">
        <f t="shared" si="1"/>
        <v>0.1112526092</v>
      </c>
      <c r="C4336" s="39">
        <f t="array" ref="C4336">NPV(B4336,FCFF!$C$9:$I$9)+FCFF!$B$9+FCFF!$I$9*(1+Inputs!$B$6)/(B4336-Inputs!$B$6)/(1+B4336)^7</f>
        <v>-1657.536714</v>
      </c>
    </row>
    <row r="4337" ht="14.25" customHeight="1">
      <c r="A4337" s="7">
        <v>4324.0</v>
      </c>
      <c r="B4337" s="14">
        <f t="shared" si="1"/>
        <v>0.1026167295</v>
      </c>
      <c r="C4337" s="39">
        <f t="array" ref="C4337">NPV(B4337,FCFF!$C$9:$I$9)+FCFF!$B$9+FCFF!$I$9*(1+Inputs!$B$6)/(B4337-Inputs!$B$6)/(1+B4337)^7</f>
        <v>-1455.088413</v>
      </c>
    </row>
    <row r="4338" ht="14.25" customHeight="1">
      <c r="A4338" s="7">
        <v>4325.0</v>
      </c>
      <c r="B4338" s="14">
        <f t="shared" si="1"/>
        <v>0.1288158333</v>
      </c>
      <c r="C4338" s="39">
        <f t="array" ref="C4338">NPV(B4338,FCFF!$C$9:$I$9)+FCFF!$B$9+FCFF!$I$9*(1+Inputs!$B$6)/(B4338-Inputs!$B$6)/(1+B4338)^7</f>
        <v>-1956.279651</v>
      </c>
    </row>
    <row r="4339" ht="14.25" customHeight="1">
      <c r="A4339" s="7">
        <v>4326.0</v>
      </c>
      <c r="B4339" s="14">
        <f t="shared" si="1"/>
        <v>0.1323567784</v>
      </c>
      <c r="C4339" s="39">
        <f t="array" ref="C4339">NPV(B4339,FCFF!$C$9:$I$9)+FCFF!$B$9+FCFF!$I$9*(1+Inputs!$B$6)/(B4339-Inputs!$B$6)/(1+B4339)^7</f>
        <v>-2003.320404</v>
      </c>
    </row>
    <row r="4340" ht="14.25" customHeight="1">
      <c r="A4340" s="7">
        <v>4327.0</v>
      </c>
      <c r="B4340" s="14">
        <f t="shared" si="1"/>
        <v>0.1211362227</v>
      </c>
      <c r="C4340" s="39">
        <f t="array" ref="C4340">NPV(B4340,FCFF!$C$9:$I$9)+FCFF!$B$9+FCFF!$I$9*(1+Inputs!$B$6)/(B4340-Inputs!$B$6)/(1+B4340)^7</f>
        <v>-1840.64461</v>
      </c>
    </row>
    <row r="4341" ht="14.25" customHeight="1">
      <c r="A4341" s="7">
        <v>4328.0</v>
      </c>
      <c r="B4341" s="14">
        <f t="shared" si="1"/>
        <v>0.1120870646</v>
      </c>
      <c r="C4341" s="39">
        <f t="array" ref="C4341">NPV(B4341,FCFF!$C$9:$I$9)+FCFF!$B$9+FCFF!$I$9*(1+Inputs!$B$6)/(B4341-Inputs!$B$6)/(1+B4341)^7</f>
        <v>-1674.779549</v>
      </c>
    </row>
    <row r="4342" ht="14.25" customHeight="1">
      <c r="A4342" s="7">
        <v>4329.0</v>
      </c>
      <c r="B4342" s="14">
        <f t="shared" si="1"/>
        <v>0.1009404103</v>
      </c>
      <c r="C4342" s="39">
        <f t="array" ref="C4342">NPV(B4342,FCFF!$C$9:$I$9)+FCFF!$B$9+FCFF!$I$9*(1+Inputs!$B$6)/(B4342-Inputs!$B$6)/(1+B4342)^7</f>
        <v>-1409.963316</v>
      </c>
    </row>
    <row r="4343" ht="14.25" customHeight="1">
      <c r="A4343" s="7">
        <v>4330.0</v>
      </c>
      <c r="B4343" s="14">
        <f t="shared" si="1"/>
        <v>0.1286309636</v>
      </c>
      <c r="C4343" s="39">
        <f t="array" ref="C4343">NPV(B4343,FCFF!$C$9:$I$9)+FCFF!$B$9+FCFF!$I$9*(1+Inputs!$B$6)/(B4343-Inputs!$B$6)/(1+B4343)^7</f>
        <v>-1953.722925</v>
      </c>
    </row>
    <row r="4344" ht="14.25" customHeight="1">
      <c r="A4344" s="7">
        <v>4331.0</v>
      </c>
      <c r="B4344" s="14">
        <f t="shared" si="1"/>
        <v>0.09910596059</v>
      </c>
      <c r="C4344" s="39">
        <f t="array" ref="C4344">NPV(B4344,FCFF!$C$9:$I$9)+FCFF!$B$9+FCFF!$I$9*(1+Inputs!$B$6)/(B4344-Inputs!$B$6)/(1+B4344)^7</f>
        <v>-1358.050077</v>
      </c>
    </row>
    <row r="4345" ht="14.25" customHeight="1">
      <c r="A4345" s="7">
        <v>4332.0</v>
      </c>
      <c r="B4345" s="14">
        <f t="shared" si="1"/>
        <v>0.130999996</v>
      </c>
      <c r="C4345" s="39">
        <f t="array" ref="C4345">NPV(B4345,FCFF!$C$9:$I$9)+FCFF!$B$9+FCFF!$I$9*(1+Inputs!$B$6)/(B4345-Inputs!$B$6)/(1+B4345)^7</f>
        <v>-1985.719452</v>
      </c>
    </row>
    <row r="4346" ht="14.25" customHeight="1">
      <c r="A4346" s="7">
        <v>4333.0</v>
      </c>
      <c r="B4346" s="14">
        <f t="shared" si="1"/>
        <v>0.1308046154</v>
      </c>
      <c r="C4346" s="39">
        <f t="array" ref="C4346">NPV(B4346,FCFF!$C$9:$I$9)+FCFF!$B$9+FCFF!$I$9*(1+Inputs!$B$6)/(B4346-Inputs!$B$6)/(1+B4346)^7</f>
        <v>-1983.142346</v>
      </c>
    </row>
    <row r="4347" ht="14.25" customHeight="1">
      <c r="A4347" s="7">
        <v>4334.0</v>
      </c>
      <c r="B4347" s="14">
        <f t="shared" si="1"/>
        <v>0.1126854247</v>
      </c>
      <c r="C4347" s="39">
        <f t="array" ref="C4347">NPV(B4347,FCFF!$C$9:$I$9)+FCFF!$B$9+FCFF!$I$9*(1+Inputs!$B$6)/(B4347-Inputs!$B$6)/(1+B4347)^7</f>
        <v>-1686.921499</v>
      </c>
    </row>
    <row r="4348" ht="14.25" customHeight="1">
      <c r="A4348" s="7">
        <v>4335.0</v>
      </c>
      <c r="B4348" s="14">
        <f t="shared" si="1"/>
        <v>0.1100230644</v>
      </c>
      <c r="C4348" s="39">
        <f t="array" ref="C4348">NPV(B4348,FCFF!$C$9:$I$9)+FCFF!$B$9+FCFF!$I$9*(1+Inputs!$B$6)/(B4348-Inputs!$B$6)/(1+B4348)^7</f>
        <v>-1631.450945</v>
      </c>
    </row>
    <row r="4349" ht="14.25" customHeight="1">
      <c r="A4349" s="7">
        <v>4336.0</v>
      </c>
      <c r="B4349" s="14">
        <f t="shared" si="1"/>
        <v>0.1088204138</v>
      </c>
      <c r="C4349" s="39">
        <f t="array" ref="C4349">NPV(B4349,FCFF!$C$9:$I$9)+FCFF!$B$9+FCFF!$I$9*(1+Inputs!$B$6)/(B4349-Inputs!$B$6)/(1+B4349)^7</f>
        <v>-1605.122217</v>
      </c>
    </row>
    <row r="4350" ht="14.25" customHeight="1">
      <c r="A4350" s="7">
        <v>4337.0</v>
      </c>
      <c r="B4350" s="14">
        <f t="shared" si="1"/>
        <v>0.1329035785</v>
      </c>
      <c r="C4350" s="39">
        <f t="array" ref="C4350">NPV(B4350,FCFF!$C$9:$I$9)+FCFF!$B$9+FCFF!$I$9*(1+Inputs!$B$6)/(B4350-Inputs!$B$6)/(1+B4350)^7</f>
        <v>-2010.27078</v>
      </c>
    </row>
    <row r="4351" ht="14.25" customHeight="1">
      <c r="A4351" s="7">
        <v>4338.0</v>
      </c>
      <c r="B4351" s="14">
        <f t="shared" si="1"/>
        <v>0.1070053912</v>
      </c>
      <c r="C4351" s="39">
        <f t="array" ref="C4351">NPV(B4351,FCFF!$C$9:$I$9)+FCFF!$B$9+FCFF!$I$9*(1+Inputs!$B$6)/(B4351-Inputs!$B$6)/(1+B4351)^7</f>
        <v>-1563.783928</v>
      </c>
    </row>
    <row r="4352" ht="14.25" customHeight="1">
      <c r="A4352" s="7">
        <v>4339.0</v>
      </c>
      <c r="B4352" s="14">
        <f t="shared" si="1"/>
        <v>0.1122360072</v>
      </c>
      <c r="C4352" s="39">
        <f t="array" ref="C4352">NPV(B4352,FCFF!$C$9:$I$9)+FCFF!$B$9+FCFF!$I$9*(1+Inputs!$B$6)/(B4352-Inputs!$B$6)/(1+B4352)^7</f>
        <v>-1677.819059</v>
      </c>
    </row>
    <row r="4353" ht="14.25" customHeight="1">
      <c r="A4353" s="7">
        <v>4340.0</v>
      </c>
      <c r="B4353" s="14">
        <f t="shared" si="1"/>
        <v>0.1252823497</v>
      </c>
      <c r="C4353" s="39">
        <f t="array" ref="C4353">NPV(B4353,FCFF!$C$9:$I$9)+FCFF!$B$9+FCFF!$I$9*(1+Inputs!$B$6)/(B4353-Inputs!$B$6)/(1+B4353)^7</f>
        <v>-1905.555885</v>
      </c>
    </row>
    <row r="4354" ht="14.25" customHeight="1">
      <c r="A4354" s="7">
        <v>4341.0</v>
      </c>
      <c r="B4354" s="14">
        <f t="shared" si="1"/>
        <v>0.1226660901</v>
      </c>
      <c r="C4354" s="39">
        <f t="array" ref="C4354">NPV(B4354,FCFF!$C$9:$I$9)+FCFF!$B$9+FCFF!$I$9*(1+Inputs!$B$6)/(B4354-Inputs!$B$6)/(1+B4354)^7</f>
        <v>-1865.317538</v>
      </c>
    </row>
    <row r="4355" ht="14.25" customHeight="1">
      <c r="A4355" s="7">
        <v>4342.0</v>
      </c>
      <c r="B4355" s="14">
        <f t="shared" si="1"/>
        <v>0.1178320509</v>
      </c>
      <c r="C4355" s="39">
        <f t="array" ref="C4355">NPV(B4355,FCFF!$C$9:$I$9)+FCFF!$B$9+FCFF!$I$9*(1+Inputs!$B$6)/(B4355-Inputs!$B$6)/(1+B4355)^7</f>
        <v>-1784.241617</v>
      </c>
    </row>
    <row r="4356" ht="14.25" customHeight="1">
      <c r="A4356" s="7">
        <v>4343.0</v>
      </c>
      <c r="B4356" s="14">
        <f t="shared" si="1"/>
        <v>0.1061455061</v>
      </c>
      <c r="C4356" s="39">
        <f t="array" ref="C4356">NPV(B4356,FCFF!$C$9:$I$9)+FCFF!$B$9+FCFF!$I$9*(1+Inputs!$B$6)/(B4356-Inputs!$B$6)/(1+B4356)^7</f>
        <v>-1543.493558</v>
      </c>
    </row>
    <row r="4357" ht="14.25" customHeight="1">
      <c r="A4357" s="7">
        <v>4344.0</v>
      </c>
      <c r="B4357" s="14">
        <f t="shared" si="1"/>
        <v>0.1136465319</v>
      </c>
      <c r="C4357" s="39">
        <f t="array" ref="C4357">NPV(B4357,FCFF!$C$9:$I$9)+FCFF!$B$9+FCFF!$I$9*(1+Inputs!$B$6)/(B4357-Inputs!$B$6)/(1+B4357)^7</f>
        <v>-1706.046333</v>
      </c>
    </row>
    <row r="4358" ht="14.25" customHeight="1">
      <c r="A4358" s="7">
        <v>4345.0</v>
      </c>
      <c r="B4358" s="14">
        <f t="shared" si="1"/>
        <v>0.115344419</v>
      </c>
      <c r="C4358" s="39">
        <f t="array" ref="C4358">NPV(B4358,FCFF!$C$9:$I$9)+FCFF!$B$9+FCFF!$I$9*(1+Inputs!$B$6)/(B4358-Inputs!$B$6)/(1+B4358)^7</f>
        <v>-1738.735262</v>
      </c>
    </row>
    <row r="4359" ht="14.25" customHeight="1">
      <c r="A4359" s="7">
        <v>4346.0</v>
      </c>
      <c r="B4359" s="14">
        <f t="shared" si="1"/>
        <v>0.1140185008</v>
      </c>
      <c r="C4359" s="39">
        <f t="array" ref="C4359">NPV(B4359,FCFF!$C$9:$I$9)+FCFF!$B$9+FCFF!$I$9*(1+Inputs!$B$6)/(B4359-Inputs!$B$6)/(1+B4359)^7</f>
        <v>-1713.325751</v>
      </c>
    </row>
    <row r="4360" ht="14.25" customHeight="1">
      <c r="A4360" s="7">
        <v>4347.0</v>
      </c>
      <c r="B4360" s="14">
        <f t="shared" si="1"/>
        <v>0.1228103144</v>
      </c>
      <c r="C4360" s="39">
        <f t="array" ref="C4360">NPV(B4360,FCFF!$C$9:$I$9)+FCFF!$B$9+FCFF!$I$9*(1+Inputs!$B$6)/(B4360-Inputs!$B$6)/(1+B4360)^7</f>
        <v>-1867.598868</v>
      </c>
    </row>
    <row r="4361" ht="14.25" customHeight="1">
      <c r="A4361" s="7">
        <v>4348.0</v>
      </c>
      <c r="B4361" s="14">
        <f t="shared" si="1"/>
        <v>0.1326342845</v>
      </c>
      <c r="C4361" s="39">
        <f t="array" ref="C4361">NPV(B4361,FCFF!$C$9:$I$9)+FCFF!$B$9+FCFF!$I$9*(1+Inputs!$B$6)/(B4361-Inputs!$B$6)/(1+B4361)^7</f>
        <v>-2006.857892</v>
      </c>
    </row>
    <row r="4362" ht="14.25" customHeight="1">
      <c r="A4362" s="7">
        <v>4349.0</v>
      </c>
      <c r="B4362" s="14">
        <f t="shared" si="1"/>
        <v>0.1273454145</v>
      </c>
      <c r="C4362" s="39">
        <f t="array" ref="C4362">NPV(B4362,FCFF!$C$9:$I$9)+FCFF!$B$9+FCFF!$I$9*(1+Inputs!$B$6)/(B4362-Inputs!$B$6)/(1+B4362)^7</f>
        <v>-1935.653511</v>
      </c>
    </row>
    <row r="4363" ht="14.25" customHeight="1">
      <c r="A4363" s="7">
        <v>4350.0</v>
      </c>
      <c r="B4363" s="14">
        <f t="shared" si="1"/>
        <v>0.1319283667</v>
      </c>
      <c r="C4363" s="39">
        <f t="array" ref="C4363">NPV(B4363,FCFF!$C$9:$I$9)+FCFF!$B$9+FCFF!$I$9*(1+Inputs!$B$6)/(B4363-Inputs!$B$6)/(1+B4363)^7</f>
        <v>-1997.817965</v>
      </c>
    </row>
    <row r="4364" ht="14.25" customHeight="1">
      <c r="A4364" s="7">
        <v>4351.0</v>
      </c>
      <c r="B4364" s="14">
        <f t="shared" si="1"/>
        <v>0.1162717682</v>
      </c>
      <c r="C4364" s="39">
        <f t="array" ref="C4364">NPV(B4364,FCFF!$C$9:$I$9)+FCFF!$B$9+FCFF!$I$9*(1+Inputs!$B$6)/(B4364-Inputs!$B$6)/(1+B4364)^7</f>
        <v>-1756.021356</v>
      </c>
    </row>
    <row r="4365" ht="14.25" customHeight="1">
      <c r="A4365" s="7">
        <v>4352.0</v>
      </c>
      <c r="B4365" s="14">
        <f t="shared" si="1"/>
        <v>0.1288505029</v>
      </c>
      <c r="C4365" s="39">
        <f t="array" ref="C4365">NPV(B4365,FCFF!$C$9:$I$9)+FCFF!$B$9+FCFF!$I$9*(1+Inputs!$B$6)/(B4365-Inputs!$B$6)/(1+B4365)^7</f>
        <v>-1956.757977</v>
      </c>
    </row>
    <row r="4366" ht="14.25" customHeight="1">
      <c r="A4366" s="7">
        <v>4353.0</v>
      </c>
      <c r="B4366" s="14">
        <f t="shared" si="1"/>
        <v>0.1309660434</v>
      </c>
      <c r="C4366" s="39">
        <f t="array" ref="C4366">NPV(B4366,FCFF!$C$9:$I$9)+FCFF!$B$9+FCFF!$I$9*(1+Inputs!$B$6)/(B4366-Inputs!$B$6)/(1+B4366)^7</f>
        <v>-1985.27239</v>
      </c>
    </row>
    <row r="4367" ht="14.25" customHeight="1">
      <c r="A4367" s="7">
        <v>4354.0</v>
      </c>
      <c r="B4367" s="14">
        <f t="shared" si="1"/>
        <v>0.1231312466</v>
      </c>
      <c r="C4367" s="39">
        <f t="array" ref="C4367">NPV(B4367,FCFF!$C$9:$I$9)+FCFF!$B$9+FCFF!$I$9*(1+Inputs!$B$6)/(B4367-Inputs!$B$6)/(1+B4367)^7</f>
        <v>-1872.648323</v>
      </c>
    </row>
    <row r="4368" ht="14.25" customHeight="1">
      <c r="A4368" s="7">
        <v>4355.0</v>
      </c>
      <c r="B4368" s="14">
        <f t="shared" si="1"/>
        <v>0.1294078861</v>
      </c>
      <c r="C4368" s="39">
        <f t="array" ref="C4368">NPV(B4368,FCFF!$C$9:$I$9)+FCFF!$B$9+FCFF!$I$9*(1+Inputs!$B$6)/(B4368-Inputs!$B$6)/(1+B4368)^7</f>
        <v>-1964.398435</v>
      </c>
    </row>
    <row r="4369" ht="14.25" customHeight="1">
      <c r="A4369" s="7">
        <v>4356.0</v>
      </c>
      <c r="B4369" s="14">
        <f t="shared" si="1"/>
        <v>0.09545377041</v>
      </c>
      <c r="C4369" s="39">
        <f t="array" ref="C4369">NPV(B4369,FCFF!$C$9:$I$9)+FCFF!$B$9+FCFF!$I$9*(1+Inputs!$B$6)/(B4369-Inputs!$B$6)/(1+B4369)^7</f>
        <v>-1246.01093</v>
      </c>
    </row>
    <row r="4370" ht="14.25" customHeight="1">
      <c r="A4370" s="7">
        <v>4357.0</v>
      </c>
      <c r="B4370" s="14">
        <f t="shared" si="1"/>
        <v>0.1277542957</v>
      </c>
      <c r="C4370" s="39">
        <f t="array" ref="C4370">NPV(B4370,FCFF!$C$9:$I$9)+FCFF!$B$9+FCFF!$I$9*(1+Inputs!$B$6)/(B4370-Inputs!$B$6)/(1+B4370)^7</f>
        <v>-1941.456313</v>
      </c>
    </row>
    <row r="4371" ht="14.25" customHeight="1">
      <c r="A4371" s="7">
        <v>4358.0</v>
      </c>
      <c r="B4371" s="14">
        <f t="shared" si="1"/>
        <v>0.0987194372</v>
      </c>
      <c r="C4371" s="39">
        <f t="array" ref="C4371">NPV(B4371,FCFF!$C$9:$I$9)+FCFF!$B$9+FCFF!$I$9*(1+Inputs!$B$6)/(B4371-Inputs!$B$6)/(1+B4371)^7</f>
        <v>-1346.75637</v>
      </c>
    </row>
    <row r="4372" ht="14.25" customHeight="1">
      <c r="A4372" s="7">
        <v>4359.0</v>
      </c>
      <c r="B4372" s="14">
        <f t="shared" si="1"/>
        <v>0.115510617</v>
      </c>
      <c r="C4372" s="39">
        <f t="array" ref="C4372">NPV(B4372,FCFF!$C$9:$I$9)+FCFF!$B$9+FCFF!$I$9*(1+Inputs!$B$6)/(B4372-Inputs!$B$6)/(1+B4372)^7</f>
        <v>-1741.862139</v>
      </c>
    </row>
    <row r="4373" ht="14.25" customHeight="1">
      <c r="A4373" s="7">
        <v>4360.0</v>
      </c>
      <c r="B4373" s="14">
        <f t="shared" si="1"/>
        <v>0.09302698353</v>
      </c>
      <c r="C4373" s="39">
        <f t="array" ref="C4373">NPV(B4373,FCFF!$C$9:$I$9)+FCFF!$B$9+FCFF!$I$9*(1+Inputs!$B$6)/(B4373-Inputs!$B$6)/(1+B4373)^7</f>
        <v>-1164.418167</v>
      </c>
    </row>
    <row r="4374" ht="14.25" customHeight="1">
      <c r="A4374" s="7">
        <v>4361.0</v>
      </c>
      <c r="B4374" s="14">
        <f t="shared" si="1"/>
        <v>0.1062242235</v>
      </c>
      <c r="C4374" s="39">
        <f t="array" ref="C4374">NPV(B4374,FCFF!$C$9:$I$9)+FCFF!$B$9+FCFF!$I$9*(1+Inputs!$B$6)/(B4374-Inputs!$B$6)/(1+B4374)^7</f>
        <v>-1545.370506</v>
      </c>
    </row>
    <row r="4375" ht="14.25" customHeight="1">
      <c r="A4375" s="7">
        <v>4362.0</v>
      </c>
      <c r="B4375" s="14">
        <f t="shared" si="1"/>
        <v>0.1173907199</v>
      </c>
      <c r="C4375" s="39">
        <f t="array" ref="C4375">NPV(B4375,FCFF!$C$9:$I$9)+FCFF!$B$9+FCFF!$I$9*(1+Inputs!$B$6)/(B4375-Inputs!$B$6)/(1+B4375)^7</f>
        <v>-1776.366865</v>
      </c>
    </row>
    <row r="4376" ht="14.25" customHeight="1">
      <c r="A4376" s="7">
        <v>4363.0</v>
      </c>
      <c r="B4376" s="14">
        <f t="shared" si="1"/>
        <v>0.116412662</v>
      </c>
      <c r="C4376" s="39">
        <f t="array" ref="C4376">NPV(B4376,FCFF!$C$9:$I$9)+FCFF!$B$9+FCFF!$I$9*(1+Inputs!$B$6)/(B4376-Inputs!$B$6)/(1+B4376)^7</f>
        <v>-1758.613632</v>
      </c>
    </row>
    <row r="4377" ht="14.25" customHeight="1">
      <c r="A4377" s="7">
        <v>4364.0</v>
      </c>
      <c r="B4377" s="14">
        <f t="shared" si="1"/>
        <v>0.1150471651</v>
      </c>
      <c r="C4377" s="39">
        <f t="array" ref="C4377">NPV(B4377,FCFF!$C$9:$I$9)+FCFF!$B$9+FCFF!$I$9*(1+Inputs!$B$6)/(B4377-Inputs!$B$6)/(1+B4377)^7</f>
        <v>-1733.110781</v>
      </c>
    </row>
    <row r="4378" ht="14.25" customHeight="1">
      <c r="A4378" s="7">
        <v>4365.0</v>
      </c>
      <c r="B4378" s="14">
        <f t="shared" si="1"/>
        <v>0.0964116893</v>
      </c>
      <c r="C4378" s="39">
        <f t="array" ref="C4378">NPV(B4378,FCFF!$C$9:$I$9)+FCFF!$B$9+FCFF!$I$9*(1+Inputs!$B$6)/(B4378-Inputs!$B$6)/(1+B4378)^7</f>
        <v>-1276.587572</v>
      </c>
    </row>
    <row r="4379" ht="14.25" customHeight="1">
      <c r="A4379" s="7">
        <v>4366.0</v>
      </c>
      <c r="B4379" s="14">
        <f t="shared" si="1"/>
        <v>0.114012297</v>
      </c>
      <c r="C4379" s="39">
        <f t="array" ref="C4379">NPV(B4379,FCFF!$C$9:$I$9)+FCFF!$B$9+FCFF!$I$9*(1+Inputs!$B$6)/(B4379-Inputs!$B$6)/(1+B4379)^7</f>
        <v>-1713.204893</v>
      </c>
    </row>
    <row r="4380" ht="14.25" customHeight="1">
      <c r="A4380" s="7">
        <v>4367.0</v>
      </c>
      <c r="B4380" s="14">
        <f t="shared" si="1"/>
        <v>0.1228730824</v>
      </c>
      <c r="C4380" s="39">
        <f t="array" ref="C4380">NPV(B4380,FCFF!$C$9:$I$9)+FCFF!$B$9+FCFF!$I$9*(1+Inputs!$B$6)/(B4380-Inputs!$B$6)/(1+B4380)^7</f>
        <v>-1868.58937</v>
      </c>
    </row>
    <row r="4381" ht="14.25" customHeight="1">
      <c r="A4381" s="7">
        <v>4368.0</v>
      </c>
      <c r="B4381" s="14">
        <f t="shared" si="1"/>
        <v>0.09304846642</v>
      </c>
      <c r="C4381" s="39">
        <f t="array" ref="C4381">NPV(B4381,FCFF!$C$9:$I$9)+FCFF!$B$9+FCFF!$I$9*(1+Inputs!$B$6)/(B4381-Inputs!$B$6)/(1+B4381)^7</f>
        <v>-1165.167736</v>
      </c>
    </row>
    <row r="4382" ht="14.25" customHeight="1">
      <c r="A4382" s="7">
        <v>4369.0</v>
      </c>
      <c r="B4382" s="14">
        <f t="shared" si="1"/>
        <v>0.1067652009</v>
      </c>
      <c r="C4382" s="39">
        <f t="array" ref="C4382">NPV(B4382,FCFF!$C$9:$I$9)+FCFF!$B$9+FCFF!$I$9*(1+Inputs!$B$6)/(B4382-Inputs!$B$6)/(1+B4382)^7</f>
        <v>-1558.163098</v>
      </c>
    </row>
    <row r="4383" ht="14.25" customHeight="1">
      <c r="A4383" s="7">
        <v>4370.0</v>
      </c>
      <c r="B4383" s="14">
        <f t="shared" si="1"/>
        <v>0.1112012731</v>
      </c>
      <c r="C4383" s="39">
        <f t="array" ref="C4383">NPV(B4383,FCFF!$C$9:$I$9)+FCFF!$B$9+FCFF!$I$9*(1+Inputs!$B$6)/(B4383-Inputs!$B$6)/(1+B4383)^7</f>
        <v>-1656.46393</v>
      </c>
    </row>
    <row r="4384" ht="14.25" customHeight="1">
      <c r="A4384" s="7">
        <v>4371.0</v>
      </c>
      <c r="B4384" s="14">
        <f t="shared" si="1"/>
        <v>0.1140637593</v>
      </c>
      <c r="C4384" s="39">
        <f t="array" ref="C4384">NPV(B4384,FCFF!$C$9:$I$9)+FCFF!$B$9+FCFF!$I$9*(1+Inputs!$B$6)/(B4384-Inputs!$B$6)/(1+B4384)^7</f>
        <v>-1714.206874</v>
      </c>
    </row>
    <row r="4385" ht="14.25" customHeight="1">
      <c r="A4385" s="7">
        <v>4372.0</v>
      </c>
      <c r="B4385" s="14">
        <f t="shared" si="1"/>
        <v>0.1255176524</v>
      </c>
      <c r="C4385" s="39">
        <f t="array" ref="C4385">NPV(B4385,FCFF!$C$9:$I$9)+FCFF!$B$9+FCFF!$I$9*(1+Inputs!$B$6)/(B4385-Inputs!$B$6)/(1+B4385)^7</f>
        <v>-1909.059289</v>
      </c>
    </row>
    <row r="4386" ht="14.25" customHeight="1">
      <c r="A4386" s="7">
        <v>4373.0</v>
      </c>
      <c r="B4386" s="14">
        <f t="shared" si="1"/>
        <v>0.1081240396</v>
      </c>
      <c r="C4386" s="39">
        <f t="array" ref="C4386">NPV(B4386,FCFF!$C$9:$I$9)+FCFF!$B$9+FCFF!$I$9*(1+Inputs!$B$6)/(B4386-Inputs!$B$6)/(1+B4386)^7</f>
        <v>-1589.495173</v>
      </c>
    </row>
    <row r="4387" ht="14.25" customHeight="1">
      <c r="A4387" s="7">
        <v>4374.0</v>
      </c>
      <c r="B4387" s="14">
        <f t="shared" si="1"/>
        <v>0.1185274005</v>
      </c>
      <c r="C4387" s="39">
        <f t="array" ref="C4387">NPV(B4387,FCFF!$C$9:$I$9)+FCFF!$B$9+FCFF!$I$9*(1+Inputs!$B$6)/(B4387-Inputs!$B$6)/(1+B4387)^7</f>
        <v>-1796.481127</v>
      </c>
    </row>
    <row r="4388" ht="14.25" customHeight="1">
      <c r="A4388" s="7">
        <v>4375.0</v>
      </c>
      <c r="B4388" s="14">
        <f t="shared" si="1"/>
        <v>0.1303815321</v>
      </c>
      <c r="C4388" s="39">
        <f t="array" ref="C4388">NPV(B4388,FCFF!$C$9:$I$9)+FCFF!$B$9+FCFF!$I$9*(1+Inputs!$B$6)/(B4388-Inputs!$B$6)/(1+B4388)^7</f>
        <v>-1977.524409</v>
      </c>
    </row>
    <row r="4389" ht="14.25" customHeight="1">
      <c r="A4389" s="7">
        <v>4376.0</v>
      </c>
      <c r="B4389" s="14">
        <f t="shared" si="1"/>
        <v>0.1197567003</v>
      </c>
      <c r="C4389" s="39">
        <f t="array" ref="C4389">NPV(B4389,FCFF!$C$9:$I$9)+FCFF!$B$9+FCFF!$I$9*(1+Inputs!$B$6)/(B4389-Inputs!$B$6)/(1+B4389)^7</f>
        <v>-1817.629836</v>
      </c>
    </row>
    <row r="4390" ht="14.25" customHeight="1">
      <c r="A4390" s="7">
        <v>4377.0</v>
      </c>
      <c r="B4390" s="14">
        <f t="shared" si="1"/>
        <v>0.09504367836</v>
      </c>
      <c r="C4390" s="39">
        <f t="array" ref="C4390">NPV(B4390,FCFF!$C$9:$I$9)+FCFF!$B$9+FCFF!$I$9*(1+Inputs!$B$6)/(B4390-Inputs!$B$6)/(1+B4390)^7</f>
        <v>-1232.646958</v>
      </c>
    </row>
    <row r="4391" ht="14.25" customHeight="1">
      <c r="A4391" s="7">
        <v>4378.0</v>
      </c>
      <c r="B4391" s="14">
        <f t="shared" si="1"/>
        <v>0.122264107</v>
      </c>
      <c r="C4391" s="39">
        <f t="array" ref="C4391">NPV(B4391,FCFF!$C$9:$I$9)+FCFF!$B$9+FCFF!$I$9*(1+Inputs!$B$6)/(B4391-Inputs!$B$6)/(1+B4391)^7</f>
        <v>-1858.918873</v>
      </c>
    </row>
    <row r="4392" ht="14.25" customHeight="1">
      <c r="A4392" s="7">
        <v>4379.0</v>
      </c>
      <c r="B4392" s="14">
        <f t="shared" si="1"/>
        <v>0.09744370055</v>
      </c>
      <c r="C4392" s="39">
        <f t="array" ref="C4392">NPV(B4392,FCFF!$C$9:$I$9)+FCFF!$B$9+FCFF!$I$9*(1+Inputs!$B$6)/(B4392-Inputs!$B$6)/(1+B4392)^7</f>
        <v>-1308.560148</v>
      </c>
    </row>
    <row r="4393" ht="14.25" customHeight="1">
      <c r="A4393" s="7">
        <v>4380.0</v>
      </c>
      <c r="B4393" s="14">
        <f t="shared" si="1"/>
        <v>0.0973924427</v>
      </c>
      <c r="C4393" s="39">
        <f t="array" ref="C4393">NPV(B4393,FCFF!$C$9:$I$9)+FCFF!$B$9+FCFF!$I$9*(1+Inputs!$B$6)/(B4393-Inputs!$B$6)/(1+B4393)^7</f>
        <v>-1306.995218</v>
      </c>
    </row>
    <row r="4394" ht="14.25" customHeight="1">
      <c r="A4394" s="7">
        <v>4381.0</v>
      </c>
      <c r="B4394" s="14">
        <f t="shared" si="1"/>
        <v>0.1264863291</v>
      </c>
      <c r="C4394" s="39">
        <f t="array" ref="C4394">NPV(B4394,FCFF!$C$9:$I$9)+FCFF!$B$9+FCFF!$I$9*(1+Inputs!$B$6)/(B4394-Inputs!$B$6)/(1+B4394)^7</f>
        <v>-1923.28868</v>
      </c>
    </row>
    <row r="4395" ht="14.25" customHeight="1">
      <c r="A4395" s="7">
        <v>4382.0</v>
      </c>
      <c r="B4395" s="14">
        <f t="shared" si="1"/>
        <v>0.1231841516</v>
      </c>
      <c r="C4395" s="39">
        <f t="array" ref="C4395">NPV(B4395,FCFF!$C$9:$I$9)+FCFF!$B$9+FCFF!$I$9*(1+Inputs!$B$6)/(B4395-Inputs!$B$6)/(1+B4395)^7</f>
        <v>-1873.477153</v>
      </c>
    </row>
    <row r="4396" ht="14.25" customHeight="1">
      <c r="A4396" s="7">
        <v>4383.0</v>
      </c>
      <c r="B4396" s="14">
        <f t="shared" si="1"/>
        <v>0.1290073637</v>
      </c>
      <c r="C4396" s="39">
        <f t="array" ref="C4396">NPV(B4396,FCFF!$C$9:$I$9)+FCFF!$B$9+FCFF!$I$9*(1+Inputs!$B$6)/(B4396-Inputs!$B$6)/(1+B4396)^7</f>
        <v>-1958.9176</v>
      </c>
    </row>
    <row r="4397" ht="14.25" customHeight="1">
      <c r="A4397" s="7">
        <v>4384.0</v>
      </c>
      <c r="B4397" s="14">
        <f t="shared" si="1"/>
        <v>0.1119084912</v>
      </c>
      <c r="C4397" s="39">
        <f t="array" ref="C4397">NPV(B4397,FCFF!$C$9:$I$9)+FCFF!$B$9+FCFF!$I$9*(1+Inputs!$B$6)/(B4397-Inputs!$B$6)/(1+B4397)^7</f>
        <v>-1671.120231</v>
      </c>
    </row>
    <row r="4398" ht="14.25" customHeight="1">
      <c r="A4398" s="7">
        <v>4385.0</v>
      </c>
      <c r="B4398" s="14">
        <f t="shared" si="1"/>
        <v>0.1259022347</v>
      </c>
      <c r="C4398" s="39">
        <f t="array" ref="C4398">NPV(B4398,FCFF!$C$9:$I$9)+FCFF!$B$9+FCFF!$I$9*(1+Inputs!$B$6)/(B4398-Inputs!$B$6)/(1+B4398)^7</f>
        <v>-1914.74559</v>
      </c>
    </row>
    <row r="4399" ht="14.25" customHeight="1">
      <c r="A4399" s="7">
        <v>4386.0</v>
      </c>
      <c r="B4399" s="14">
        <f t="shared" si="1"/>
        <v>0.1107165551</v>
      </c>
      <c r="C4399" s="39">
        <f t="array" ref="C4399">NPV(B4399,FCFF!$C$9:$I$9)+FCFF!$B$9+FCFF!$I$9*(1+Inputs!$B$6)/(B4399-Inputs!$B$6)/(1+B4399)^7</f>
        <v>-1646.264974</v>
      </c>
    </row>
    <row r="4400" ht="14.25" customHeight="1">
      <c r="A4400" s="7">
        <v>4387.0</v>
      </c>
      <c r="B4400" s="14">
        <f t="shared" si="1"/>
        <v>0.1126858792</v>
      </c>
      <c r="C4400" s="39">
        <f t="array" ref="C4400">NPV(B4400,FCFF!$C$9:$I$9)+FCFF!$B$9+FCFF!$I$9*(1+Inputs!$B$6)/(B4400-Inputs!$B$6)/(1+B4400)^7</f>
        <v>-1686.930652</v>
      </c>
    </row>
    <row r="4401" ht="14.25" customHeight="1">
      <c r="A4401" s="7">
        <v>4388.0</v>
      </c>
      <c r="B4401" s="14">
        <f t="shared" si="1"/>
        <v>0.1005200044</v>
      </c>
      <c r="C4401" s="39">
        <f t="array" ref="C4401">NPV(B4401,FCFF!$C$9:$I$9)+FCFF!$B$9+FCFF!$I$9*(1+Inputs!$B$6)/(B4401-Inputs!$B$6)/(1+B4401)^7</f>
        <v>-1398.306433</v>
      </c>
    </row>
    <row r="4402" ht="14.25" customHeight="1">
      <c r="A4402" s="7">
        <v>4389.0</v>
      </c>
      <c r="B4402" s="14">
        <f t="shared" si="1"/>
        <v>0.1049851719</v>
      </c>
      <c r="C4402" s="39">
        <f t="array" ref="C4402">NPV(B4402,FCFF!$C$9:$I$9)+FCFF!$B$9+FCFF!$I$9*(1+Inputs!$B$6)/(B4402-Inputs!$B$6)/(1+B4402)^7</f>
        <v>-1515.35921</v>
      </c>
    </row>
    <row r="4403" ht="14.25" customHeight="1">
      <c r="A4403" s="7">
        <v>4390.0</v>
      </c>
      <c r="B4403" s="14">
        <f t="shared" si="1"/>
        <v>0.1288517643</v>
      </c>
      <c r="C4403" s="39">
        <f t="array" ref="C4403">NPV(B4403,FCFF!$C$9:$I$9)+FCFF!$B$9+FCFF!$I$9*(1+Inputs!$B$6)/(B4403-Inputs!$B$6)/(1+B4403)^7</f>
        <v>-1956.775373</v>
      </c>
    </row>
    <row r="4404" ht="14.25" customHeight="1">
      <c r="A4404" s="7">
        <v>4391.0</v>
      </c>
      <c r="B4404" s="14">
        <f t="shared" si="1"/>
        <v>0.1247185599</v>
      </c>
      <c r="C4404" s="39">
        <f t="array" ref="C4404">NPV(B4404,FCFF!$C$9:$I$9)+FCFF!$B$9+FCFF!$I$9*(1+Inputs!$B$6)/(B4404-Inputs!$B$6)/(1+B4404)^7</f>
        <v>-1897.085687</v>
      </c>
    </row>
    <row r="4405" ht="14.25" customHeight="1">
      <c r="A4405" s="7">
        <v>4392.0</v>
      </c>
      <c r="B4405" s="14">
        <f t="shared" si="1"/>
        <v>0.1229071631</v>
      </c>
      <c r="C4405" s="39">
        <f t="array" ref="C4405">NPV(B4405,FCFF!$C$9:$I$9)+FCFF!$B$9+FCFF!$I$9*(1+Inputs!$B$6)/(B4405-Inputs!$B$6)/(1+B4405)^7</f>
        <v>-1869.126578</v>
      </c>
    </row>
    <row r="4406" ht="14.25" customHeight="1">
      <c r="A4406" s="7">
        <v>4393.0</v>
      </c>
      <c r="B4406" s="14">
        <f t="shared" si="1"/>
        <v>0.1258934109</v>
      </c>
      <c r="C4406" s="39">
        <f t="array" ref="C4406">NPV(B4406,FCFF!$C$9:$I$9)+FCFF!$B$9+FCFF!$I$9*(1+Inputs!$B$6)/(B4406-Inputs!$B$6)/(1+B4406)^7</f>
        <v>-1914.615673</v>
      </c>
    </row>
    <row r="4407" ht="14.25" customHeight="1">
      <c r="A4407" s="7">
        <v>4394.0</v>
      </c>
      <c r="B4407" s="14">
        <f t="shared" si="1"/>
        <v>0.1125023342</v>
      </c>
      <c r="C4407" s="39">
        <f t="array" ref="C4407">NPV(B4407,FCFF!$C$9:$I$9)+FCFF!$B$9+FCFF!$I$9*(1+Inputs!$B$6)/(B4407-Inputs!$B$6)/(1+B4407)^7</f>
        <v>-1683.225649</v>
      </c>
    </row>
    <row r="4408" ht="14.25" customHeight="1">
      <c r="A4408" s="7">
        <v>4395.0</v>
      </c>
      <c r="B4408" s="14">
        <f t="shared" si="1"/>
        <v>0.1086825133</v>
      </c>
      <c r="C4408" s="39">
        <f t="array" ref="C4408">NPV(B4408,FCFF!$C$9:$I$9)+FCFF!$B$9+FCFF!$I$9*(1+Inputs!$B$6)/(B4408-Inputs!$B$6)/(1+B4408)^7</f>
        <v>-1602.050246</v>
      </c>
    </row>
    <row r="4409" ht="14.25" customHeight="1">
      <c r="A4409" s="7">
        <v>4396.0</v>
      </c>
      <c r="B4409" s="14">
        <f t="shared" si="1"/>
        <v>0.1257685498</v>
      </c>
      <c r="C4409" s="39">
        <f t="array" ref="C4409">NPV(B4409,FCFF!$C$9:$I$9)+FCFF!$B$9+FCFF!$I$9*(1+Inputs!$B$6)/(B4409-Inputs!$B$6)/(1+B4409)^7</f>
        <v>-1912.774532</v>
      </c>
    </row>
    <row r="4410" ht="14.25" customHeight="1">
      <c r="A4410" s="7">
        <v>4397.0</v>
      </c>
      <c r="B4410" s="14">
        <f t="shared" si="1"/>
        <v>0.09348521011</v>
      </c>
      <c r="C4410" s="39">
        <f t="array" ref="C4410">NPV(B4410,FCFF!$C$9:$I$9)+FCFF!$B$9+FCFF!$I$9*(1+Inputs!$B$6)/(B4410-Inputs!$B$6)/(1+B4410)^7</f>
        <v>-1180.297643</v>
      </c>
    </row>
    <row r="4411" ht="14.25" customHeight="1">
      <c r="A4411" s="7">
        <v>4398.0</v>
      </c>
      <c r="B4411" s="14">
        <f t="shared" si="1"/>
        <v>0.112596708</v>
      </c>
      <c r="C4411" s="39">
        <f t="array" ref="C4411">NPV(B4411,FCFF!$C$9:$I$9)+FCFF!$B$9+FCFF!$I$9*(1+Inputs!$B$6)/(B4411-Inputs!$B$6)/(1+B4411)^7</f>
        <v>-1685.132799</v>
      </c>
    </row>
    <row r="4412" ht="14.25" customHeight="1">
      <c r="A4412" s="7">
        <v>4399.0</v>
      </c>
      <c r="B4412" s="14">
        <f t="shared" si="1"/>
        <v>0.1279183549</v>
      </c>
      <c r="C4412" s="39">
        <f t="array" ref="C4412">NPV(B4412,FCFF!$C$9:$I$9)+FCFF!$B$9+FCFF!$I$9*(1+Inputs!$B$6)/(B4412-Inputs!$B$6)/(1+B4412)^7</f>
        <v>-1943.769929</v>
      </c>
    </row>
    <row r="4413" ht="14.25" customHeight="1">
      <c r="A4413" s="7">
        <v>4400.0</v>
      </c>
      <c r="B4413" s="14">
        <f t="shared" si="1"/>
        <v>0.0948508983</v>
      </c>
      <c r="C4413" s="39">
        <f t="array" ref="C4413">NPV(B4413,FCFF!$C$9:$I$9)+FCFF!$B$9+FCFF!$I$9*(1+Inputs!$B$6)/(B4413-Inputs!$B$6)/(1+B4413)^7</f>
        <v>-1226.306673</v>
      </c>
    </row>
    <row r="4414" ht="14.25" customHeight="1">
      <c r="A4414" s="7">
        <v>4401.0</v>
      </c>
      <c r="B4414" s="14">
        <f t="shared" si="1"/>
        <v>0.132125731</v>
      </c>
      <c r="C4414" s="39">
        <f t="array" ref="C4414">NPV(B4414,FCFF!$C$9:$I$9)+FCFF!$B$9+FCFF!$I$9*(1+Inputs!$B$6)/(B4414-Inputs!$B$6)/(1+B4414)^7</f>
        <v>-2000.359131</v>
      </c>
    </row>
    <row r="4415" ht="14.25" customHeight="1">
      <c r="A4415" s="7">
        <v>4402.0</v>
      </c>
      <c r="B4415" s="14">
        <f t="shared" si="1"/>
        <v>0.1240039982</v>
      </c>
      <c r="C4415" s="39">
        <f t="array" ref="C4415">NPV(B4415,FCFF!$C$9:$I$9)+FCFF!$B$9+FCFF!$I$9*(1+Inputs!$B$6)/(B4415-Inputs!$B$6)/(1+B4415)^7</f>
        <v>-1886.1939</v>
      </c>
    </row>
    <row r="4416" ht="14.25" customHeight="1">
      <c r="A4416" s="7">
        <v>4403.0</v>
      </c>
      <c r="B4416" s="14">
        <f t="shared" si="1"/>
        <v>0.1225743401</v>
      </c>
      <c r="C4416" s="39">
        <f t="array" ref="C4416">NPV(B4416,FCFF!$C$9:$I$9)+FCFF!$B$9+FCFF!$I$9*(1+Inputs!$B$6)/(B4416-Inputs!$B$6)/(1+B4416)^7</f>
        <v>-1863.862297</v>
      </c>
    </row>
    <row r="4417" ht="14.25" customHeight="1">
      <c r="A4417" s="7">
        <v>4404.0</v>
      </c>
      <c r="B4417" s="14">
        <f t="shared" si="1"/>
        <v>0.09505705499</v>
      </c>
      <c r="C4417" s="39">
        <f t="array" ref="C4417">NPV(B4417,FCFF!$C$9:$I$9)+FCFF!$B$9+FCFF!$I$9*(1+Inputs!$B$6)/(B4417-Inputs!$B$6)/(1+B4417)^7</f>
        <v>-1233.085514</v>
      </c>
    </row>
    <row r="4418" ht="14.25" customHeight="1">
      <c r="A4418" s="7">
        <v>4405.0</v>
      </c>
      <c r="B4418" s="14">
        <f t="shared" si="1"/>
        <v>0.1308800643</v>
      </c>
      <c r="C4418" s="39">
        <f t="array" ref="C4418">NPV(B4418,FCFF!$C$9:$I$9)+FCFF!$B$9+FCFF!$I$9*(1+Inputs!$B$6)/(B4418-Inputs!$B$6)/(1+B4418)^7</f>
        <v>-1984.138818</v>
      </c>
    </row>
    <row r="4419" ht="14.25" customHeight="1">
      <c r="A4419" s="7">
        <v>4406.0</v>
      </c>
      <c r="B4419" s="14">
        <f t="shared" si="1"/>
        <v>0.1024579845</v>
      </c>
      <c r="C4419" s="39">
        <f t="array" ref="C4419">NPV(B4419,FCFF!$C$9:$I$9)+FCFF!$B$9+FCFF!$I$9*(1+Inputs!$B$6)/(B4419-Inputs!$B$6)/(1+B4419)^7</f>
        <v>-1450.90568</v>
      </c>
    </row>
    <row r="4420" ht="14.25" customHeight="1">
      <c r="A4420" s="7">
        <v>4407.0</v>
      </c>
      <c r="B4420" s="14">
        <f t="shared" si="1"/>
        <v>0.1095562647</v>
      </c>
      <c r="C4420" s="39">
        <f t="array" ref="C4420">NPV(B4420,FCFF!$C$9:$I$9)+FCFF!$B$9+FCFF!$I$9*(1+Inputs!$B$6)/(B4420-Inputs!$B$6)/(1+B4420)^7</f>
        <v>-1621.329128</v>
      </c>
    </row>
    <row r="4421" ht="14.25" customHeight="1">
      <c r="A4421" s="7">
        <v>4408.0</v>
      </c>
      <c r="B4421" s="14">
        <f t="shared" si="1"/>
        <v>0.09442923517</v>
      </c>
      <c r="C4421" s="39">
        <f t="array" ref="C4421">NPV(B4421,FCFF!$C$9:$I$9)+FCFF!$B$9+FCFF!$I$9*(1+Inputs!$B$6)/(B4421-Inputs!$B$6)/(1+B4421)^7</f>
        <v>-1212.307457</v>
      </c>
    </row>
    <row r="4422" ht="14.25" customHeight="1">
      <c r="A4422" s="7">
        <v>4409.0</v>
      </c>
      <c r="B4422" s="14">
        <f t="shared" si="1"/>
        <v>0.1164148904</v>
      </c>
      <c r="C4422" s="39">
        <f t="array" ref="C4422">NPV(B4422,FCFF!$C$9:$I$9)+FCFF!$B$9+FCFF!$I$9*(1+Inputs!$B$6)/(B4422-Inputs!$B$6)/(1+B4422)^7</f>
        <v>-1758.654561</v>
      </c>
    </row>
    <row r="4423" ht="14.25" customHeight="1">
      <c r="A4423" s="7">
        <v>4410.0</v>
      </c>
      <c r="B4423" s="14">
        <f t="shared" si="1"/>
        <v>0.1049688467</v>
      </c>
      <c r="C4423" s="39">
        <f t="array" ref="C4423">NPV(B4423,FCFF!$C$9:$I$9)+FCFF!$B$9+FCFF!$I$9*(1+Inputs!$B$6)/(B4423-Inputs!$B$6)/(1+B4423)^7</f>
        <v>-1514.957036</v>
      </c>
    </row>
    <row r="4424" ht="14.25" customHeight="1">
      <c r="A4424" s="7">
        <v>4411.0</v>
      </c>
      <c r="B4424" s="14">
        <f t="shared" si="1"/>
        <v>0.1173032959</v>
      </c>
      <c r="C4424" s="39">
        <f t="array" ref="C4424">NPV(B4424,FCFF!$C$9:$I$9)+FCFF!$B$9+FCFF!$I$9*(1+Inputs!$B$6)/(B4424-Inputs!$B$6)/(1+B4424)^7</f>
        <v>-1774.797</v>
      </c>
    </row>
    <row r="4425" ht="14.25" customHeight="1">
      <c r="A4425" s="7">
        <v>4412.0</v>
      </c>
      <c r="B4425" s="14">
        <f t="shared" si="1"/>
        <v>0.09925003955</v>
      </c>
      <c r="C4425" s="39">
        <f t="array" ref="C4425">NPV(B4425,FCFF!$C$9:$I$9)+FCFF!$B$9+FCFF!$I$9*(1+Inputs!$B$6)/(B4425-Inputs!$B$6)/(1+B4425)^7</f>
        <v>-1362.227493</v>
      </c>
    </row>
    <row r="4426" ht="14.25" customHeight="1">
      <c r="A4426" s="7">
        <v>4413.0</v>
      </c>
      <c r="B4426" s="14">
        <f t="shared" si="1"/>
        <v>0.1146890786</v>
      </c>
      <c r="C4426" s="39">
        <f t="array" ref="C4426">NPV(B4426,FCFF!$C$9:$I$9)+FCFF!$B$9+FCFF!$I$9*(1+Inputs!$B$6)/(B4426-Inputs!$B$6)/(1+B4426)^7</f>
        <v>-1726.280416</v>
      </c>
    </row>
    <row r="4427" ht="14.25" customHeight="1">
      <c r="A4427" s="7">
        <v>4414.0</v>
      </c>
      <c r="B4427" s="14">
        <f t="shared" si="1"/>
        <v>0.1327814828</v>
      </c>
      <c r="C4427" s="39">
        <f t="array" ref="C4427">NPV(B4427,FCFF!$C$9:$I$9)+FCFF!$B$9+FCFF!$I$9*(1+Inputs!$B$6)/(B4427-Inputs!$B$6)/(1+B4427)^7</f>
        <v>-2008.725826</v>
      </c>
    </row>
    <row r="4428" ht="14.25" customHeight="1">
      <c r="A4428" s="7">
        <v>4415.0</v>
      </c>
      <c r="B4428" s="14">
        <f t="shared" si="1"/>
        <v>0.1271927288</v>
      </c>
      <c r="C4428" s="39">
        <f t="array" ref="C4428">NPV(B4428,FCFF!$C$9:$I$9)+FCFF!$B$9+FCFF!$I$9*(1+Inputs!$B$6)/(B4428-Inputs!$B$6)/(1+B4428)^7</f>
        <v>-1933.473108</v>
      </c>
    </row>
    <row r="4429" ht="14.25" customHeight="1">
      <c r="A4429" s="7">
        <v>4416.0</v>
      </c>
      <c r="B4429" s="14">
        <f t="shared" si="1"/>
        <v>0.11519895</v>
      </c>
      <c r="C4429" s="39">
        <f t="array" ref="C4429">NPV(B4429,FCFF!$C$9:$I$9)+FCFF!$B$9+FCFF!$I$9*(1+Inputs!$B$6)/(B4429-Inputs!$B$6)/(1+B4429)^7</f>
        <v>-1735.987905</v>
      </c>
    </row>
    <row r="4430" ht="14.25" customHeight="1">
      <c r="A4430" s="7">
        <v>4417.0</v>
      </c>
      <c r="B4430" s="14">
        <f t="shared" si="1"/>
        <v>0.1305213755</v>
      </c>
      <c r="C4430" s="39">
        <f t="array" ref="C4430">NPV(B4430,FCFF!$C$9:$I$9)+FCFF!$B$9+FCFF!$I$9*(1+Inputs!$B$6)/(B4430-Inputs!$B$6)/(1+B4430)^7</f>
        <v>-1979.387014</v>
      </c>
    </row>
    <row r="4431" ht="14.25" customHeight="1">
      <c r="A4431" s="7">
        <v>4418.0</v>
      </c>
      <c r="B4431" s="14">
        <f t="shared" si="1"/>
        <v>0.1167595452</v>
      </c>
      <c r="C4431" s="39">
        <f t="array" ref="C4431">NPV(B4431,FCFF!$C$9:$I$9)+FCFF!$B$9+FCFF!$I$9*(1+Inputs!$B$6)/(B4431-Inputs!$B$6)/(1+B4431)^7</f>
        <v>-1764.958213</v>
      </c>
    </row>
    <row r="4432" ht="14.25" customHeight="1">
      <c r="A4432" s="7">
        <v>4419.0</v>
      </c>
      <c r="B4432" s="14">
        <f t="shared" si="1"/>
        <v>0.09950943349</v>
      </c>
      <c r="C4432" s="39">
        <f t="array" ref="C4432">NPV(B4432,FCFF!$C$9:$I$9)+FCFF!$B$9+FCFF!$I$9*(1+Inputs!$B$6)/(B4432-Inputs!$B$6)/(1+B4432)^7</f>
        <v>-1369.704488</v>
      </c>
    </row>
    <row r="4433" ht="14.25" customHeight="1">
      <c r="A4433" s="7">
        <v>4420.0</v>
      </c>
      <c r="B4433" s="14">
        <f t="shared" si="1"/>
        <v>0.1134473704</v>
      </c>
      <c r="C4433" s="39">
        <f t="array" ref="C4433">NPV(B4433,FCFF!$C$9:$I$9)+FCFF!$B$9+FCFF!$I$9*(1+Inputs!$B$6)/(B4433-Inputs!$B$6)/(1+B4433)^7</f>
        <v>-1702.120942</v>
      </c>
    </row>
    <row r="4434" ht="14.25" customHeight="1">
      <c r="A4434" s="7">
        <v>4421.0</v>
      </c>
      <c r="B4434" s="14">
        <f t="shared" si="1"/>
        <v>0.1283811213</v>
      </c>
      <c r="C4434" s="39">
        <f t="array" ref="C4434">NPV(B4434,FCFF!$C$9:$I$9)+FCFF!$B$9+FCFF!$I$9*(1+Inputs!$B$6)/(B4434-Inputs!$B$6)/(1+B4434)^7</f>
        <v>-1950.251119</v>
      </c>
    </row>
    <row r="4435" ht="14.25" customHeight="1">
      <c r="A4435" s="7">
        <v>4422.0</v>
      </c>
      <c r="B4435" s="14">
        <f t="shared" si="1"/>
        <v>0.1221446752</v>
      </c>
      <c r="C4435" s="39">
        <f t="array" ref="C4435">NPV(B4435,FCFF!$C$9:$I$9)+FCFF!$B$9+FCFF!$I$9*(1+Inputs!$B$6)/(B4435-Inputs!$B$6)/(1+B4435)^7</f>
        <v>-1857.00633</v>
      </c>
    </row>
    <row r="4436" ht="14.25" customHeight="1">
      <c r="A4436" s="7">
        <v>4423.0</v>
      </c>
      <c r="B4436" s="14">
        <f t="shared" si="1"/>
        <v>0.1142986225</v>
      </c>
      <c r="C4436" s="39">
        <f t="array" ref="C4436">NPV(B4436,FCFF!$C$9:$I$9)+FCFF!$B$9+FCFF!$I$9*(1+Inputs!$B$6)/(B4436-Inputs!$B$6)/(1+B4436)^7</f>
        <v>-1718.763496</v>
      </c>
    </row>
    <row r="4437" ht="14.25" customHeight="1">
      <c r="A4437" s="7">
        <v>4424.0</v>
      </c>
      <c r="B4437" s="14">
        <f t="shared" si="1"/>
        <v>0.1207705905</v>
      </c>
      <c r="C4437" s="39">
        <f t="array" ref="C4437">NPV(B4437,FCFF!$C$9:$I$9)+FCFF!$B$9+FCFF!$I$9*(1+Inputs!$B$6)/(B4437-Inputs!$B$6)/(1+B4437)^7</f>
        <v>-1834.616944</v>
      </c>
    </row>
    <row r="4438" ht="14.25" customHeight="1">
      <c r="A4438" s="7">
        <v>4425.0</v>
      </c>
      <c r="B4438" s="14">
        <f t="shared" si="1"/>
        <v>0.1182557554</v>
      </c>
      <c r="C4438" s="39">
        <f t="array" ref="C4438">NPV(B4438,FCFF!$C$9:$I$9)+FCFF!$B$9+FCFF!$I$9*(1+Inputs!$B$6)/(B4438-Inputs!$B$6)/(1+B4438)^7</f>
        <v>-1791.723841</v>
      </c>
    </row>
    <row r="4439" ht="14.25" customHeight="1">
      <c r="A4439" s="7">
        <v>4426.0</v>
      </c>
      <c r="B4439" s="14">
        <f t="shared" si="1"/>
        <v>0.1029606998</v>
      </c>
      <c r="C4439" s="39">
        <f t="array" ref="C4439">NPV(B4439,FCFF!$C$9:$I$9)+FCFF!$B$9+FCFF!$I$9*(1+Inputs!$B$6)/(B4439-Inputs!$B$6)/(1+B4439)^7</f>
        <v>-1464.088311</v>
      </c>
    </row>
    <row r="4440" ht="14.25" customHeight="1">
      <c r="A4440" s="7">
        <v>4427.0</v>
      </c>
      <c r="B4440" s="14">
        <f t="shared" si="1"/>
        <v>0.1160533341</v>
      </c>
      <c r="C4440" s="39">
        <f t="array" ref="C4440">NPV(B4440,FCFF!$C$9:$I$9)+FCFF!$B$9+FCFF!$I$9*(1+Inputs!$B$6)/(B4440-Inputs!$B$6)/(1+B4440)^7</f>
        <v>-1751.984825</v>
      </c>
    </row>
    <row r="4441" ht="14.25" customHeight="1">
      <c r="A4441" s="7">
        <v>4428.0</v>
      </c>
      <c r="B4441" s="14">
        <f t="shared" si="1"/>
        <v>0.1292003336</v>
      </c>
      <c r="C4441" s="39">
        <f t="array" ref="C4441">NPV(B4441,FCFF!$C$9:$I$9)+FCFF!$B$9+FCFF!$I$9*(1+Inputs!$B$6)/(B4441-Inputs!$B$6)/(1+B4441)^7</f>
        <v>-1961.564227</v>
      </c>
    </row>
    <row r="4442" ht="14.25" customHeight="1">
      <c r="A4442" s="7">
        <v>4429.0</v>
      </c>
      <c r="B4442" s="14">
        <f t="shared" si="1"/>
        <v>0.1172066849</v>
      </c>
      <c r="C4442" s="39">
        <f t="array" ref="C4442">NPV(B4442,FCFF!$C$9:$I$9)+FCFF!$B$9+FCFF!$I$9*(1+Inputs!$B$6)/(B4442-Inputs!$B$6)/(1+B4442)^7</f>
        <v>-1773.058312</v>
      </c>
    </row>
    <row r="4443" ht="14.25" customHeight="1">
      <c r="A4443" s="7">
        <v>4430.0</v>
      </c>
      <c r="B4443" s="14">
        <f t="shared" si="1"/>
        <v>0.1259028843</v>
      </c>
      <c r="C4443" s="39">
        <f t="array" ref="C4443">NPV(B4443,FCFF!$C$9:$I$9)+FCFF!$B$9+FCFF!$I$9*(1+Inputs!$B$6)/(B4443-Inputs!$B$6)/(1+B4443)^7</f>
        <v>-1914.755153</v>
      </c>
    </row>
    <row r="4444" ht="14.25" customHeight="1">
      <c r="A4444" s="7">
        <v>4431.0</v>
      </c>
      <c r="B4444" s="14">
        <f t="shared" si="1"/>
        <v>0.1160708748</v>
      </c>
      <c r="C4444" s="39">
        <f t="array" ref="C4444">NPV(B4444,FCFF!$C$9:$I$9)+FCFF!$B$9+FCFF!$I$9*(1+Inputs!$B$6)/(B4444-Inputs!$B$6)/(1+B4444)^7</f>
        <v>-1752.309758</v>
      </c>
    </row>
    <row r="4445" ht="14.25" customHeight="1">
      <c r="A4445" s="7">
        <v>4432.0</v>
      </c>
      <c r="B4445" s="14">
        <f t="shared" si="1"/>
        <v>0.09343690318</v>
      </c>
      <c r="C4445" s="39">
        <f t="array" ref="C4445">NPV(B4445,FCFF!$C$9:$I$9)+FCFF!$B$9+FCFF!$I$9*(1+Inputs!$B$6)/(B4445-Inputs!$B$6)/(1+B4445)^7</f>
        <v>-1178.634299</v>
      </c>
    </row>
    <row r="4446" ht="14.25" customHeight="1">
      <c r="A4446" s="7">
        <v>4433.0</v>
      </c>
      <c r="B4446" s="14">
        <f t="shared" si="1"/>
        <v>0.1102329011</v>
      </c>
      <c r="C4446" s="39">
        <f t="array" ref="C4446">NPV(B4446,FCFF!$C$9:$I$9)+FCFF!$B$9+FCFF!$I$9*(1+Inputs!$B$6)/(B4446-Inputs!$B$6)/(1+B4446)^7</f>
        <v>-1635.961308</v>
      </c>
    </row>
    <row r="4447" ht="14.25" customHeight="1">
      <c r="A4447" s="7">
        <v>4434.0</v>
      </c>
      <c r="B4447" s="14">
        <f t="shared" si="1"/>
        <v>0.1093726372</v>
      </c>
      <c r="C4447" s="39">
        <f t="array" ref="C4447">NPV(B4447,FCFF!$C$9:$I$9)+FCFF!$B$9+FCFF!$I$9*(1+Inputs!$B$6)/(B4447-Inputs!$B$6)/(1+B4447)^7</f>
        <v>-1617.313785</v>
      </c>
    </row>
    <row r="4448" ht="14.25" customHeight="1">
      <c r="A4448" s="7">
        <v>4435.0</v>
      </c>
      <c r="B4448" s="14">
        <f t="shared" si="1"/>
        <v>0.09744524886</v>
      </c>
      <c r="C4448" s="39">
        <f t="array" ref="C4448">NPV(B4448,FCFF!$C$9:$I$9)+FCFF!$B$9+FCFF!$I$9*(1+Inputs!$B$6)/(B4448-Inputs!$B$6)/(1+B4448)^7</f>
        <v>-1308.607381</v>
      </c>
    </row>
    <row r="4449" ht="14.25" customHeight="1">
      <c r="A4449" s="7">
        <v>4436.0</v>
      </c>
      <c r="B4449" s="14">
        <f t="shared" si="1"/>
        <v>0.09318522456</v>
      </c>
      <c r="C4449" s="39">
        <f t="array" ref="C4449">NPV(B4449,FCFF!$C$9:$I$9)+FCFF!$B$9+FCFF!$I$9*(1+Inputs!$B$6)/(B4449-Inputs!$B$6)/(1+B4449)^7</f>
        <v>-1169.927616</v>
      </c>
    </row>
    <row r="4450" ht="14.25" customHeight="1">
      <c r="A4450" s="7">
        <v>4437.0</v>
      </c>
      <c r="B4450" s="14">
        <f t="shared" si="1"/>
        <v>0.09331953706</v>
      </c>
      <c r="C4450" s="39">
        <f t="array" ref="C4450">NPV(B4450,FCFF!$C$9:$I$9)+FCFF!$B$9+FCFF!$I$9*(1+Inputs!$B$6)/(B4450-Inputs!$B$6)/(1+B4450)^7</f>
        <v>-1174.582597</v>
      </c>
    </row>
    <row r="4451" ht="14.25" customHeight="1">
      <c r="A4451" s="7">
        <v>4438.0</v>
      </c>
      <c r="B4451" s="14">
        <f t="shared" si="1"/>
        <v>0.1053883884</v>
      </c>
      <c r="C4451" s="39">
        <f t="array" ref="C4451">NPV(B4451,FCFF!$C$9:$I$9)+FCFF!$B$9+FCFF!$I$9*(1+Inputs!$B$6)/(B4451-Inputs!$B$6)/(1+B4451)^7</f>
        <v>-1525.236153</v>
      </c>
    </row>
    <row r="4452" ht="14.25" customHeight="1">
      <c r="A4452" s="7">
        <v>4439.0</v>
      </c>
      <c r="B4452" s="14">
        <f t="shared" si="1"/>
        <v>0.1250454479</v>
      </c>
      <c r="C4452" s="39">
        <f t="array" ref="C4452">NPV(B4452,FCFF!$C$9:$I$9)+FCFF!$B$9+FCFF!$I$9*(1+Inputs!$B$6)/(B4452-Inputs!$B$6)/(1+B4452)^7</f>
        <v>-1902.009869</v>
      </c>
    </row>
    <row r="4453" ht="14.25" customHeight="1">
      <c r="A4453" s="7">
        <v>4440.0</v>
      </c>
      <c r="B4453" s="14">
        <f t="shared" si="1"/>
        <v>0.1027743989</v>
      </c>
      <c r="C4453" s="39">
        <f t="array" ref="C4453">NPV(B4453,FCFF!$C$9:$I$9)+FCFF!$B$9+FCFF!$I$9*(1+Inputs!$B$6)/(B4453-Inputs!$B$6)/(1+B4453)^7</f>
        <v>-1459.224502</v>
      </c>
    </row>
    <row r="4454" ht="14.25" customHeight="1">
      <c r="A4454" s="7">
        <v>4441.0</v>
      </c>
      <c r="B4454" s="14">
        <f t="shared" si="1"/>
        <v>0.1270563816</v>
      </c>
      <c r="C4454" s="39">
        <f t="array" ref="C4454">NPV(B4454,FCFF!$C$9:$I$9)+FCFF!$B$9+FCFF!$I$9*(1+Inputs!$B$6)/(B4454-Inputs!$B$6)/(1+B4454)^7</f>
        <v>-1931.519773</v>
      </c>
    </row>
    <row r="4455" ht="14.25" customHeight="1">
      <c r="A4455" s="7">
        <v>4442.0</v>
      </c>
      <c r="B4455" s="14">
        <f t="shared" si="1"/>
        <v>0.1104236482</v>
      </c>
      <c r="C4455" s="39">
        <f t="array" ref="C4455">NPV(B4455,FCFF!$C$9:$I$9)+FCFF!$B$9+FCFF!$I$9*(1+Inputs!$B$6)/(B4455-Inputs!$B$6)/(1+B4455)^7</f>
        <v>-1640.040248</v>
      </c>
    </row>
    <row r="4456" ht="14.25" customHeight="1">
      <c r="A4456" s="7">
        <v>4443.0</v>
      </c>
      <c r="B4456" s="14">
        <f t="shared" si="1"/>
        <v>0.126462236</v>
      </c>
      <c r="C4456" s="39">
        <f t="array" ref="C4456">NPV(B4456,FCFF!$C$9:$I$9)+FCFF!$B$9+FCFF!$I$9*(1+Inputs!$B$6)/(B4456-Inputs!$B$6)/(1+B4456)^7</f>
        <v>-1922.93849</v>
      </c>
    </row>
    <row r="4457" ht="14.25" customHeight="1">
      <c r="A4457" s="7">
        <v>4444.0</v>
      </c>
      <c r="B4457" s="14">
        <f t="shared" si="1"/>
        <v>0.1318657117</v>
      </c>
      <c r="C4457" s="39">
        <f t="array" ref="C4457">NPV(B4457,FCFF!$C$9:$I$9)+FCFF!$B$9+FCFF!$I$9*(1+Inputs!$B$6)/(B4457-Inputs!$B$6)/(1+B4457)^7</f>
        <v>-1997.009004</v>
      </c>
    </row>
    <row r="4458" ht="14.25" customHeight="1">
      <c r="A4458" s="7">
        <v>4445.0</v>
      </c>
      <c r="B4458" s="14">
        <f t="shared" si="1"/>
        <v>0.1009691697</v>
      </c>
      <c r="C4458" s="39">
        <f t="array" ref="C4458">NPV(B4458,FCFF!$C$9:$I$9)+FCFF!$B$9+FCFF!$I$9*(1+Inputs!$B$6)/(B4458-Inputs!$B$6)/(1+B4458)^7</f>
        <v>-1410.755658</v>
      </c>
    </row>
    <row r="4459" ht="14.25" customHeight="1">
      <c r="A4459" s="7">
        <v>4446.0</v>
      </c>
      <c r="B4459" s="14">
        <f t="shared" si="1"/>
        <v>0.1257936097</v>
      </c>
      <c r="C4459" s="39">
        <f t="array" ref="C4459">NPV(B4459,FCFF!$C$9:$I$9)+FCFF!$B$9+FCFF!$I$9*(1+Inputs!$B$6)/(B4459-Inputs!$B$6)/(1+B4459)^7</f>
        <v>-1913.144466</v>
      </c>
    </row>
    <row r="4460" ht="14.25" customHeight="1">
      <c r="A4460" s="7">
        <v>4447.0</v>
      </c>
      <c r="B4460" s="14">
        <f t="shared" si="1"/>
        <v>0.1197889424</v>
      </c>
      <c r="C4460" s="39">
        <f t="array" ref="C4460">NPV(B4460,FCFF!$C$9:$I$9)+FCFF!$B$9+FCFF!$I$9*(1+Inputs!$B$6)/(B4460-Inputs!$B$6)/(1+B4460)^7</f>
        <v>-1818.17629</v>
      </c>
    </row>
    <row r="4461" ht="14.25" customHeight="1">
      <c r="A4461" s="7">
        <v>4448.0</v>
      </c>
      <c r="B4461" s="14">
        <f t="shared" si="1"/>
        <v>0.09874932243</v>
      </c>
      <c r="C4461" s="39">
        <f t="array" ref="C4461">NPV(B4461,FCFF!$C$9:$I$9)+FCFF!$B$9+FCFF!$I$9*(1+Inputs!$B$6)/(B4461-Inputs!$B$6)/(1+B4461)^7</f>
        <v>-1347.634123</v>
      </c>
    </row>
    <row r="4462" ht="14.25" customHeight="1">
      <c r="A4462" s="7">
        <v>4449.0</v>
      </c>
      <c r="B4462" s="14">
        <f t="shared" si="1"/>
        <v>0.1267142826</v>
      </c>
      <c r="C4462" s="39">
        <f t="array" ref="C4462">NPV(B4462,FCFF!$C$9:$I$9)+FCFF!$B$9+FCFF!$I$9*(1+Inputs!$B$6)/(B4462-Inputs!$B$6)/(1+B4462)^7</f>
        <v>-1926.592677</v>
      </c>
    </row>
    <row r="4463" ht="14.25" customHeight="1">
      <c r="A4463" s="7">
        <v>4450.0</v>
      </c>
      <c r="B4463" s="14">
        <f t="shared" si="1"/>
        <v>0.09903192715</v>
      </c>
      <c r="C4463" s="39">
        <f t="array" ref="C4463">NPV(B4463,FCFF!$C$9:$I$9)+FCFF!$B$9+FCFF!$I$9*(1+Inputs!$B$6)/(B4463-Inputs!$B$6)/(1+B4463)^7</f>
        <v>-1355.896745</v>
      </c>
    </row>
    <row r="4464" ht="14.25" customHeight="1">
      <c r="A4464" s="7">
        <v>4451.0</v>
      </c>
      <c r="B4464" s="14">
        <f t="shared" si="1"/>
        <v>0.1202345305</v>
      </c>
      <c r="C4464" s="39">
        <f t="array" ref="C4464">NPV(B4464,FCFF!$C$9:$I$9)+FCFF!$B$9+FCFF!$I$9*(1+Inputs!$B$6)/(B4464-Inputs!$B$6)/(1+B4464)^7</f>
        <v>-1825.685976</v>
      </c>
    </row>
    <row r="4465" ht="14.25" customHeight="1">
      <c r="A4465" s="7">
        <v>4452.0</v>
      </c>
      <c r="B4465" s="14">
        <f t="shared" si="1"/>
        <v>0.1116752151</v>
      </c>
      <c r="C4465" s="39">
        <f t="array" ref="C4465">NPV(B4465,FCFF!$C$9:$I$9)+FCFF!$B$9+FCFF!$I$9*(1+Inputs!$B$6)/(B4465-Inputs!$B$6)/(1+B4465)^7</f>
        <v>-1666.314932</v>
      </c>
    </row>
    <row r="4466" ht="14.25" customHeight="1">
      <c r="A4466" s="7">
        <v>4453.0</v>
      </c>
      <c r="B4466" s="14">
        <f t="shared" si="1"/>
        <v>0.1025453061</v>
      </c>
      <c r="C4466" s="39">
        <f t="array" ref="C4466">NPV(B4466,FCFF!$C$9:$I$9)+FCFF!$B$9+FCFF!$I$9*(1+Inputs!$B$6)/(B4466-Inputs!$B$6)/(1+B4466)^7</f>
        <v>-1453.20879</v>
      </c>
    </row>
    <row r="4467" ht="14.25" customHeight="1">
      <c r="A4467" s="7">
        <v>4454.0</v>
      </c>
      <c r="B4467" s="14">
        <f t="shared" si="1"/>
        <v>0.1047696328</v>
      </c>
      <c r="C4467" s="39">
        <f t="array" ref="C4467">NPV(B4467,FCFF!$C$9:$I$9)+FCFF!$B$9+FCFF!$I$9*(1+Inputs!$B$6)/(B4467-Inputs!$B$6)/(1+B4467)^7</f>
        <v>-1510.034937</v>
      </c>
    </row>
    <row r="4468" ht="14.25" customHeight="1">
      <c r="A4468" s="7">
        <v>4455.0</v>
      </c>
      <c r="B4468" s="14">
        <f t="shared" si="1"/>
        <v>0.1199500517</v>
      </c>
      <c r="C4468" s="39">
        <f t="array" ref="C4468">NPV(B4468,FCFF!$C$9:$I$9)+FCFF!$B$9+FCFF!$I$9*(1+Inputs!$B$6)/(B4468-Inputs!$B$6)/(1+B4468)^7</f>
        <v>-1820.900626</v>
      </c>
    </row>
    <row r="4469" ht="14.25" customHeight="1">
      <c r="A4469" s="7">
        <v>4456.0</v>
      </c>
      <c r="B4469" s="14">
        <f t="shared" si="1"/>
        <v>0.1038592565</v>
      </c>
      <c r="C4469" s="39">
        <f t="array" ref="C4469">NPV(B4469,FCFF!$C$9:$I$9)+FCFF!$B$9+FCFF!$I$9*(1+Inputs!$B$6)/(B4469-Inputs!$B$6)/(1+B4469)^7</f>
        <v>-1487.197519</v>
      </c>
    </row>
    <row r="4470" ht="14.25" customHeight="1">
      <c r="A4470" s="7">
        <v>4457.0</v>
      </c>
      <c r="B4470" s="14">
        <f t="shared" si="1"/>
        <v>0.101967706</v>
      </c>
      <c r="C4470" s="39">
        <f t="array" ref="C4470">NPV(B4470,FCFF!$C$9:$I$9)+FCFF!$B$9+FCFF!$I$9*(1+Inputs!$B$6)/(B4470-Inputs!$B$6)/(1+B4470)^7</f>
        <v>-1437.869467</v>
      </c>
    </row>
    <row r="4471" ht="14.25" customHeight="1">
      <c r="A4471" s="7">
        <v>4458.0</v>
      </c>
      <c r="B4471" s="14">
        <f t="shared" si="1"/>
        <v>0.1069484826</v>
      </c>
      <c r="C4471" s="39">
        <f t="array" ref="C4471">NPV(B4471,FCFF!$C$9:$I$9)+FCFF!$B$9+FCFF!$I$9*(1+Inputs!$B$6)/(B4471-Inputs!$B$6)/(1+B4471)^7</f>
        <v>-1562.455427</v>
      </c>
    </row>
    <row r="4472" ht="14.25" customHeight="1">
      <c r="A4472" s="7">
        <v>4459.0</v>
      </c>
      <c r="B4472" s="14">
        <f t="shared" si="1"/>
        <v>0.124082407</v>
      </c>
      <c r="C4472" s="39">
        <f t="array" ref="C4472">NPV(B4472,FCFF!$C$9:$I$9)+FCFF!$B$9+FCFF!$I$9*(1+Inputs!$B$6)/(B4472-Inputs!$B$6)/(1+B4472)^7</f>
        <v>-1887.397703</v>
      </c>
    </row>
    <row r="4473" ht="14.25" customHeight="1">
      <c r="A4473" s="7">
        <v>4460.0</v>
      </c>
      <c r="B4473" s="14">
        <f t="shared" si="1"/>
        <v>0.1142505581</v>
      </c>
      <c r="C4473" s="39">
        <f t="array" ref="C4473">NPV(B4473,FCFF!$C$9:$I$9)+FCFF!$B$9+FCFF!$I$9*(1+Inputs!$B$6)/(B4473-Inputs!$B$6)/(1+B4473)^7</f>
        <v>-1717.833146</v>
      </c>
    </row>
    <row r="4474" ht="14.25" customHeight="1">
      <c r="A4474" s="7">
        <v>4461.0</v>
      </c>
      <c r="B4474" s="14">
        <f t="shared" si="1"/>
        <v>0.1162556976</v>
      </c>
      <c r="C4474" s="39">
        <f t="array" ref="C4474">NPV(B4474,FCFF!$C$9:$I$9)+FCFF!$B$9+FCFF!$I$9*(1+Inputs!$B$6)/(B4474-Inputs!$B$6)/(1+B4474)^7</f>
        <v>-1755.725111</v>
      </c>
    </row>
    <row r="4475" ht="14.25" customHeight="1">
      <c r="A4475" s="7">
        <v>4462.0</v>
      </c>
      <c r="B4475" s="14">
        <f t="shared" si="1"/>
        <v>0.1237713018</v>
      </c>
      <c r="C4475" s="39">
        <f t="array" ref="C4475">NPV(B4475,FCFF!$C$9:$I$9)+FCFF!$B$9+FCFF!$I$9*(1+Inputs!$B$6)/(B4475-Inputs!$B$6)/(1+B4475)^7</f>
        <v>-1882.608659</v>
      </c>
    </row>
    <row r="4476" ht="14.25" customHeight="1">
      <c r="A4476" s="7">
        <v>4463.0</v>
      </c>
      <c r="B4476" s="14">
        <f t="shared" si="1"/>
        <v>0.1209521356</v>
      </c>
      <c r="C4476" s="39">
        <f t="array" ref="C4476">NPV(B4476,FCFF!$C$9:$I$9)+FCFF!$B$9+FCFF!$I$9*(1+Inputs!$B$6)/(B4476-Inputs!$B$6)/(1+B4476)^7</f>
        <v>-1837.616252</v>
      </c>
    </row>
    <row r="4477" ht="14.25" customHeight="1">
      <c r="A4477" s="7">
        <v>4464.0</v>
      </c>
      <c r="B4477" s="14">
        <f t="shared" si="1"/>
        <v>0.128841631</v>
      </c>
      <c r="C4477" s="39">
        <f t="array" ref="C4477">NPV(B4477,FCFF!$C$9:$I$9)+FCFF!$B$9+FCFF!$I$9*(1+Inputs!$B$6)/(B4477-Inputs!$B$6)/(1+B4477)^7</f>
        <v>-1956.635608</v>
      </c>
    </row>
    <row r="4478" ht="14.25" customHeight="1">
      <c r="A4478" s="7">
        <v>4465.0</v>
      </c>
      <c r="B4478" s="14">
        <f t="shared" si="1"/>
        <v>0.1235131874</v>
      </c>
      <c r="C4478" s="39">
        <f t="array" ref="C4478">NPV(B4478,FCFF!$C$9:$I$9)+FCFF!$B$9+FCFF!$I$9*(1+Inputs!$B$6)/(B4478-Inputs!$B$6)/(1+B4478)^7</f>
        <v>-1878.609483</v>
      </c>
    </row>
    <row r="4479" ht="14.25" customHeight="1">
      <c r="A4479" s="7">
        <v>4466.0</v>
      </c>
      <c r="B4479" s="14">
        <f t="shared" si="1"/>
        <v>0.112612241</v>
      </c>
      <c r="C4479" s="39">
        <f t="array" ref="C4479">NPV(B4479,FCFF!$C$9:$I$9)+FCFF!$B$9+FCFF!$I$9*(1+Inputs!$B$6)/(B4479-Inputs!$B$6)/(1+B4479)^7</f>
        <v>-1685.446262</v>
      </c>
    </row>
    <row r="4480" ht="14.25" customHeight="1">
      <c r="A4480" s="7">
        <v>4467.0</v>
      </c>
      <c r="B4480" s="14">
        <f t="shared" si="1"/>
        <v>0.1053847768</v>
      </c>
      <c r="C4480" s="39">
        <f t="array" ref="C4480">NPV(B4480,FCFF!$C$9:$I$9)+FCFF!$B$9+FCFF!$I$9*(1+Inputs!$B$6)/(B4480-Inputs!$B$6)/(1+B4480)^7</f>
        <v>-1525.148166</v>
      </c>
    </row>
    <row r="4481" ht="14.25" customHeight="1">
      <c r="A4481" s="7">
        <v>4468.0</v>
      </c>
      <c r="B4481" s="14">
        <f t="shared" si="1"/>
        <v>0.09624813686</v>
      </c>
      <c r="C4481" s="39">
        <f t="array" ref="C4481">NPV(B4481,FCFF!$C$9:$I$9)+FCFF!$B$9+FCFF!$I$9*(1+Inputs!$B$6)/(B4481-Inputs!$B$6)/(1+B4481)^7</f>
        <v>-1271.429346</v>
      </c>
    </row>
    <row r="4482" ht="14.25" customHeight="1">
      <c r="A4482" s="7">
        <v>4469.0</v>
      </c>
      <c r="B4482" s="14">
        <f t="shared" si="1"/>
        <v>0.1062184841</v>
      </c>
      <c r="C4482" s="39">
        <f t="array" ref="C4482">NPV(B4482,FCFF!$C$9:$I$9)+FCFF!$B$9+FCFF!$I$9*(1+Inputs!$B$6)/(B4482-Inputs!$B$6)/(1+B4482)^7</f>
        <v>-1545.233788</v>
      </c>
    </row>
    <row r="4483" ht="14.25" customHeight="1">
      <c r="A4483" s="7">
        <v>4470.0</v>
      </c>
      <c r="B4483" s="14">
        <f t="shared" si="1"/>
        <v>0.1241801549</v>
      </c>
      <c r="C4483" s="39">
        <f t="array" ref="C4483">NPV(B4483,FCFF!$C$9:$I$9)+FCFF!$B$9+FCFF!$I$9*(1+Inputs!$B$6)/(B4483-Inputs!$B$6)/(1+B4483)^7</f>
        <v>-1888.895415</v>
      </c>
    </row>
    <row r="4484" ht="14.25" customHeight="1">
      <c r="A4484" s="7">
        <v>4471.0</v>
      </c>
      <c r="B4484" s="14">
        <f t="shared" si="1"/>
        <v>0.1016081594</v>
      </c>
      <c r="C4484" s="39">
        <f t="array" ref="C4484">NPV(B4484,FCFF!$C$9:$I$9)+FCFF!$B$9+FCFF!$I$9*(1+Inputs!$B$6)/(B4484-Inputs!$B$6)/(1+B4484)^7</f>
        <v>-1428.194532</v>
      </c>
    </row>
    <row r="4485" ht="14.25" customHeight="1">
      <c r="A4485" s="7">
        <v>4472.0</v>
      </c>
      <c r="B4485" s="14">
        <f t="shared" si="1"/>
        <v>0.1064803663</v>
      </c>
      <c r="C4485" s="39">
        <f t="array" ref="C4485">NPV(B4485,FCFF!$C$9:$I$9)+FCFF!$B$9+FCFF!$I$9*(1+Inputs!$B$6)/(B4485-Inputs!$B$6)/(1+B4485)^7</f>
        <v>-1551.450651</v>
      </c>
    </row>
    <row r="4486" ht="14.25" customHeight="1">
      <c r="A4486" s="7">
        <v>4473.0</v>
      </c>
      <c r="B4486" s="14">
        <f t="shared" si="1"/>
        <v>0.09470029833</v>
      </c>
      <c r="C4486" s="39">
        <f t="array" ref="C4486">NPV(B4486,FCFF!$C$9:$I$9)+FCFF!$B$9+FCFF!$I$9*(1+Inputs!$B$6)/(B4486-Inputs!$B$6)/(1+B4486)^7</f>
        <v>-1221.327539</v>
      </c>
    </row>
    <row r="4487" ht="14.25" customHeight="1">
      <c r="A4487" s="7">
        <v>4474.0</v>
      </c>
      <c r="B4487" s="14">
        <f t="shared" si="1"/>
        <v>0.1235486192</v>
      </c>
      <c r="C4487" s="39">
        <f t="array" ref="C4487">NPV(B4487,FCFF!$C$9:$I$9)+FCFF!$B$9+FCFF!$I$9*(1+Inputs!$B$6)/(B4487-Inputs!$B$6)/(1+B4487)^7</f>
        <v>-1879.159853</v>
      </c>
    </row>
    <row r="4488" ht="14.25" customHeight="1">
      <c r="A4488" s="7">
        <v>4475.0</v>
      </c>
      <c r="B4488" s="14">
        <f t="shared" si="1"/>
        <v>0.1057607782</v>
      </c>
      <c r="C4488" s="39">
        <f t="array" ref="C4488">NPV(B4488,FCFF!$C$9:$I$9)+FCFF!$B$9+FCFF!$I$9*(1+Inputs!$B$6)/(B4488-Inputs!$B$6)/(1+B4488)^7</f>
        <v>-1534.262682</v>
      </c>
    </row>
    <row r="4489" ht="14.25" customHeight="1">
      <c r="A4489" s="7">
        <v>4476.0</v>
      </c>
      <c r="B4489" s="14">
        <f t="shared" si="1"/>
        <v>0.09327385724</v>
      </c>
      <c r="C4489" s="39">
        <f t="array" ref="C4489">NPV(B4489,FCFF!$C$9:$I$9)+FCFF!$B$9+FCFF!$I$9*(1+Inputs!$B$6)/(B4489-Inputs!$B$6)/(1+B4489)^7</f>
        <v>-1173.001625</v>
      </c>
    </row>
    <row r="4490" ht="14.25" customHeight="1">
      <c r="A4490" s="7">
        <v>4477.0</v>
      </c>
      <c r="B4490" s="14">
        <f t="shared" si="1"/>
        <v>0.09575034293</v>
      </c>
      <c r="C4490" s="39">
        <f t="array" ref="C4490">NPV(B4490,FCFF!$C$9:$I$9)+FCFF!$B$9+FCFF!$I$9*(1+Inputs!$B$6)/(B4490-Inputs!$B$6)/(1+B4490)^7</f>
        <v>-1255.572276</v>
      </c>
    </row>
    <row r="4491" ht="14.25" customHeight="1">
      <c r="A4491" s="7">
        <v>4478.0</v>
      </c>
      <c r="B4491" s="14">
        <f t="shared" si="1"/>
        <v>0.1002364405</v>
      </c>
      <c r="C4491" s="39">
        <f t="array" ref="C4491">NPV(B4491,FCFF!$C$9:$I$9)+FCFF!$B$9+FCFF!$I$9*(1+Inputs!$B$6)/(B4491-Inputs!$B$6)/(1+B4491)^7</f>
        <v>-1390.364422</v>
      </c>
    </row>
    <row r="4492" ht="14.25" customHeight="1">
      <c r="A4492" s="7">
        <v>4479.0</v>
      </c>
      <c r="B4492" s="14">
        <f t="shared" si="1"/>
        <v>0.1079392454</v>
      </c>
      <c r="C4492" s="39">
        <f t="array" ref="C4492">NPV(B4492,FCFF!$C$9:$I$9)+FCFF!$B$9+FCFF!$I$9*(1+Inputs!$B$6)/(B4492-Inputs!$B$6)/(1+B4492)^7</f>
        <v>-1585.300071</v>
      </c>
    </row>
    <row r="4493" ht="14.25" customHeight="1">
      <c r="A4493" s="7">
        <v>4480.0</v>
      </c>
      <c r="B4493" s="14">
        <f t="shared" si="1"/>
        <v>0.1080419193</v>
      </c>
      <c r="C4493" s="39">
        <f t="array" ref="C4493">NPV(B4493,FCFF!$C$9:$I$9)+FCFF!$B$9+FCFF!$I$9*(1+Inputs!$B$6)/(B4493-Inputs!$B$6)/(1+B4493)^7</f>
        <v>-1587.633441</v>
      </c>
    </row>
    <row r="4494" ht="14.25" customHeight="1">
      <c r="A4494" s="7">
        <v>4481.0</v>
      </c>
      <c r="B4494" s="14">
        <f t="shared" si="1"/>
        <v>0.1135856688</v>
      </c>
      <c r="C4494" s="39">
        <f t="array" ref="C4494">NPV(B4494,FCFF!$C$9:$I$9)+FCFF!$B$9+FCFF!$I$9*(1+Inputs!$B$6)/(B4494-Inputs!$B$6)/(1+B4494)^7</f>
        <v>-1704.848815</v>
      </c>
    </row>
    <row r="4495" ht="14.25" customHeight="1">
      <c r="A4495" s="7">
        <v>4482.0</v>
      </c>
      <c r="B4495" s="14">
        <f t="shared" si="1"/>
        <v>0.1303427945</v>
      </c>
      <c r="C4495" s="39">
        <f t="array" ref="C4495">NPV(B4495,FCFF!$C$9:$I$9)+FCFF!$B$9+FCFF!$I$9*(1+Inputs!$B$6)/(B4495-Inputs!$B$6)/(1+B4495)^7</f>
        <v>-1977.007458</v>
      </c>
    </row>
    <row r="4496" ht="14.25" customHeight="1">
      <c r="A4496" s="7">
        <v>4483.0</v>
      </c>
      <c r="B4496" s="14">
        <f t="shared" si="1"/>
        <v>0.0998455994</v>
      </c>
      <c r="C4496" s="39">
        <f t="array" ref="C4496">NPV(B4496,FCFF!$C$9:$I$9)+FCFF!$B$9+FCFF!$I$9*(1+Inputs!$B$6)/(B4496-Inputs!$B$6)/(1+B4496)^7</f>
        <v>-1379.311367</v>
      </c>
    </row>
    <row r="4497" ht="14.25" customHeight="1">
      <c r="A4497" s="7">
        <v>4484.0</v>
      </c>
      <c r="B4497" s="14">
        <f t="shared" si="1"/>
        <v>0.097458098</v>
      </c>
      <c r="C4497" s="39">
        <f t="array" ref="C4497">NPV(B4497,FCFF!$C$9:$I$9)+FCFF!$B$9+FCFF!$I$9*(1+Inputs!$B$6)/(B4497-Inputs!$B$6)/(1+B4497)^7</f>
        <v>-1308.999282</v>
      </c>
    </row>
    <row r="4498" ht="14.25" customHeight="1">
      <c r="A4498" s="7">
        <v>4485.0</v>
      </c>
      <c r="B4498" s="14">
        <f t="shared" si="1"/>
        <v>0.1046316968</v>
      </c>
      <c r="C4498" s="39">
        <f t="array" ref="C4498">NPV(B4498,FCFF!$C$9:$I$9)+FCFF!$B$9+FCFF!$I$9*(1+Inputs!$B$6)/(B4498-Inputs!$B$6)/(1+B4498)^7</f>
        <v>-1506.611179</v>
      </c>
    </row>
    <row r="4499" ht="14.25" customHeight="1">
      <c r="A4499" s="7">
        <v>4486.0</v>
      </c>
      <c r="B4499" s="14">
        <f t="shared" si="1"/>
        <v>0.1108114609</v>
      </c>
      <c r="C4499" s="39">
        <f t="array" ref="C4499">NPV(B4499,FCFF!$C$9:$I$9)+FCFF!$B$9+FCFF!$I$9*(1+Inputs!$B$6)/(B4499-Inputs!$B$6)/(1+B4499)^7</f>
        <v>-1648.271859</v>
      </c>
    </row>
    <row r="4500" ht="14.25" customHeight="1">
      <c r="A4500" s="7">
        <v>4487.0</v>
      </c>
      <c r="B4500" s="14">
        <f t="shared" si="1"/>
        <v>0.1064780811</v>
      </c>
      <c r="C4500" s="39">
        <f t="array" ref="C4500">NPV(B4500,FCFF!$C$9:$I$9)+FCFF!$B$9+FCFF!$I$9*(1+Inputs!$B$6)/(B4500-Inputs!$B$6)/(1+B4500)^7</f>
        <v>-1551.396592</v>
      </c>
    </row>
    <row r="4501" ht="14.25" customHeight="1">
      <c r="A4501" s="7">
        <v>4488.0</v>
      </c>
      <c r="B4501" s="14">
        <f t="shared" si="1"/>
        <v>0.1168719696</v>
      </c>
      <c r="C4501" s="39">
        <f t="array" ref="C4501">NPV(B4501,FCFF!$C$9:$I$9)+FCFF!$B$9+FCFF!$I$9*(1+Inputs!$B$6)/(B4501-Inputs!$B$6)/(1+B4501)^7</f>
        <v>-1767.003069</v>
      </c>
    </row>
    <row r="4502" ht="14.25" customHeight="1">
      <c r="A4502" s="7">
        <v>4489.0</v>
      </c>
      <c r="B4502" s="14">
        <f t="shared" si="1"/>
        <v>0.1081046848</v>
      </c>
      <c r="C4502" s="39">
        <f t="array" ref="C4502">NPV(B4502,FCFF!$C$9:$I$9)+FCFF!$B$9+FCFF!$I$9*(1+Inputs!$B$6)/(B4502-Inputs!$B$6)/(1+B4502)^7</f>
        <v>-1589.056749</v>
      </c>
    </row>
    <row r="4503" ht="14.25" customHeight="1">
      <c r="A4503" s="7">
        <v>4490.0</v>
      </c>
      <c r="B4503" s="14">
        <f t="shared" si="1"/>
        <v>0.1192189365</v>
      </c>
      <c r="C4503" s="39">
        <f t="array" ref="C4503">NPV(B4503,FCFF!$C$9:$I$9)+FCFF!$B$9+FCFF!$I$9*(1+Inputs!$B$6)/(B4503-Inputs!$B$6)/(1+B4503)^7</f>
        <v>-1808.453987</v>
      </c>
    </row>
    <row r="4504" ht="14.25" customHeight="1">
      <c r="A4504" s="7">
        <v>4491.0</v>
      </c>
      <c r="B4504" s="14">
        <f t="shared" si="1"/>
        <v>0.1189417899</v>
      </c>
      <c r="C4504" s="39">
        <f t="array" ref="C4504">NPV(B4504,FCFF!$C$9:$I$9)+FCFF!$B$9+FCFF!$I$9*(1+Inputs!$B$6)/(B4504-Inputs!$B$6)/(1+B4504)^7</f>
        <v>-1803.679235</v>
      </c>
    </row>
    <row r="4505" ht="14.25" customHeight="1">
      <c r="A4505" s="7">
        <v>4492.0</v>
      </c>
      <c r="B4505" s="14">
        <f t="shared" si="1"/>
        <v>0.1082069345</v>
      </c>
      <c r="C4505" s="39">
        <f t="array" ref="C4505">NPV(B4505,FCFF!$C$9:$I$9)+FCFF!$B$9+FCFF!$I$9*(1+Inputs!$B$6)/(B4505-Inputs!$B$6)/(1+B4505)^7</f>
        <v>-1591.370393</v>
      </c>
    </row>
    <row r="4506" ht="14.25" customHeight="1">
      <c r="A4506" s="7">
        <v>4493.0</v>
      </c>
      <c r="B4506" s="14">
        <f t="shared" si="1"/>
        <v>0.1211302215</v>
      </c>
      <c r="C4506" s="39">
        <f t="array" ref="C4506">NPV(B4506,FCFF!$C$9:$I$9)+FCFF!$B$9+FCFF!$I$9*(1+Inputs!$B$6)/(B4506-Inputs!$B$6)/(1+B4506)^7</f>
        <v>-1840.54609</v>
      </c>
    </row>
    <row r="4507" ht="14.25" customHeight="1">
      <c r="A4507" s="7">
        <v>4494.0</v>
      </c>
      <c r="B4507" s="14">
        <f t="shared" si="1"/>
        <v>0.1220515016</v>
      </c>
      <c r="C4507" s="39">
        <f t="array" ref="C4507">NPV(B4507,FCFF!$C$9:$I$9)+FCFF!$B$9+FCFF!$I$9*(1+Inputs!$B$6)/(B4507-Inputs!$B$6)/(1+B4507)^7</f>
        <v>-1855.510609</v>
      </c>
    </row>
    <row r="4508" ht="14.25" customHeight="1">
      <c r="A4508" s="7">
        <v>4495.0</v>
      </c>
      <c r="B4508" s="14">
        <f t="shared" si="1"/>
        <v>0.1103384488</v>
      </c>
      <c r="C4508" s="39">
        <f t="array" ref="C4508">NPV(B4508,FCFF!$C$9:$I$9)+FCFF!$B$9+FCFF!$I$9*(1+Inputs!$B$6)/(B4508-Inputs!$B$6)/(1+B4508)^7</f>
        <v>-1638.220815</v>
      </c>
    </row>
    <row r="4509" ht="14.25" customHeight="1">
      <c r="A4509" s="7">
        <v>4496.0</v>
      </c>
      <c r="B4509" s="14">
        <f t="shared" si="1"/>
        <v>0.1236840025</v>
      </c>
      <c r="C4509" s="39">
        <f t="array" ref="C4509">NPV(B4509,FCFF!$C$9:$I$9)+FCFF!$B$9+FCFF!$I$9*(1+Inputs!$B$6)/(B4509-Inputs!$B$6)/(1+B4509)^7</f>
        <v>-1881.258696</v>
      </c>
    </row>
    <row r="4510" ht="14.25" customHeight="1">
      <c r="A4510" s="7">
        <v>4497.0</v>
      </c>
      <c r="B4510" s="14">
        <f t="shared" si="1"/>
        <v>0.1001421172</v>
      </c>
      <c r="C4510" s="39">
        <f t="array" ref="C4510">NPV(B4510,FCFF!$C$9:$I$9)+FCFF!$B$9+FCFF!$I$9*(1+Inputs!$B$6)/(B4510-Inputs!$B$6)/(1+B4510)^7</f>
        <v>-1387.708294</v>
      </c>
    </row>
    <row r="4511" ht="14.25" customHeight="1">
      <c r="A4511" s="7">
        <v>4498.0</v>
      </c>
      <c r="B4511" s="14">
        <f t="shared" si="1"/>
        <v>0.1002566501</v>
      </c>
      <c r="C4511" s="39">
        <f t="array" ref="C4511">NPV(B4511,FCFF!$C$9:$I$9)+FCFF!$B$9+FCFF!$I$9*(1+Inputs!$B$6)/(B4511-Inputs!$B$6)/(1+B4511)^7</f>
        <v>-1390.932586</v>
      </c>
    </row>
    <row r="4512" ht="14.25" customHeight="1">
      <c r="A4512" s="7">
        <v>4499.0</v>
      </c>
      <c r="B4512" s="14">
        <f t="shared" si="1"/>
        <v>0.1278273195</v>
      </c>
      <c r="C4512" s="39">
        <f t="array" ref="C4512">NPV(B4512,FCFF!$C$9:$I$9)+FCFF!$B$9+FCFF!$I$9*(1+Inputs!$B$6)/(B4512-Inputs!$B$6)/(1+B4512)^7</f>
        <v>-1942.487153</v>
      </c>
    </row>
    <row r="4513" ht="14.25" customHeight="1">
      <c r="A4513" s="7">
        <v>4500.0</v>
      </c>
      <c r="B4513" s="14">
        <f t="shared" si="1"/>
        <v>0.10566089</v>
      </c>
      <c r="C4513" s="39">
        <f t="array" ref="C4513">NPV(B4513,FCFF!$C$9:$I$9)+FCFF!$B$9+FCFF!$I$9*(1+Inputs!$B$6)/(B4513-Inputs!$B$6)/(1+B4513)^7</f>
        <v>-1531.850352</v>
      </c>
    </row>
    <row r="4514" ht="14.25" customHeight="1">
      <c r="A4514" s="7">
        <v>4501.0</v>
      </c>
      <c r="B4514" s="14">
        <f t="shared" si="1"/>
        <v>0.1295639006</v>
      </c>
      <c r="C4514" s="39">
        <f t="array" ref="C4514">NPV(B4514,FCFF!$C$9:$I$9)+FCFF!$B$9+FCFF!$I$9*(1+Inputs!$B$6)/(B4514-Inputs!$B$6)/(1+B4514)^7</f>
        <v>-1966.520445</v>
      </c>
    </row>
    <row r="4515" ht="14.25" customHeight="1">
      <c r="A4515" s="7">
        <v>4502.0</v>
      </c>
      <c r="B4515" s="14">
        <f t="shared" si="1"/>
        <v>0.1029245932</v>
      </c>
      <c r="C4515" s="39">
        <f t="array" ref="C4515">NPV(B4515,FCFF!$C$9:$I$9)+FCFF!$B$9+FCFF!$I$9*(1+Inputs!$B$6)/(B4515-Inputs!$B$6)/(1+B4515)^7</f>
        <v>-1463.147636</v>
      </c>
    </row>
    <row r="4516" ht="14.25" customHeight="1">
      <c r="A4516" s="7">
        <v>4503.0</v>
      </c>
      <c r="B4516" s="14">
        <f t="shared" si="1"/>
        <v>0.1313321196</v>
      </c>
      <c r="C4516" s="39">
        <f t="array" ref="C4516">NPV(B4516,FCFF!$C$9:$I$9)+FCFF!$B$9+FCFF!$I$9*(1+Inputs!$B$6)/(B4516-Inputs!$B$6)/(1+B4516)^7</f>
        <v>-1990.075418</v>
      </c>
    </row>
    <row r="4517" ht="14.25" customHeight="1">
      <c r="A4517" s="7">
        <v>4504.0</v>
      </c>
      <c r="B4517" s="14">
        <f t="shared" si="1"/>
        <v>0.1180710321</v>
      </c>
      <c r="C4517" s="39">
        <f t="array" ref="C4517">NPV(B4517,FCFF!$C$9:$I$9)+FCFF!$B$9+FCFF!$I$9*(1+Inputs!$B$6)/(B4517-Inputs!$B$6)/(1+B4517)^7</f>
        <v>-1788.471128</v>
      </c>
    </row>
    <row r="4518" ht="14.25" customHeight="1">
      <c r="A4518" s="7">
        <v>4505.0</v>
      </c>
      <c r="B4518" s="14">
        <f t="shared" si="1"/>
        <v>0.1042829192</v>
      </c>
      <c r="C4518" s="39">
        <f t="array" ref="C4518">NPV(B4518,FCFF!$C$9:$I$9)+FCFF!$B$9+FCFF!$I$9*(1+Inputs!$B$6)/(B4518-Inputs!$B$6)/(1+B4518)^7</f>
        <v>-1497.896267</v>
      </c>
    </row>
    <row r="4519" ht="14.25" customHeight="1">
      <c r="A4519" s="7">
        <v>4506.0</v>
      </c>
      <c r="B4519" s="14">
        <f t="shared" si="1"/>
        <v>0.1182758629</v>
      </c>
      <c r="C4519" s="39">
        <f t="array" ref="C4519">NPV(B4519,FCFF!$C$9:$I$9)+FCFF!$B$9+FCFF!$I$9*(1+Inputs!$B$6)/(B4519-Inputs!$B$6)/(1+B4519)^7</f>
        <v>-1792.077038</v>
      </c>
    </row>
    <row r="4520" ht="14.25" customHeight="1">
      <c r="A4520" s="7">
        <v>4507.0</v>
      </c>
      <c r="B4520" s="14">
        <f t="shared" si="1"/>
        <v>0.1130016128</v>
      </c>
      <c r="C4520" s="39">
        <f t="array" ref="C4520">NPV(B4520,FCFF!$C$9:$I$9)+FCFF!$B$9+FCFF!$I$9*(1+Inputs!$B$6)/(B4520-Inputs!$B$6)/(1+B4520)^7</f>
        <v>-1693.264132</v>
      </c>
    </row>
    <row r="4521" ht="14.25" customHeight="1">
      <c r="A4521" s="7">
        <v>4508.0</v>
      </c>
      <c r="B4521" s="14">
        <f t="shared" si="1"/>
        <v>0.1063924525</v>
      </c>
      <c r="C4521" s="39">
        <f t="array" ref="C4521">NPV(B4521,FCFF!$C$9:$I$9)+FCFF!$B$9+FCFF!$I$9*(1+Inputs!$B$6)/(B4521-Inputs!$B$6)/(1+B4521)^7</f>
        <v>-1549.368515</v>
      </c>
    </row>
    <row r="4522" ht="14.25" customHeight="1">
      <c r="A4522" s="7">
        <v>4509.0</v>
      </c>
      <c r="B4522" s="14">
        <f t="shared" si="1"/>
        <v>0.1041848815</v>
      </c>
      <c r="C4522" s="39">
        <f t="array" ref="C4522">NPV(B4522,FCFF!$C$9:$I$9)+FCFF!$B$9+FCFF!$I$9*(1+Inputs!$B$6)/(B4522-Inputs!$B$6)/(1+B4522)^7</f>
        <v>-1495.431578</v>
      </c>
    </row>
    <row r="4523" ht="14.25" customHeight="1">
      <c r="A4523" s="7">
        <v>4510.0</v>
      </c>
      <c r="B4523" s="14">
        <f t="shared" si="1"/>
        <v>0.1257013518</v>
      </c>
      <c r="C4523" s="39">
        <f t="array" ref="C4523">NPV(B4523,FCFF!$C$9:$I$9)+FCFF!$B$9+FCFF!$I$9*(1+Inputs!$B$6)/(B4523-Inputs!$B$6)/(1+B4523)^7</f>
        <v>-1911.781527</v>
      </c>
    </row>
    <row r="4524" ht="14.25" customHeight="1">
      <c r="A4524" s="7">
        <v>4511.0</v>
      </c>
      <c r="B4524" s="14">
        <f t="shared" si="1"/>
        <v>0.1214143475</v>
      </c>
      <c r="C4524" s="39">
        <f t="array" ref="C4524">NPV(B4524,FCFF!$C$9:$I$9)+FCFF!$B$9+FCFF!$I$9*(1+Inputs!$B$6)/(B4524-Inputs!$B$6)/(1+B4524)^7</f>
        <v>-1845.195391</v>
      </c>
    </row>
    <row r="4525" ht="14.25" customHeight="1">
      <c r="A4525" s="7">
        <v>4512.0</v>
      </c>
      <c r="B4525" s="14">
        <f t="shared" si="1"/>
        <v>0.1207717263</v>
      </c>
      <c r="C4525" s="39">
        <f t="array" ref="C4525">NPV(B4525,FCFF!$C$9:$I$9)+FCFF!$B$9+FCFF!$I$9*(1+Inputs!$B$6)/(B4525-Inputs!$B$6)/(1+B4525)^7</f>
        <v>-1834.635747</v>
      </c>
    </row>
    <row r="4526" ht="14.25" customHeight="1">
      <c r="A4526" s="7">
        <v>4513.0</v>
      </c>
      <c r="B4526" s="14">
        <f t="shared" si="1"/>
        <v>0.1170244561</v>
      </c>
      <c r="C4526" s="39">
        <f t="array" ref="C4526">NPV(B4526,FCFF!$C$9:$I$9)+FCFF!$B$9+FCFF!$I$9*(1+Inputs!$B$6)/(B4526-Inputs!$B$6)/(1+B4526)^7</f>
        <v>-1769.767732</v>
      </c>
    </row>
    <row r="4527" ht="14.25" customHeight="1">
      <c r="A4527" s="7">
        <v>4514.0</v>
      </c>
      <c r="B4527" s="14">
        <f t="shared" si="1"/>
        <v>0.1034214359</v>
      </c>
      <c r="C4527" s="39">
        <f t="array" ref="C4527">NPV(B4527,FCFF!$C$9:$I$9)+FCFF!$B$9+FCFF!$I$9*(1+Inputs!$B$6)/(B4527-Inputs!$B$6)/(1+B4527)^7</f>
        <v>-1476.009342</v>
      </c>
    </row>
    <row r="4528" ht="14.25" customHeight="1">
      <c r="A4528" s="7">
        <v>4515.0</v>
      </c>
      <c r="B4528" s="14">
        <f t="shared" si="1"/>
        <v>0.1306508296</v>
      </c>
      <c r="C4528" s="39">
        <f t="array" ref="C4528">NPV(B4528,FCFF!$C$9:$I$9)+FCFF!$B$9+FCFF!$I$9*(1+Inputs!$B$6)/(B4528-Inputs!$B$6)/(1+B4528)^7</f>
        <v>-1981.10623</v>
      </c>
    </row>
    <row r="4529" ht="14.25" customHeight="1">
      <c r="A4529" s="7">
        <v>4516.0</v>
      </c>
      <c r="B4529" s="14">
        <f t="shared" si="1"/>
        <v>0.110873608</v>
      </c>
      <c r="C4529" s="39">
        <f t="array" ref="C4529">NPV(B4529,FCFF!$C$9:$I$9)+FCFF!$B$9+FCFF!$I$9*(1+Inputs!$B$6)/(B4529-Inputs!$B$6)/(1+B4529)^7</f>
        <v>-1649.583385</v>
      </c>
    </row>
    <row r="4530" ht="14.25" customHeight="1">
      <c r="A4530" s="7">
        <v>4517.0</v>
      </c>
      <c r="B4530" s="14">
        <f t="shared" si="1"/>
        <v>0.1301653898</v>
      </c>
      <c r="C4530" s="39">
        <f t="array" ref="C4530">NPV(B4530,FCFF!$C$9:$I$9)+FCFF!$B$9+FCFF!$I$9*(1+Inputs!$B$6)/(B4530-Inputs!$B$6)/(1+B4530)^7</f>
        <v>-1974.634448</v>
      </c>
    </row>
    <row r="4531" ht="14.25" customHeight="1">
      <c r="A4531" s="7">
        <v>4518.0</v>
      </c>
      <c r="B4531" s="14">
        <f t="shared" si="1"/>
        <v>0.1134011557</v>
      </c>
      <c r="C4531" s="39">
        <f t="array" ref="C4531">NPV(B4531,FCFF!$C$9:$I$9)+FCFF!$B$9+FCFF!$I$9*(1+Inputs!$B$6)/(B4531-Inputs!$B$6)/(1+B4531)^7</f>
        <v>-1701.207276</v>
      </c>
    </row>
    <row r="4532" ht="14.25" customHeight="1">
      <c r="A4532" s="7">
        <v>4519.0</v>
      </c>
      <c r="B4532" s="14">
        <f t="shared" si="1"/>
        <v>0.1167392439</v>
      </c>
      <c r="C4532" s="39">
        <f t="array" ref="C4532">NPV(B4532,FCFF!$C$9:$I$9)+FCFF!$B$9+FCFF!$I$9*(1+Inputs!$B$6)/(B4532-Inputs!$B$6)/(1+B4532)^7</f>
        <v>-1764.588367</v>
      </c>
    </row>
    <row r="4533" ht="14.25" customHeight="1">
      <c r="A4533" s="7">
        <v>4520.0</v>
      </c>
      <c r="B4533" s="14">
        <f t="shared" si="1"/>
        <v>0.1312221699</v>
      </c>
      <c r="C4533" s="39">
        <f t="array" ref="C4533">NPV(B4533,FCFF!$C$9:$I$9)+FCFF!$B$9+FCFF!$I$9*(1+Inputs!$B$6)/(B4533-Inputs!$B$6)/(1+B4533)^7</f>
        <v>-1988.636817</v>
      </c>
    </row>
    <row r="4534" ht="14.25" customHeight="1">
      <c r="A4534" s="7">
        <v>4521.0</v>
      </c>
      <c r="B4534" s="14">
        <f t="shared" si="1"/>
        <v>0.1022314052</v>
      </c>
      <c r="C4534" s="39">
        <f t="array" ref="C4534">NPV(B4534,FCFF!$C$9:$I$9)+FCFF!$B$9+FCFF!$I$9*(1+Inputs!$B$6)/(B4534-Inputs!$B$6)/(1+B4534)^7</f>
        <v>-1444.903337</v>
      </c>
    </row>
    <row r="4535" ht="14.25" customHeight="1">
      <c r="A4535" s="7">
        <v>4522.0</v>
      </c>
      <c r="B4535" s="14">
        <f t="shared" si="1"/>
        <v>0.1084787165</v>
      </c>
      <c r="C4535" s="39">
        <f t="array" ref="C4535">NPV(B4535,FCFF!$C$9:$I$9)+FCFF!$B$9+FCFF!$I$9*(1+Inputs!$B$6)/(B4535-Inputs!$B$6)/(1+B4535)^7</f>
        <v>-1597.489979</v>
      </c>
    </row>
    <row r="4536" ht="14.25" customHeight="1">
      <c r="A4536" s="7">
        <v>4523.0</v>
      </c>
      <c r="B4536" s="14">
        <f t="shared" si="1"/>
        <v>0.1126136325</v>
      </c>
      <c r="C4536" s="39">
        <f t="array" ref="C4536">NPV(B4536,FCFF!$C$9:$I$9)+FCFF!$B$9+FCFF!$I$9*(1+Inputs!$B$6)/(B4536-Inputs!$B$6)/(1+B4536)^7</f>
        <v>-1685.474338</v>
      </c>
    </row>
    <row r="4537" ht="14.25" customHeight="1">
      <c r="A4537" s="7">
        <v>4524.0</v>
      </c>
      <c r="B4537" s="14">
        <f t="shared" si="1"/>
        <v>0.1222446541</v>
      </c>
      <c r="C4537" s="39">
        <f t="array" ref="C4537">NPV(B4537,FCFF!$C$9:$I$9)+FCFF!$B$9+FCFF!$I$9*(1+Inputs!$B$6)/(B4537-Inputs!$B$6)/(1+B4537)^7</f>
        <v>-1858.60772</v>
      </c>
    </row>
    <row r="4538" ht="14.25" customHeight="1">
      <c r="A4538" s="7">
        <v>4525.0</v>
      </c>
      <c r="B4538" s="14">
        <f t="shared" si="1"/>
        <v>0.102466932</v>
      </c>
      <c r="C4538" s="39">
        <f t="array" ref="C4538">NPV(B4538,FCFF!$C$9:$I$9)+FCFF!$B$9+FCFF!$I$9*(1+Inputs!$B$6)/(B4538-Inputs!$B$6)/(1+B4538)^7</f>
        <v>-1451.14193</v>
      </c>
    </row>
    <row r="4539" ht="14.25" customHeight="1">
      <c r="A4539" s="7">
        <v>4526.0</v>
      </c>
      <c r="B4539" s="14">
        <f t="shared" si="1"/>
        <v>0.126234901</v>
      </c>
      <c r="C4539" s="39">
        <f t="array" ref="C4539">NPV(B4539,FCFF!$C$9:$I$9)+FCFF!$B$9+FCFF!$I$9*(1+Inputs!$B$6)/(B4539-Inputs!$B$6)/(1+B4539)^7</f>
        <v>-1919.624906</v>
      </c>
    </row>
    <row r="4540" ht="14.25" customHeight="1">
      <c r="A4540" s="7">
        <v>4527.0</v>
      </c>
      <c r="B4540" s="14">
        <f t="shared" si="1"/>
        <v>0.1276062552</v>
      </c>
      <c r="C4540" s="39">
        <f t="array" ref="C4540">NPV(B4540,FCFF!$C$9:$I$9)+FCFF!$B$9+FCFF!$I$9*(1+Inputs!$B$6)/(B4540-Inputs!$B$6)/(1+B4540)^7</f>
        <v>-1939.361394</v>
      </c>
    </row>
    <row r="4541" ht="14.25" customHeight="1">
      <c r="A4541" s="7">
        <v>4528.0</v>
      </c>
      <c r="B4541" s="14">
        <f t="shared" si="1"/>
        <v>0.1149245234</v>
      </c>
      <c r="C4541" s="39">
        <f t="array" ref="C4541">NPV(B4541,FCFF!$C$9:$I$9)+FCFF!$B$9+FCFF!$I$9*(1+Inputs!$B$6)/(B4541-Inputs!$B$6)/(1+B4541)^7</f>
        <v>-1730.778217</v>
      </c>
    </row>
    <row r="4542" ht="14.25" customHeight="1">
      <c r="A4542" s="7">
        <v>4529.0</v>
      </c>
      <c r="B4542" s="14">
        <f t="shared" si="1"/>
        <v>0.1286145859</v>
      </c>
      <c r="C4542" s="39">
        <f t="array" ref="C4542">NPV(B4542,FCFF!$C$9:$I$9)+FCFF!$B$9+FCFF!$I$9*(1+Inputs!$B$6)/(B4542-Inputs!$B$6)/(1+B4542)^7</f>
        <v>-1953.495922</v>
      </c>
    </row>
    <row r="4543" ht="14.25" customHeight="1">
      <c r="A4543" s="7">
        <v>4530.0</v>
      </c>
      <c r="B4543" s="14">
        <f t="shared" si="1"/>
        <v>0.1299513064</v>
      </c>
      <c r="C4543" s="39">
        <f t="array" ref="C4543">NPV(B4543,FCFF!$C$9:$I$9)+FCFF!$B$9+FCFF!$I$9*(1+Inputs!$B$6)/(B4543-Inputs!$B$6)/(1+B4543)^7</f>
        <v>-1971.758637</v>
      </c>
    </row>
    <row r="4544" ht="14.25" customHeight="1">
      <c r="A4544" s="7">
        <v>4531.0</v>
      </c>
      <c r="B4544" s="14">
        <f t="shared" si="1"/>
        <v>0.1186286896</v>
      </c>
      <c r="C4544" s="39">
        <f t="array" ref="C4544">NPV(B4544,FCFF!$C$9:$I$9)+FCFF!$B$9+FCFF!$I$9*(1+Inputs!$B$6)/(B4544-Inputs!$B$6)/(1+B4544)^7</f>
        <v>-1798.24712</v>
      </c>
    </row>
    <row r="4545" ht="14.25" customHeight="1">
      <c r="A4545" s="7">
        <v>4532.0</v>
      </c>
      <c r="B4545" s="14">
        <f t="shared" si="1"/>
        <v>0.1059155182</v>
      </c>
      <c r="C4545" s="39">
        <f t="array" ref="C4545">NPV(B4545,FCFF!$C$9:$I$9)+FCFF!$B$9+FCFF!$I$9*(1+Inputs!$B$6)/(B4545-Inputs!$B$6)/(1+B4545)^7</f>
        <v>-1537.986897</v>
      </c>
    </row>
    <row r="4546" ht="14.25" customHeight="1">
      <c r="A4546" s="7">
        <v>4533.0</v>
      </c>
      <c r="B4546" s="14">
        <f t="shared" si="1"/>
        <v>0.1033740611</v>
      </c>
      <c r="C4546" s="39">
        <f t="array" ref="C4546">NPV(B4546,FCFF!$C$9:$I$9)+FCFF!$B$9+FCFF!$I$9*(1+Inputs!$B$6)/(B4546-Inputs!$B$6)/(1+B4546)^7</f>
        <v>-1474.790581</v>
      </c>
    </row>
    <row r="4547" ht="14.25" customHeight="1">
      <c r="A4547" s="7">
        <v>4534.0</v>
      </c>
      <c r="B4547" s="14">
        <f t="shared" si="1"/>
        <v>0.1290755903</v>
      </c>
      <c r="C4547" s="39">
        <f t="array" ref="C4547">NPV(B4547,FCFF!$C$9:$I$9)+FCFF!$B$9+FCFF!$I$9*(1+Inputs!$B$6)/(B4547-Inputs!$B$6)/(1+B4547)^7</f>
        <v>-1959.85462</v>
      </c>
    </row>
    <row r="4548" ht="14.25" customHeight="1">
      <c r="A4548" s="7">
        <v>4535.0</v>
      </c>
      <c r="B4548" s="14">
        <f t="shared" si="1"/>
        <v>0.1275790033</v>
      </c>
      <c r="C4548" s="39">
        <f t="array" ref="C4548">NPV(B4548,FCFF!$C$9:$I$9)+FCFF!$B$9+FCFF!$I$9*(1+Inputs!$B$6)/(B4548-Inputs!$B$6)/(1+B4548)^7</f>
        <v>-1938.975004</v>
      </c>
    </row>
    <row r="4549" ht="14.25" customHeight="1">
      <c r="A4549" s="7">
        <v>4536.0</v>
      </c>
      <c r="B4549" s="14">
        <f t="shared" si="1"/>
        <v>0.1251638319</v>
      </c>
      <c r="C4549" s="39">
        <f t="array" ref="C4549">NPV(B4549,FCFF!$C$9:$I$9)+FCFF!$B$9+FCFF!$I$9*(1+Inputs!$B$6)/(B4549-Inputs!$B$6)/(1+B4549)^7</f>
        <v>-1903.784241</v>
      </c>
    </row>
    <row r="4550" ht="14.25" customHeight="1">
      <c r="A4550" s="7">
        <v>4537.0</v>
      </c>
      <c r="B4550" s="14">
        <f t="shared" si="1"/>
        <v>0.1050149669</v>
      </c>
      <c r="C4550" s="39">
        <f t="array" ref="C4550">NPV(B4550,FCFF!$C$9:$I$9)+FCFF!$B$9+FCFF!$I$9*(1+Inputs!$B$6)/(B4550-Inputs!$B$6)/(1+B4550)^7</f>
        <v>-1516.092756</v>
      </c>
    </row>
    <row r="4551" ht="14.25" customHeight="1">
      <c r="A4551" s="7">
        <v>4538.0</v>
      </c>
      <c r="B4551" s="14">
        <f t="shared" si="1"/>
        <v>0.1199322881</v>
      </c>
      <c r="C4551" s="39">
        <f t="array" ref="C4551">NPV(B4551,FCFF!$C$9:$I$9)+FCFF!$B$9+FCFF!$I$9*(1+Inputs!$B$6)/(B4551-Inputs!$B$6)/(1+B4551)^7</f>
        <v>-1820.600753</v>
      </c>
    </row>
    <row r="4552" ht="14.25" customHeight="1">
      <c r="A4552" s="7">
        <v>4539.0</v>
      </c>
      <c r="B4552" s="14">
        <f t="shared" si="1"/>
        <v>0.09314517377</v>
      </c>
      <c r="C4552" s="39">
        <f t="array" ref="C4552">NPV(B4552,FCFF!$C$9:$I$9)+FCFF!$B$9+FCFF!$I$9*(1+Inputs!$B$6)/(B4552-Inputs!$B$6)/(1+B4552)^7</f>
        <v>-1168.535754</v>
      </c>
    </row>
    <row r="4553" ht="14.25" customHeight="1">
      <c r="A4553" s="7">
        <v>4540.0</v>
      </c>
      <c r="B4553" s="14">
        <f t="shared" si="1"/>
        <v>0.1295308578</v>
      </c>
      <c r="C4553" s="39">
        <f t="array" ref="C4553">NPV(B4553,FCFF!$C$9:$I$9)+FCFF!$B$9+FCFF!$I$9*(1+Inputs!$B$6)/(B4553-Inputs!$B$6)/(1+B4553)^7</f>
        <v>-1966.071619</v>
      </c>
    </row>
    <row r="4554" ht="14.25" customHeight="1">
      <c r="A4554" s="7">
        <v>4541.0</v>
      </c>
      <c r="B4554" s="14">
        <f t="shared" si="1"/>
        <v>0.1294739318</v>
      </c>
      <c r="C4554" s="39">
        <f t="array" ref="C4554">NPV(B4554,FCFF!$C$9:$I$9)+FCFF!$B$9+FCFF!$I$9*(1+Inputs!$B$6)/(B4554-Inputs!$B$6)/(1+B4554)^7</f>
        <v>-1965.297628</v>
      </c>
    </row>
    <row r="4555" ht="14.25" customHeight="1">
      <c r="A4555" s="7">
        <v>4542.0</v>
      </c>
      <c r="B4555" s="14">
        <f t="shared" si="1"/>
        <v>0.1119880034</v>
      </c>
      <c r="C4555" s="39">
        <f t="array" ref="C4555">NPV(B4555,FCFF!$C$9:$I$9)+FCFF!$B$9+FCFF!$I$9*(1+Inputs!$B$6)/(B4555-Inputs!$B$6)/(1+B4555)^7</f>
        <v>-1672.751635</v>
      </c>
    </row>
    <row r="4556" ht="14.25" customHeight="1">
      <c r="A4556" s="7">
        <v>4543.0</v>
      </c>
      <c r="B4556" s="14">
        <f t="shared" si="1"/>
        <v>0.1050577443</v>
      </c>
      <c r="C4556" s="39">
        <f t="array" ref="C4556">NPV(B4556,FCFF!$C$9:$I$9)+FCFF!$B$9+FCFF!$I$9*(1+Inputs!$B$6)/(B4556-Inputs!$B$6)/(1+B4556)^7</f>
        <v>-1517.144889</v>
      </c>
    </row>
    <row r="4557" ht="14.25" customHeight="1">
      <c r="A4557" s="7">
        <v>4544.0</v>
      </c>
      <c r="B4557" s="14">
        <f t="shared" si="1"/>
        <v>0.1036042201</v>
      </c>
      <c r="C4557" s="39">
        <f t="array" ref="C4557">NPV(B4557,FCFF!$C$9:$I$9)+FCFF!$B$9+FCFF!$I$9*(1+Inputs!$B$6)/(B4557-Inputs!$B$6)/(1+B4557)^7</f>
        <v>-1480.696699</v>
      </c>
    </row>
    <row r="4558" ht="14.25" customHeight="1">
      <c r="A4558" s="7">
        <v>4545.0</v>
      </c>
      <c r="B4558" s="14">
        <f t="shared" si="1"/>
        <v>0.1292740892</v>
      </c>
      <c r="C4558" s="39">
        <f t="array" ref="C4558">NPV(B4558,FCFF!$C$9:$I$9)+FCFF!$B$9+FCFF!$I$9*(1+Inputs!$B$6)/(B4558-Inputs!$B$6)/(1+B4558)^7</f>
        <v>-1962.572858</v>
      </c>
    </row>
    <row r="4559" ht="14.25" customHeight="1">
      <c r="A4559" s="7">
        <v>4546.0</v>
      </c>
      <c r="B4559" s="14">
        <f t="shared" si="1"/>
        <v>0.1258001529</v>
      </c>
      <c r="C4559" s="39">
        <f t="array" ref="C4559">NPV(B4559,FCFF!$C$9:$I$9)+FCFF!$B$9+FCFF!$I$9*(1+Inputs!$B$6)/(B4559-Inputs!$B$6)/(1+B4559)^7</f>
        <v>-1913.241023</v>
      </c>
    </row>
    <row r="4560" ht="14.25" customHeight="1">
      <c r="A4560" s="7">
        <v>4547.0</v>
      </c>
      <c r="B4560" s="14">
        <f t="shared" si="1"/>
        <v>0.1149774865</v>
      </c>
      <c r="C4560" s="39">
        <f t="array" ref="C4560">NPV(B4560,FCFF!$C$9:$I$9)+FCFF!$B$9+FCFF!$I$9*(1+Inputs!$B$6)/(B4560-Inputs!$B$6)/(1+B4560)^7</f>
        <v>-1731.786404</v>
      </c>
    </row>
    <row r="4561" ht="14.25" customHeight="1">
      <c r="A4561" s="7">
        <v>4548.0</v>
      </c>
      <c r="B4561" s="14">
        <f t="shared" si="1"/>
        <v>0.1328301757</v>
      </c>
      <c r="C4561" s="39">
        <f t="array" ref="C4561">NPV(B4561,FCFF!$C$9:$I$9)+FCFF!$B$9+FCFF!$I$9*(1+Inputs!$B$6)/(B4561-Inputs!$B$6)/(1+B4561)^7</f>
        <v>-2009.342448</v>
      </c>
    </row>
    <row r="4562" ht="14.25" customHeight="1">
      <c r="A4562" s="7">
        <v>4549.0</v>
      </c>
      <c r="B4562" s="14">
        <f t="shared" si="1"/>
        <v>0.1288629184</v>
      </c>
      <c r="C4562" s="39">
        <f t="array" ref="C4562">NPV(B4562,FCFF!$C$9:$I$9)+FCFF!$B$9+FCFF!$I$9*(1+Inputs!$B$6)/(B4562-Inputs!$B$6)/(1+B4562)^7</f>
        <v>-1956.929181</v>
      </c>
    </row>
    <row r="4563" ht="14.25" customHeight="1">
      <c r="A4563" s="7">
        <v>4550.0</v>
      </c>
      <c r="B4563" s="14">
        <f t="shared" si="1"/>
        <v>0.1258487006</v>
      </c>
      <c r="C4563" s="39">
        <f t="array" ref="C4563">NPV(B4563,FCFF!$C$9:$I$9)+FCFF!$B$9+FCFF!$I$9*(1+Inputs!$B$6)/(B4563-Inputs!$B$6)/(1+B4563)^7</f>
        <v>-1913.956989</v>
      </c>
    </row>
    <row r="4564" ht="14.25" customHeight="1">
      <c r="A4564" s="7">
        <v>4551.0</v>
      </c>
      <c r="B4564" s="14">
        <f t="shared" si="1"/>
        <v>0.1105866887</v>
      </c>
      <c r="C4564" s="39">
        <f t="array" ref="C4564">NPV(B4564,FCFF!$C$9:$I$9)+FCFF!$B$9+FCFF!$I$9*(1+Inputs!$B$6)/(B4564-Inputs!$B$6)/(1+B4564)^7</f>
        <v>-1643.510887</v>
      </c>
    </row>
    <row r="4565" ht="14.25" customHeight="1">
      <c r="A4565" s="7">
        <v>4552.0</v>
      </c>
      <c r="B4565" s="14">
        <f t="shared" si="1"/>
        <v>0.1142957367</v>
      </c>
      <c r="C4565" s="39">
        <f t="array" ref="C4565">NPV(B4565,FCFF!$C$9:$I$9)+FCFF!$B$9+FCFF!$I$9*(1+Inputs!$B$6)/(B4565-Inputs!$B$6)/(1+B4565)^7</f>
        <v>-1718.707667</v>
      </c>
    </row>
    <row r="4566" ht="14.25" customHeight="1">
      <c r="A4566" s="7">
        <v>4553.0</v>
      </c>
      <c r="B4566" s="14">
        <f t="shared" si="1"/>
        <v>0.116472177</v>
      </c>
      <c r="C4566" s="39">
        <f t="array" ref="C4566">NPV(B4566,FCFF!$C$9:$I$9)+FCFF!$B$9+FCFF!$I$9*(1+Inputs!$B$6)/(B4566-Inputs!$B$6)/(1+B4566)^7</f>
        <v>-1759.705976</v>
      </c>
    </row>
    <row r="4567" ht="14.25" customHeight="1">
      <c r="A4567" s="7">
        <v>4554.0</v>
      </c>
      <c r="B4567" s="14">
        <f t="shared" si="1"/>
        <v>0.1047706866</v>
      </c>
      <c r="C4567" s="39">
        <f t="array" ref="C4567">NPV(B4567,FCFF!$C$9:$I$9)+FCFF!$B$9+FCFF!$I$9*(1+Inputs!$B$6)/(B4567-Inputs!$B$6)/(1+B4567)^7</f>
        <v>-1510.061044</v>
      </c>
    </row>
    <row r="4568" ht="14.25" customHeight="1">
      <c r="A4568" s="7">
        <v>4555.0</v>
      </c>
      <c r="B4568" s="14">
        <f t="shared" si="1"/>
        <v>0.09808548368</v>
      </c>
      <c r="C4568" s="39">
        <f t="array" ref="C4568">NPV(B4568,FCFF!$C$9:$I$9)+FCFF!$B$9+FCFF!$I$9*(1+Inputs!$B$6)/(B4568-Inputs!$B$6)/(1+B4568)^7</f>
        <v>-1327.95464</v>
      </c>
    </row>
    <row r="4569" ht="14.25" customHeight="1">
      <c r="A4569" s="7">
        <v>4556.0</v>
      </c>
      <c r="B4569" s="14">
        <f t="shared" si="1"/>
        <v>0.1069342024</v>
      </c>
      <c r="C4569" s="39">
        <f t="array" ref="C4569">NPV(B4569,FCFF!$C$9:$I$9)+FCFF!$B$9+FCFF!$I$9*(1+Inputs!$B$6)/(B4569-Inputs!$B$6)/(1+B4569)^7</f>
        <v>-1562.121747</v>
      </c>
    </row>
    <row r="4570" ht="14.25" customHeight="1">
      <c r="A4570" s="7">
        <v>4557.0</v>
      </c>
      <c r="B4570" s="14">
        <f t="shared" si="1"/>
        <v>0.1193615213</v>
      </c>
      <c r="C4570" s="39">
        <f t="array" ref="C4570">NPV(B4570,FCFF!$C$9:$I$9)+FCFF!$B$9+FCFF!$I$9*(1+Inputs!$B$6)/(B4570-Inputs!$B$6)/(1+B4570)^7</f>
        <v>-1810.898283</v>
      </c>
    </row>
    <row r="4571" ht="14.25" customHeight="1">
      <c r="A4571" s="7">
        <v>4558.0</v>
      </c>
      <c r="B4571" s="14">
        <f t="shared" si="1"/>
        <v>0.1250876064</v>
      </c>
      <c r="C4571" s="39">
        <f t="array" ref="C4571">NPV(B4571,FCFF!$C$9:$I$9)+FCFF!$B$9+FCFF!$I$9*(1+Inputs!$B$6)/(B4571-Inputs!$B$6)/(1+B4571)^7</f>
        <v>-1902.642296</v>
      </c>
    </row>
    <row r="4572" ht="14.25" customHeight="1">
      <c r="A4572" s="7">
        <v>4559.0</v>
      </c>
      <c r="B4572" s="14">
        <f t="shared" si="1"/>
        <v>0.1231774333</v>
      </c>
      <c r="C4572" s="39">
        <f t="array" ref="C4572">NPV(B4572,FCFF!$C$9:$I$9)+FCFF!$B$9+FCFF!$I$9*(1+Inputs!$B$6)/(B4572-Inputs!$B$6)/(1+B4572)^7</f>
        <v>-1873.371957</v>
      </c>
    </row>
    <row r="4573" ht="14.25" customHeight="1">
      <c r="A4573" s="7">
        <v>4560.0</v>
      </c>
      <c r="B4573" s="14">
        <f t="shared" si="1"/>
        <v>0.09562309422</v>
      </c>
      <c r="C4573" s="39">
        <f t="array" ref="C4573">NPV(B4573,FCFF!$C$9:$I$9)+FCFF!$B$9+FCFF!$I$9*(1+Inputs!$B$6)/(B4573-Inputs!$B$6)/(1+B4573)^7</f>
        <v>-1251.480373</v>
      </c>
    </row>
    <row r="4574" ht="14.25" customHeight="1">
      <c r="A4574" s="7">
        <v>4561.0</v>
      </c>
      <c r="B4574" s="14">
        <f t="shared" si="1"/>
        <v>0.1023151686</v>
      </c>
      <c r="C4574" s="39">
        <f t="array" ref="C4574">NPV(B4574,FCFF!$C$9:$I$9)+FCFF!$B$9+FCFF!$I$9*(1+Inputs!$B$6)/(B4574-Inputs!$B$6)/(1+B4574)^7</f>
        <v>-1447.126762</v>
      </c>
    </row>
    <row r="4575" ht="14.25" customHeight="1">
      <c r="A4575" s="7">
        <v>4562.0</v>
      </c>
      <c r="B4575" s="14">
        <f t="shared" si="1"/>
        <v>0.1303360691</v>
      </c>
      <c r="C4575" s="39">
        <f t="array" ref="C4575">NPV(B4575,FCFF!$C$9:$I$9)+FCFF!$B$9+FCFF!$I$9*(1+Inputs!$B$6)/(B4575-Inputs!$B$6)/(1+B4575)^7</f>
        <v>-1976.917663</v>
      </c>
    </row>
    <row r="4576" ht="14.25" customHeight="1">
      <c r="A4576" s="7">
        <v>4563.0</v>
      </c>
      <c r="B4576" s="14">
        <f t="shared" si="1"/>
        <v>0.1117614311</v>
      </c>
      <c r="C4576" s="39">
        <f t="array" ref="C4576">NPV(B4576,FCFF!$C$9:$I$9)+FCFF!$B$9+FCFF!$I$9*(1+Inputs!$B$6)/(B4576-Inputs!$B$6)/(1+B4576)^7</f>
        <v>-1668.094225</v>
      </c>
    </row>
    <row r="4577" ht="14.25" customHeight="1">
      <c r="A4577" s="7">
        <v>4564.0</v>
      </c>
      <c r="B4577" s="14">
        <f t="shared" si="1"/>
        <v>0.1125887997</v>
      </c>
      <c r="C4577" s="39">
        <f t="array" ref="C4577">NPV(B4577,FCFF!$C$9:$I$9)+FCFF!$B$9+FCFF!$I$9*(1+Inputs!$B$6)/(B4577-Inputs!$B$6)/(1+B4577)^7</f>
        <v>-1684.973158</v>
      </c>
    </row>
    <row r="4578" ht="14.25" customHeight="1">
      <c r="A4578" s="7">
        <v>4565.0</v>
      </c>
      <c r="B4578" s="14">
        <f t="shared" si="1"/>
        <v>0.1285188341</v>
      </c>
      <c r="C4578" s="39">
        <f t="array" ref="C4578">NPV(B4578,FCFF!$C$9:$I$9)+FCFF!$B$9+FCFF!$I$9*(1+Inputs!$B$6)/(B4578-Inputs!$B$6)/(1+B4578)^7</f>
        <v>-1952.167129</v>
      </c>
    </row>
    <row r="4579" ht="14.25" customHeight="1">
      <c r="A4579" s="7">
        <v>4566.0</v>
      </c>
      <c r="B4579" s="14">
        <f t="shared" si="1"/>
        <v>0.1195824272</v>
      </c>
      <c r="C4579" s="39">
        <f t="array" ref="C4579">NPV(B4579,FCFF!$C$9:$I$9)+FCFF!$B$9+FCFF!$I$9*(1+Inputs!$B$6)/(B4579-Inputs!$B$6)/(1+B4579)^7</f>
        <v>-1814.668978</v>
      </c>
    </row>
    <row r="4580" ht="14.25" customHeight="1">
      <c r="A4580" s="7">
        <v>4567.0</v>
      </c>
      <c r="B4580" s="14">
        <f t="shared" si="1"/>
        <v>0.128929756</v>
      </c>
      <c r="C4580" s="39">
        <f t="array" ref="C4580">NPV(B4580,FCFF!$C$9:$I$9)+FCFF!$B$9+FCFF!$I$9*(1+Inputs!$B$6)/(B4580-Inputs!$B$6)/(1+B4580)^7</f>
        <v>-1957.850042</v>
      </c>
    </row>
    <row r="4581" ht="14.25" customHeight="1">
      <c r="A4581" s="7">
        <v>4568.0</v>
      </c>
      <c r="B4581" s="14">
        <f t="shared" si="1"/>
        <v>0.1047275479</v>
      </c>
      <c r="C4581" s="39">
        <f t="array" ref="C4581">NPV(B4581,FCFF!$C$9:$I$9)+FCFF!$B$9+FCFF!$I$9*(1+Inputs!$B$6)/(B4581-Inputs!$B$6)/(1+B4581)^7</f>
        <v>-1508.991699</v>
      </c>
    </row>
    <row r="4582" ht="14.25" customHeight="1">
      <c r="A4582" s="7">
        <v>4569.0</v>
      </c>
      <c r="B4582" s="14">
        <f t="shared" si="1"/>
        <v>0.1074519224</v>
      </c>
      <c r="C4582" s="39">
        <f t="array" ref="C4582">NPV(B4582,FCFF!$C$9:$I$9)+FCFF!$B$9+FCFF!$I$9*(1+Inputs!$B$6)/(B4582-Inputs!$B$6)/(1+B4582)^7</f>
        <v>-1574.138495</v>
      </c>
    </row>
    <row r="4583" ht="14.25" customHeight="1">
      <c r="A4583" s="7">
        <v>4570.0</v>
      </c>
      <c r="B4583" s="14">
        <f t="shared" si="1"/>
        <v>0.1176224202</v>
      </c>
      <c r="C4583" s="39">
        <f t="array" ref="C4583">NPV(B4583,FCFF!$C$9:$I$9)+FCFF!$B$9+FCFF!$I$9*(1+Inputs!$B$6)/(B4583-Inputs!$B$6)/(1+B4583)^7</f>
        <v>-1780.511548</v>
      </c>
    </row>
    <row r="4584" ht="14.25" customHeight="1">
      <c r="A4584" s="7">
        <v>4571.0</v>
      </c>
      <c r="B4584" s="14">
        <f t="shared" si="1"/>
        <v>0.09850495409</v>
      </c>
      <c r="C4584" s="39">
        <f t="array" ref="C4584">NPV(B4584,FCFF!$C$9:$I$9)+FCFF!$B$9+FCFF!$I$9*(1+Inputs!$B$6)/(B4584-Inputs!$B$6)/(1+B4584)^7</f>
        <v>-1340.434294</v>
      </c>
    </row>
    <row r="4585" ht="14.25" customHeight="1">
      <c r="A4585" s="7">
        <v>4572.0</v>
      </c>
      <c r="B4585" s="14">
        <f t="shared" si="1"/>
        <v>0.09689763799</v>
      </c>
      <c r="C4585" s="39">
        <f t="array" ref="C4585">NPV(B4585,FCFF!$C$9:$I$9)+FCFF!$B$9+FCFF!$I$9*(1+Inputs!$B$6)/(B4585-Inputs!$B$6)/(1+B4585)^7</f>
        <v>-1291.765352</v>
      </c>
    </row>
    <row r="4586" ht="14.25" customHeight="1">
      <c r="A4586" s="7">
        <v>4573.0</v>
      </c>
      <c r="B4586" s="14">
        <f t="shared" si="1"/>
        <v>0.1061878087</v>
      </c>
      <c r="C4586" s="39">
        <f t="array" ref="C4586">NPV(B4586,FCFF!$C$9:$I$9)+FCFF!$B$9+FCFF!$I$9*(1+Inputs!$B$6)/(B4586-Inputs!$B$6)/(1+B4586)^7</f>
        <v>-1544.502721</v>
      </c>
    </row>
    <row r="4587" ht="14.25" customHeight="1">
      <c r="A4587" s="7">
        <v>4574.0</v>
      </c>
      <c r="B4587" s="14">
        <f t="shared" si="1"/>
        <v>0.1077371508</v>
      </c>
      <c r="C4587" s="39">
        <f t="array" ref="C4587">NPV(B4587,FCFF!$C$9:$I$9)+FCFF!$B$9+FCFF!$I$9*(1+Inputs!$B$6)/(B4587-Inputs!$B$6)/(1+B4587)^7</f>
        <v>-1580.688763</v>
      </c>
    </row>
    <row r="4588" ht="14.25" customHeight="1">
      <c r="A4588" s="7">
        <v>4575.0</v>
      </c>
      <c r="B4588" s="14">
        <f t="shared" si="1"/>
        <v>0.09523102808</v>
      </c>
      <c r="C4588" s="39">
        <f t="array" ref="C4588">NPV(B4588,FCFF!$C$9:$I$9)+FCFF!$B$9+FCFF!$I$9*(1+Inputs!$B$6)/(B4588-Inputs!$B$6)/(1+B4588)^7</f>
        <v>-1238.772981</v>
      </c>
    </row>
    <row r="4589" ht="14.25" customHeight="1">
      <c r="A4589" s="7">
        <v>4576.0</v>
      </c>
      <c r="B4589" s="14">
        <f t="shared" si="1"/>
        <v>0.1189331781</v>
      </c>
      <c r="C4589" s="39">
        <f t="array" ref="C4589">NPV(B4589,FCFF!$C$9:$I$9)+FCFF!$B$9+FCFF!$I$9*(1+Inputs!$B$6)/(B4589-Inputs!$B$6)/(1+B4589)^7</f>
        <v>-1803.530365</v>
      </c>
    </row>
    <row r="4590" ht="14.25" customHeight="1">
      <c r="A4590" s="7">
        <v>4577.0</v>
      </c>
      <c r="B4590" s="14">
        <f t="shared" si="1"/>
        <v>0.0985028507</v>
      </c>
      <c r="C4590" s="39">
        <f t="array" ref="C4590">NPV(B4590,FCFF!$C$9:$I$9)+FCFF!$B$9+FCFF!$I$9*(1+Inputs!$B$6)/(B4590-Inputs!$B$6)/(1+B4590)^7</f>
        <v>-1340.372098</v>
      </c>
    </row>
    <row r="4591" ht="14.25" customHeight="1">
      <c r="A4591" s="7">
        <v>4578.0</v>
      </c>
      <c r="B4591" s="14">
        <f t="shared" si="1"/>
        <v>0.1246970638</v>
      </c>
      <c r="C4591" s="39">
        <f t="array" ref="C4591">NPV(B4591,FCFF!$C$9:$I$9)+FCFF!$B$9+FCFF!$I$9*(1+Inputs!$B$6)/(B4591-Inputs!$B$6)/(1+B4591)^7</f>
        <v>-1896.760597</v>
      </c>
    </row>
    <row r="4592" ht="14.25" customHeight="1">
      <c r="A4592" s="7">
        <v>4579.0</v>
      </c>
      <c r="B4592" s="14">
        <f t="shared" si="1"/>
        <v>0.09786721899</v>
      </c>
      <c r="C4592" s="39">
        <f t="array" ref="C4592">NPV(B4592,FCFF!$C$9:$I$9)+FCFF!$B$9+FCFF!$I$9*(1+Inputs!$B$6)/(B4592-Inputs!$B$6)/(1+B4592)^7</f>
        <v>-1321.399935</v>
      </c>
    </row>
    <row r="4593" ht="14.25" customHeight="1">
      <c r="A4593" s="7">
        <v>4580.0</v>
      </c>
      <c r="B4593" s="14">
        <f t="shared" si="1"/>
        <v>0.1180748853</v>
      </c>
      <c r="C4593" s="39">
        <f t="array" ref="C4593">NPV(B4593,FCFF!$C$9:$I$9)+FCFF!$B$9+FCFF!$I$9*(1+Inputs!$B$6)/(B4593-Inputs!$B$6)/(1+B4593)^7</f>
        <v>-1788.539123</v>
      </c>
    </row>
    <row r="4594" ht="14.25" customHeight="1">
      <c r="A4594" s="7">
        <v>4581.0</v>
      </c>
      <c r="B4594" s="14">
        <f t="shared" si="1"/>
        <v>0.1304525633</v>
      </c>
      <c r="C4594" s="39">
        <f t="array" ref="C4594">NPV(B4594,FCFF!$C$9:$I$9)+FCFF!$B$9+FCFF!$I$9*(1+Inputs!$B$6)/(B4594-Inputs!$B$6)/(1+B4594)^7</f>
        <v>-1978.471194</v>
      </c>
    </row>
    <row r="4595" ht="14.25" customHeight="1">
      <c r="A4595" s="7">
        <v>4582.0</v>
      </c>
      <c r="B4595" s="14">
        <f t="shared" si="1"/>
        <v>0.1127758757</v>
      </c>
      <c r="C4595" s="39">
        <f t="array" ref="C4595">NPV(B4595,FCFF!$C$9:$I$9)+FCFF!$B$9+FCFF!$I$9*(1+Inputs!$B$6)/(B4595-Inputs!$B$6)/(1+B4595)^7</f>
        <v>-1688.741063</v>
      </c>
    </row>
    <row r="4596" ht="14.25" customHeight="1">
      <c r="A4596" s="7">
        <v>4583.0</v>
      </c>
      <c r="B4596" s="14">
        <f t="shared" si="1"/>
        <v>0.09381548663</v>
      </c>
      <c r="C4596" s="39">
        <f t="array" ref="C4596">NPV(B4596,FCFF!$C$9:$I$9)+FCFF!$B$9+FCFF!$I$9*(1+Inputs!$B$6)/(B4596-Inputs!$B$6)/(1+B4596)^7</f>
        <v>-1191.603245</v>
      </c>
    </row>
    <row r="4597" ht="14.25" customHeight="1">
      <c r="A4597" s="7">
        <v>4584.0</v>
      </c>
      <c r="B4597" s="14">
        <f t="shared" si="1"/>
        <v>0.1087088086</v>
      </c>
      <c r="C4597" s="39">
        <f t="array" ref="C4597">NPV(B4597,FCFF!$C$9:$I$9)+FCFF!$B$9+FCFF!$I$9*(1+Inputs!$B$6)/(B4597-Inputs!$B$6)/(1+B4597)^7</f>
        <v>-1602.636875</v>
      </c>
    </row>
    <row r="4598" ht="14.25" customHeight="1">
      <c r="A4598" s="7">
        <v>4585.0</v>
      </c>
      <c r="B4598" s="14">
        <f t="shared" si="1"/>
        <v>0.1115812284</v>
      </c>
      <c r="C4598" s="39">
        <f t="array" ref="C4598">NPV(B4598,FCFF!$C$9:$I$9)+FCFF!$B$9+FCFF!$I$9*(1+Inputs!$B$6)/(B4598-Inputs!$B$6)/(1+B4598)^7</f>
        <v>-1664.370825</v>
      </c>
    </row>
    <row r="4599" ht="14.25" customHeight="1">
      <c r="A4599" s="7">
        <v>4586.0</v>
      </c>
      <c r="B4599" s="14">
        <f t="shared" si="1"/>
        <v>0.09685673857</v>
      </c>
      <c r="C4599" s="39">
        <f t="array" ref="C4599">NPV(B4599,FCFF!$C$9:$I$9)+FCFF!$B$9+FCFF!$I$9*(1+Inputs!$B$6)/(B4599-Inputs!$B$6)/(1+B4599)^7</f>
        <v>-1290.496413</v>
      </c>
    </row>
    <row r="4600" ht="14.25" customHeight="1">
      <c r="A4600" s="7">
        <v>4587.0</v>
      </c>
      <c r="B4600" s="14">
        <f t="shared" si="1"/>
        <v>0.09454560802</v>
      </c>
      <c r="C4600" s="39">
        <f t="array" ref="C4600">NPV(B4600,FCFF!$C$9:$I$9)+FCFF!$B$9+FCFF!$I$9*(1+Inputs!$B$6)/(B4600-Inputs!$B$6)/(1+B4600)^7</f>
        <v>-1216.189165</v>
      </c>
    </row>
    <row r="4601" ht="14.25" customHeight="1">
      <c r="A4601" s="7">
        <v>4588.0</v>
      </c>
      <c r="B4601" s="14">
        <f t="shared" si="1"/>
        <v>0.1177491731</v>
      </c>
      <c r="C4601" s="39">
        <f t="array" ref="C4601">NPV(B4601,FCFF!$C$9:$I$9)+FCFF!$B$9+FCFF!$I$9*(1+Inputs!$B$6)/(B4601-Inputs!$B$6)/(1+B4601)^7</f>
        <v>-1782.769171</v>
      </c>
    </row>
    <row r="4602" ht="14.25" customHeight="1">
      <c r="A4602" s="7">
        <v>4589.0</v>
      </c>
      <c r="B4602" s="14">
        <f t="shared" si="1"/>
        <v>0.1176890061</v>
      </c>
      <c r="C4602" s="39">
        <f t="array" ref="C4602">NPV(B4602,FCFF!$C$9:$I$9)+FCFF!$B$9+FCFF!$I$9*(1+Inputs!$B$6)/(B4602-Inputs!$B$6)/(1+B4602)^7</f>
        <v>-1781.698382</v>
      </c>
    </row>
    <row r="4603" ht="14.25" customHeight="1">
      <c r="A4603" s="7">
        <v>4590.0</v>
      </c>
      <c r="B4603" s="14">
        <f t="shared" si="1"/>
        <v>0.09428322389</v>
      </c>
      <c r="C4603" s="39">
        <f t="array" ref="C4603">NPV(B4603,FCFF!$C$9:$I$9)+FCFF!$B$9+FCFF!$I$9*(1+Inputs!$B$6)/(B4603-Inputs!$B$6)/(1+B4603)^7</f>
        <v>-1207.417423</v>
      </c>
    </row>
    <row r="4604" ht="14.25" customHeight="1">
      <c r="A4604" s="7">
        <v>4591.0</v>
      </c>
      <c r="B4604" s="14">
        <f t="shared" si="1"/>
        <v>0.1159646159</v>
      </c>
      <c r="C4604" s="39">
        <f t="array" ref="C4604">NPV(B4604,FCFF!$C$9:$I$9)+FCFF!$B$9+FCFF!$I$9*(1+Inputs!$B$6)/(B4604-Inputs!$B$6)/(1+B4604)^7</f>
        <v>-1750.339221</v>
      </c>
    </row>
    <row r="4605" ht="14.25" customHeight="1">
      <c r="A4605" s="7">
        <v>4592.0</v>
      </c>
      <c r="B4605" s="14">
        <f t="shared" si="1"/>
        <v>0.106696822</v>
      </c>
      <c r="C4605" s="39">
        <f t="array" ref="C4605">NPV(B4605,FCFF!$C$9:$I$9)+FCFF!$B$9+FCFF!$I$9*(1+Inputs!$B$6)/(B4605-Inputs!$B$6)/(1+B4605)^7</f>
        <v>-1556.556328</v>
      </c>
    </row>
    <row r="4606" ht="14.25" customHeight="1">
      <c r="A4606" s="7">
        <v>4593.0</v>
      </c>
      <c r="B4606" s="14">
        <f t="shared" si="1"/>
        <v>0.09408842938</v>
      </c>
      <c r="C4606" s="39">
        <f t="array" ref="C4606">NPV(B4606,FCFF!$C$9:$I$9)+FCFF!$B$9+FCFF!$I$9*(1+Inputs!$B$6)/(B4606-Inputs!$B$6)/(1+B4606)^7</f>
        <v>-1200.859214</v>
      </c>
    </row>
    <row r="4607" ht="14.25" customHeight="1">
      <c r="A4607" s="7">
        <v>4594.0</v>
      </c>
      <c r="B4607" s="14">
        <f t="shared" si="1"/>
        <v>0.1309280234</v>
      </c>
      <c r="C4607" s="39">
        <f t="array" ref="C4607">NPV(B4607,FCFF!$C$9:$I$9)+FCFF!$B$9+FCFF!$I$9*(1+Inputs!$B$6)/(B4607-Inputs!$B$6)/(1+B4607)^7</f>
        <v>-1984.771382</v>
      </c>
    </row>
    <row r="4608" ht="14.25" customHeight="1">
      <c r="A4608" s="7">
        <v>4595.0</v>
      </c>
      <c r="B4608" s="14">
        <f t="shared" si="1"/>
        <v>0.0990101285</v>
      </c>
      <c r="C4608" s="39">
        <f t="array" ref="C4608">NPV(B4608,FCFF!$C$9:$I$9)+FCFF!$B$9+FCFF!$I$9*(1+Inputs!$B$6)/(B4608-Inputs!$B$6)/(1+B4608)^7</f>
        <v>-1355.261827</v>
      </c>
    </row>
    <row r="4609" ht="14.25" customHeight="1">
      <c r="A4609" s="7">
        <v>4596.0</v>
      </c>
      <c r="B4609" s="14">
        <f t="shared" si="1"/>
        <v>0.1103500767</v>
      </c>
      <c r="C4609" s="39">
        <f t="array" ref="C4609">NPV(B4609,FCFF!$C$9:$I$9)+FCFF!$B$9+FCFF!$I$9*(1+Inputs!$B$6)/(B4609-Inputs!$B$6)/(1+B4609)^7</f>
        <v>-1638.469365</v>
      </c>
    </row>
    <row r="4610" ht="14.25" customHeight="1">
      <c r="A4610" s="7">
        <v>4597.0</v>
      </c>
      <c r="B4610" s="14">
        <f t="shared" si="1"/>
        <v>0.09753999499</v>
      </c>
      <c r="C4610" s="39">
        <f t="array" ref="C4610">NPV(B4610,FCFF!$C$9:$I$9)+FCFF!$B$9+FCFF!$I$9*(1+Inputs!$B$6)/(B4610-Inputs!$B$6)/(1+B4610)^7</f>
        <v>-1311.493648</v>
      </c>
    </row>
    <row r="4611" ht="14.25" customHeight="1">
      <c r="A4611" s="7">
        <v>4598.0</v>
      </c>
      <c r="B4611" s="14">
        <f t="shared" si="1"/>
        <v>0.1170225879</v>
      </c>
      <c r="C4611" s="39">
        <f t="array" ref="C4611">NPV(B4611,FCFF!$C$9:$I$9)+FCFF!$B$9+FCFF!$I$9*(1+Inputs!$B$6)/(B4611-Inputs!$B$6)/(1+B4611)^7</f>
        <v>-1769.733923</v>
      </c>
    </row>
    <row r="4612" ht="14.25" customHeight="1">
      <c r="A4612" s="7">
        <v>4599.0</v>
      </c>
      <c r="B4612" s="14">
        <f t="shared" si="1"/>
        <v>0.0931299052</v>
      </c>
      <c r="C4612" s="39">
        <f t="array" ref="C4612">NPV(B4612,FCFF!$C$9:$I$9)+FCFF!$B$9+FCFF!$I$9*(1+Inputs!$B$6)/(B4612-Inputs!$B$6)/(1+B4612)^7</f>
        <v>-1168.004674</v>
      </c>
    </row>
    <row r="4613" ht="14.25" customHeight="1">
      <c r="A4613" s="7">
        <v>4600.0</v>
      </c>
      <c r="B4613" s="14">
        <f t="shared" si="1"/>
        <v>0.1273401236</v>
      </c>
      <c r="C4613" s="39">
        <f t="array" ref="C4613">NPV(B4613,FCFF!$C$9:$I$9)+FCFF!$B$9+FCFF!$I$9*(1+Inputs!$B$6)/(B4613-Inputs!$B$6)/(1+B4613)^7</f>
        <v>-1935.578078</v>
      </c>
    </row>
    <row r="4614" ht="14.25" customHeight="1">
      <c r="A4614" s="7">
        <v>4601.0</v>
      </c>
      <c r="B4614" s="14">
        <f t="shared" si="1"/>
        <v>0.1105643339</v>
      </c>
      <c r="C4614" s="39">
        <f t="array" ref="C4614">NPV(B4614,FCFF!$C$9:$I$9)+FCFF!$B$9+FCFF!$I$9*(1+Inputs!$B$6)/(B4614-Inputs!$B$6)/(1+B4614)^7</f>
        <v>-1643.035879</v>
      </c>
    </row>
    <row r="4615" ht="14.25" customHeight="1">
      <c r="A4615" s="7">
        <v>4602.0</v>
      </c>
      <c r="B4615" s="14">
        <f t="shared" si="1"/>
        <v>0.1066112183</v>
      </c>
      <c r="C4615" s="39">
        <f t="array" ref="C4615">NPV(B4615,FCFF!$C$9:$I$9)+FCFF!$B$9+FCFF!$I$9*(1+Inputs!$B$6)/(B4615-Inputs!$B$6)/(1+B4615)^7</f>
        <v>-1554.540671</v>
      </c>
    </row>
    <row r="4616" ht="14.25" customHeight="1">
      <c r="A4616" s="7">
        <v>4603.0</v>
      </c>
      <c r="B4616" s="14">
        <f t="shared" si="1"/>
        <v>0.1189428184</v>
      </c>
      <c r="C4616" s="39">
        <f t="array" ref="C4616">NPV(B4616,FCFF!$C$9:$I$9)+FCFF!$B$9+FCFF!$I$9*(1+Inputs!$B$6)/(B4616-Inputs!$B$6)/(1+B4616)^7</f>
        <v>-1803.697011</v>
      </c>
    </row>
    <row r="4617" ht="14.25" customHeight="1">
      <c r="A4617" s="7">
        <v>4604.0</v>
      </c>
      <c r="B4617" s="14">
        <f t="shared" si="1"/>
        <v>0.1091083678</v>
      </c>
      <c r="C4617" s="39">
        <f t="array" ref="C4617">NPV(B4617,FCFF!$C$9:$I$9)+FCFF!$B$9+FCFF!$I$9*(1+Inputs!$B$6)/(B4617-Inputs!$B$6)/(1+B4617)^7</f>
        <v>-1611.501327</v>
      </c>
    </row>
    <row r="4618" ht="14.25" customHeight="1">
      <c r="A4618" s="7">
        <v>4605.0</v>
      </c>
      <c r="B4618" s="14">
        <f t="shared" si="1"/>
        <v>0.1235863109</v>
      </c>
      <c r="C4618" s="39">
        <f t="array" ref="C4618">NPV(B4618,FCFF!$C$9:$I$9)+FCFF!$B$9+FCFF!$I$9*(1+Inputs!$B$6)/(B4618-Inputs!$B$6)/(1+B4618)^7</f>
        <v>-1879.744838</v>
      </c>
    </row>
    <row r="4619" ht="14.25" customHeight="1">
      <c r="A4619" s="7">
        <v>4606.0</v>
      </c>
      <c r="B4619" s="14">
        <f t="shared" si="1"/>
        <v>0.1290634565</v>
      </c>
      <c r="C4619" s="39">
        <f t="array" ref="C4619">NPV(B4619,FCFF!$C$9:$I$9)+FCFF!$B$9+FCFF!$I$9*(1+Inputs!$B$6)/(B4619-Inputs!$B$6)/(1+B4619)^7</f>
        <v>-1959.688077</v>
      </c>
    </row>
    <row r="4620" ht="14.25" customHeight="1">
      <c r="A4620" s="7">
        <v>4607.0</v>
      </c>
      <c r="B4620" s="14">
        <f t="shared" si="1"/>
        <v>0.1262592018</v>
      </c>
      <c r="C4620" s="39">
        <f t="array" ref="C4620">NPV(B4620,FCFF!$C$9:$I$9)+FCFF!$B$9+FCFF!$I$9*(1+Inputs!$B$6)/(B4620-Inputs!$B$6)/(1+B4620)^7</f>
        <v>-1919.979912</v>
      </c>
    </row>
    <row r="4621" ht="14.25" customHeight="1">
      <c r="A4621" s="7">
        <v>4608.0</v>
      </c>
      <c r="B4621" s="14">
        <f t="shared" si="1"/>
        <v>0.1216384939</v>
      </c>
      <c r="C4621" s="39">
        <f t="array" ref="C4621">NPV(B4621,FCFF!$C$9:$I$9)+FCFF!$B$9+FCFF!$I$9*(1+Inputs!$B$6)/(B4621-Inputs!$B$6)/(1+B4621)^7</f>
        <v>-1848.841603</v>
      </c>
    </row>
    <row r="4622" ht="14.25" customHeight="1">
      <c r="A4622" s="7">
        <v>4609.0</v>
      </c>
      <c r="B4622" s="14">
        <f t="shared" si="1"/>
        <v>0.1283741675</v>
      </c>
      <c r="C4622" s="39">
        <f t="array" ref="C4622">NPV(B4622,FCFF!$C$9:$I$9)+FCFF!$B$9+FCFF!$I$9*(1+Inputs!$B$6)/(B4622-Inputs!$B$6)/(1+B4622)^7</f>
        <v>-1950.154216</v>
      </c>
    </row>
    <row r="4623" ht="14.25" customHeight="1">
      <c r="A4623" s="7">
        <v>4610.0</v>
      </c>
      <c r="B4623" s="14">
        <f t="shared" si="1"/>
        <v>0.1018989248</v>
      </c>
      <c r="C4623" s="39">
        <f t="array" ref="C4623">NPV(B4623,FCFF!$C$9:$I$9)+FCFF!$B$9+FCFF!$I$9*(1+Inputs!$B$6)/(B4623-Inputs!$B$6)/(1+B4623)^7</f>
        <v>-1436.026222</v>
      </c>
    </row>
    <row r="4624" ht="14.25" customHeight="1">
      <c r="A4624" s="7">
        <v>4611.0</v>
      </c>
      <c r="B4624" s="14">
        <f t="shared" si="1"/>
        <v>0.1297713764</v>
      </c>
      <c r="C4624" s="39">
        <f t="array" ref="C4624">NPV(B4624,FCFF!$C$9:$I$9)+FCFF!$B$9+FCFF!$I$9*(1+Inputs!$B$6)/(B4624-Inputs!$B$6)/(1+B4624)^7</f>
        <v>-1969.331255</v>
      </c>
    </row>
    <row r="4625" ht="14.25" customHeight="1">
      <c r="A4625" s="7">
        <v>4612.0</v>
      </c>
      <c r="B4625" s="14">
        <f t="shared" si="1"/>
        <v>0.1182012857</v>
      </c>
      <c r="C4625" s="39">
        <f t="array" ref="C4625">NPV(B4625,FCFF!$C$9:$I$9)+FCFF!$B$9+FCFF!$I$9*(1+Inputs!$B$6)/(B4625-Inputs!$B$6)/(1+B4625)^7</f>
        <v>-1790.7662</v>
      </c>
    </row>
    <row r="4626" ht="14.25" customHeight="1">
      <c r="A4626" s="7">
        <v>4613.0</v>
      </c>
      <c r="B4626" s="14">
        <f t="shared" si="1"/>
        <v>0.1004946697</v>
      </c>
      <c r="C4626" s="39">
        <f t="array" ref="C4626">NPV(B4626,FCFF!$C$9:$I$9)+FCFF!$B$9+FCFF!$I$9*(1+Inputs!$B$6)/(B4626-Inputs!$B$6)/(1+B4626)^7</f>
        <v>-1397.599483</v>
      </c>
    </row>
    <row r="4627" ht="14.25" customHeight="1">
      <c r="A4627" s="7">
        <v>4614.0</v>
      </c>
      <c r="B4627" s="14">
        <f t="shared" si="1"/>
        <v>0.1112490719</v>
      </c>
      <c r="C4627" s="39">
        <f t="array" ref="C4627">NPV(B4627,FCFF!$C$9:$I$9)+FCFF!$B$9+FCFF!$I$9*(1+Inputs!$B$6)/(B4627-Inputs!$B$6)/(1+B4627)^7</f>
        <v>-1657.46284</v>
      </c>
    </row>
    <row r="4628" ht="14.25" customHeight="1">
      <c r="A4628" s="7">
        <v>4615.0</v>
      </c>
      <c r="B4628" s="14">
        <f t="shared" si="1"/>
        <v>0.09710794563</v>
      </c>
      <c r="C4628" s="39">
        <f t="array" ref="C4628">NPV(B4628,FCFF!$C$9:$I$9)+FCFF!$B$9+FCFF!$I$9*(1+Inputs!$B$6)/(B4628-Inputs!$B$6)/(1+B4628)^7</f>
        <v>-1298.265938</v>
      </c>
    </row>
    <row r="4629" ht="14.25" customHeight="1">
      <c r="A4629" s="7">
        <v>4616.0</v>
      </c>
      <c r="B4629" s="14">
        <f t="shared" si="1"/>
        <v>0.1215655894</v>
      </c>
      <c r="C4629" s="39">
        <f t="array" ref="C4629">NPV(B4629,FCFF!$C$9:$I$9)+FCFF!$B$9+FCFF!$I$9*(1+Inputs!$B$6)/(B4629-Inputs!$B$6)/(1+B4629)^7</f>
        <v>-1847.65774</v>
      </c>
    </row>
    <row r="4630" ht="14.25" customHeight="1">
      <c r="A4630" s="7">
        <v>4617.0</v>
      </c>
      <c r="B4630" s="14">
        <f t="shared" si="1"/>
        <v>0.1290130105</v>
      </c>
      <c r="C4630" s="39">
        <f t="array" ref="C4630">NPV(B4630,FCFF!$C$9:$I$9)+FCFF!$B$9+FCFF!$I$9*(1+Inputs!$B$6)/(B4630-Inputs!$B$6)/(1+B4630)^7</f>
        <v>-1958.995206</v>
      </c>
    </row>
    <row r="4631" ht="14.25" customHeight="1">
      <c r="A4631" s="7">
        <v>4618.0</v>
      </c>
      <c r="B4631" s="14">
        <f t="shared" si="1"/>
        <v>0.09960060016</v>
      </c>
      <c r="C4631" s="39">
        <f t="array" ref="C4631">NPV(B4631,FCFF!$C$9:$I$9)+FCFF!$B$9+FCFF!$I$9*(1+Inputs!$B$6)/(B4631-Inputs!$B$6)/(1+B4631)^7</f>
        <v>-1372.319052</v>
      </c>
    </row>
    <row r="4632" ht="14.25" customHeight="1">
      <c r="A4632" s="7">
        <v>4619.0</v>
      </c>
      <c r="B4632" s="14">
        <f t="shared" si="1"/>
        <v>0.1225782949</v>
      </c>
      <c r="C4632" s="39">
        <f t="array" ref="C4632">NPV(B4632,FCFF!$C$9:$I$9)+FCFF!$B$9+FCFF!$I$9*(1+Inputs!$B$6)/(B4632-Inputs!$B$6)/(1+B4632)^7</f>
        <v>-1863.925089</v>
      </c>
    </row>
    <row r="4633" ht="14.25" customHeight="1">
      <c r="A4633" s="7">
        <v>4620.0</v>
      </c>
      <c r="B4633" s="14">
        <f t="shared" si="1"/>
        <v>0.1305740779</v>
      </c>
      <c r="C4633" s="39">
        <f t="array" ref="C4633">NPV(B4633,FCFF!$C$9:$I$9)+FCFF!$B$9+FCFF!$I$9*(1+Inputs!$B$6)/(B4633-Inputs!$B$6)/(1+B4633)^7</f>
        <v>-1980.08751</v>
      </c>
    </row>
    <row r="4634" ht="14.25" customHeight="1">
      <c r="A4634" s="7">
        <v>4621.0</v>
      </c>
      <c r="B4634" s="14">
        <f t="shared" si="1"/>
        <v>0.09842404446</v>
      </c>
      <c r="C4634" s="39">
        <f t="array" ref="C4634">NPV(B4634,FCFF!$C$9:$I$9)+FCFF!$B$9+FCFF!$I$9*(1+Inputs!$B$6)/(B4634-Inputs!$B$6)/(1+B4634)^7</f>
        <v>-1338.039088</v>
      </c>
    </row>
    <row r="4635" ht="14.25" customHeight="1">
      <c r="A4635" s="7">
        <v>4622.0</v>
      </c>
      <c r="B4635" s="14">
        <f t="shared" si="1"/>
        <v>0.1300356747</v>
      </c>
      <c r="C4635" s="39">
        <f t="array" ref="C4635">NPV(B4635,FCFF!$C$9:$I$9)+FCFF!$B$9+FCFF!$I$9*(1+Inputs!$B$6)/(B4635-Inputs!$B$6)/(1+B4635)^7</f>
        <v>-1972.893563</v>
      </c>
    </row>
    <row r="4636" ht="14.25" customHeight="1">
      <c r="A4636" s="7">
        <v>4623.0</v>
      </c>
      <c r="B4636" s="14">
        <f t="shared" si="1"/>
        <v>0.1248165029</v>
      </c>
      <c r="C4636" s="39">
        <f t="array" ref="C4636">NPV(B4636,FCFF!$C$9:$I$9)+FCFF!$B$9+FCFF!$I$9*(1+Inputs!$B$6)/(B4636-Inputs!$B$6)/(1+B4636)^7</f>
        <v>-1898.564901</v>
      </c>
    </row>
    <row r="4637" ht="14.25" customHeight="1">
      <c r="A4637" s="7">
        <v>4624.0</v>
      </c>
      <c r="B4637" s="14">
        <f t="shared" si="1"/>
        <v>0.09867783814</v>
      </c>
      <c r="C4637" s="39">
        <f t="array" ref="C4637">NPV(B4637,FCFF!$C$9:$I$9)+FCFF!$B$9+FCFF!$I$9*(1+Inputs!$B$6)/(B4637-Inputs!$B$6)/(1+B4637)^7</f>
        <v>-1345.533297</v>
      </c>
    </row>
    <row r="4638" ht="14.25" customHeight="1">
      <c r="A4638" s="7">
        <v>4625.0</v>
      </c>
      <c r="B4638" s="14">
        <f t="shared" si="1"/>
        <v>0.1008092386</v>
      </c>
      <c r="C4638" s="39">
        <f t="array" ref="C4638">NPV(B4638,FCFF!$C$9:$I$9)+FCFF!$B$9+FCFF!$I$9*(1+Inputs!$B$6)/(B4638-Inputs!$B$6)/(1+B4638)^7</f>
        <v>-1406.34121</v>
      </c>
    </row>
    <row r="4639" ht="14.25" customHeight="1">
      <c r="A4639" s="7">
        <v>4626.0</v>
      </c>
      <c r="B4639" s="14">
        <f t="shared" si="1"/>
        <v>0.1020042974</v>
      </c>
      <c r="C4639" s="39">
        <f t="array" ref="C4639">NPV(B4639,FCFF!$C$9:$I$9)+FCFF!$B$9+FCFF!$I$9*(1+Inputs!$B$6)/(B4639-Inputs!$B$6)/(1+B4639)^7</f>
        <v>-1438.848615</v>
      </c>
    </row>
    <row r="4640" ht="14.25" customHeight="1">
      <c r="A4640" s="7">
        <v>4627.0</v>
      </c>
      <c r="B4640" s="14">
        <f t="shared" si="1"/>
        <v>0.1176667215</v>
      </c>
      <c r="C4640" s="39">
        <f t="array" ref="C4640">NPV(B4640,FCFF!$C$9:$I$9)+FCFF!$B$9+FCFF!$I$9*(1+Inputs!$B$6)/(B4640-Inputs!$B$6)/(1+B4640)^7</f>
        <v>-1781.301389</v>
      </c>
    </row>
    <row r="4641" ht="14.25" customHeight="1">
      <c r="A4641" s="7">
        <v>4628.0</v>
      </c>
      <c r="B4641" s="14">
        <f t="shared" si="1"/>
        <v>0.1209690613</v>
      </c>
      <c r="C4641" s="39">
        <f t="array" ref="C4641">NPV(B4641,FCFF!$C$9:$I$9)+FCFF!$B$9+FCFF!$I$9*(1+Inputs!$B$6)/(B4641-Inputs!$B$6)/(1+B4641)^7</f>
        <v>-1837.895235</v>
      </c>
    </row>
    <row r="4642" ht="14.25" customHeight="1">
      <c r="A4642" s="7">
        <v>4629.0</v>
      </c>
      <c r="B4642" s="14">
        <f t="shared" si="1"/>
        <v>0.09547153436</v>
      </c>
      <c r="C4642" s="39">
        <f t="array" ref="C4642">NPV(B4642,FCFF!$C$9:$I$9)+FCFF!$B$9+FCFF!$I$9*(1+Inputs!$B$6)/(B4642-Inputs!$B$6)/(1+B4642)^7</f>
        <v>-1246.586057</v>
      </c>
    </row>
    <row r="4643" ht="14.25" customHeight="1">
      <c r="A4643" s="7">
        <v>4630.0</v>
      </c>
      <c r="B4643" s="14">
        <f t="shared" si="1"/>
        <v>0.1157345734</v>
      </c>
      <c r="C4643" s="39">
        <f t="array" ref="C4643">NPV(B4643,FCFF!$C$9:$I$9)+FCFF!$B$9+FCFF!$I$9*(1+Inputs!$B$6)/(B4643-Inputs!$B$6)/(1+B4643)^7</f>
        <v>-1746.055615</v>
      </c>
    </row>
    <row r="4644" ht="14.25" customHeight="1">
      <c r="A4644" s="7">
        <v>4631.0</v>
      </c>
      <c r="B4644" s="14">
        <f t="shared" si="1"/>
        <v>0.1010348698</v>
      </c>
      <c r="C4644" s="39">
        <f t="array" ref="C4644">NPV(B4644,FCFF!$C$9:$I$9)+FCFF!$B$9+FCFF!$I$9*(1+Inputs!$B$6)/(B4644-Inputs!$B$6)/(1+B4644)^7</f>
        <v>-1412.563311</v>
      </c>
    </row>
    <row r="4645" ht="14.25" customHeight="1">
      <c r="A4645" s="7">
        <v>4632.0</v>
      </c>
      <c r="B4645" s="14">
        <f t="shared" si="1"/>
        <v>0.1114464768</v>
      </c>
      <c r="C4645" s="39">
        <f t="array" ref="C4645">NPV(B4645,FCFF!$C$9:$I$9)+FCFF!$B$9+FCFF!$I$9*(1+Inputs!$B$6)/(B4645-Inputs!$B$6)/(1+B4645)^7</f>
        <v>-1661.575384</v>
      </c>
    </row>
    <row r="4646" ht="14.25" customHeight="1">
      <c r="A4646" s="7">
        <v>4633.0</v>
      </c>
      <c r="B4646" s="14">
        <f t="shared" si="1"/>
        <v>0.118808135</v>
      </c>
      <c r="C4646" s="39">
        <f t="array" ref="C4646">NPV(B4646,FCFF!$C$9:$I$9)+FCFF!$B$9+FCFF!$I$9*(1+Inputs!$B$6)/(B4646-Inputs!$B$6)/(1+B4646)^7</f>
        <v>-1801.365343</v>
      </c>
    </row>
    <row r="4647" ht="14.25" customHeight="1">
      <c r="A4647" s="7">
        <v>4634.0</v>
      </c>
      <c r="B4647" s="14">
        <f t="shared" si="1"/>
        <v>0.1007068815</v>
      </c>
      <c r="C4647" s="39">
        <f t="array" ref="C4647">NPV(B4647,FCFF!$C$9:$I$9)+FCFF!$B$9+FCFF!$I$9*(1+Inputs!$B$6)/(B4647-Inputs!$B$6)/(1+B4647)^7</f>
        <v>-1403.505361</v>
      </c>
    </row>
    <row r="4648" ht="14.25" customHeight="1">
      <c r="A4648" s="7">
        <v>4635.0</v>
      </c>
      <c r="B4648" s="14">
        <f t="shared" si="1"/>
        <v>0.1220643105</v>
      </c>
      <c r="C4648" s="39">
        <f t="array" ref="C4648">NPV(B4648,FCFF!$C$9:$I$9)+FCFF!$B$9+FCFF!$I$9*(1+Inputs!$B$6)/(B4648-Inputs!$B$6)/(1+B4648)^7</f>
        <v>-1855.716423</v>
      </c>
    </row>
    <row r="4649" ht="14.25" customHeight="1">
      <c r="A4649" s="7">
        <v>4636.0</v>
      </c>
      <c r="B4649" s="14">
        <f t="shared" si="1"/>
        <v>0.1136934499</v>
      </c>
      <c r="C4649" s="39">
        <f t="array" ref="C4649">NPV(B4649,FCFF!$C$9:$I$9)+FCFF!$B$9+FCFF!$I$9*(1+Inputs!$B$6)/(B4649-Inputs!$B$6)/(1+B4649)^7</f>
        <v>-1706.968236</v>
      </c>
    </row>
    <row r="4650" ht="14.25" customHeight="1">
      <c r="A4650" s="7">
        <v>4637.0</v>
      </c>
      <c r="B4650" s="14">
        <f t="shared" si="1"/>
        <v>0.0989390342</v>
      </c>
      <c r="C4650" s="39">
        <f t="array" ref="C4650">NPV(B4650,FCFF!$C$9:$I$9)+FCFF!$B$9+FCFF!$I$9*(1+Inputs!$B$6)/(B4650-Inputs!$B$6)/(1+B4650)^7</f>
        <v>-1353.188299</v>
      </c>
    </row>
    <row r="4651" ht="14.25" customHeight="1">
      <c r="A4651" s="7">
        <v>4638.0</v>
      </c>
      <c r="B4651" s="14">
        <f t="shared" si="1"/>
        <v>0.1181883013</v>
      </c>
      <c r="C4651" s="39">
        <f t="array" ref="C4651">NPV(B4651,FCFF!$C$9:$I$9)+FCFF!$B$9+FCFF!$I$9*(1+Inputs!$B$6)/(B4651-Inputs!$B$6)/(1+B4651)^7</f>
        <v>-1790.537735</v>
      </c>
    </row>
    <row r="4652" ht="14.25" customHeight="1">
      <c r="A4652" s="7">
        <v>4639.0</v>
      </c>
      <c r="B4652" s="14">
        <f t="shared" si="1"/>
        <v>0.1068759882</v>
      </c>
      <c r="C4652" s="39">
        <f t="array" ref="C4652">NPV(B4652,FCFF!$C$9:$I$9)+FCFF!$B$9+FCFF!$I$9*(1+Inputs!$B$6)/(B4652-Inputs!$B$6)/(1+B4652)^7</f>
        <v>-1560.760165</v>
      </c>
    </row>
    <row r="4653" ht="14.25" customHeight="1">
      <c r="A4653" s="7">
        <v>4640.0</v>
      </c>
      <c r="B4653" s="14">
        <f t="shared" si="1"/>
        <v>0.1258439851</v>
      </c>
      <c r="C4653" s="39">
        <f t="array" ref="C4653">NPV(B4653,FCFF!$C$9:$I$9)+FCFF!$B$9+FCFF!$I$9*(1+Inputs!$B$6)/(B4653-Inputs!$B$6)/(1+B4653)^7</f>
        <v>-1913.88748</v>
      </c>
    </row>
    <row r="4654" ht="14.25" customHeight="1">
      <c r="A4654" s="7">
        <v>4641.0</v>
      </c>
      <c r="B4654" s="14">
        <f t="shared" si="1"/>
        <v>0.1276169287</v>
      </c>
      <c r="C4654" s="39">
        <f t="array" ref="C4654">NPV(B4654,FCFF!$C$9:$I$9)+FCFF!$B$9+FCFF!$I$9*(1+Inputs!$B$6)/(B4654-Inputs!$B$6)/(1+B4654)^7</f>
        <v>-1939.512664</v>
      </c>
    </row>
    <row r="4655" ht="14.25" customHeight="1">
      <c r="A4655" s="7">
        <v>4642.0</v>
      </c>
      <c r="B4655" s="14">
        <f t="shared" si="1"/>
        <v>0.118643937</v>
      </c>
      <c r="C4655" s="39">
        <f t="array" ref="C4655">NPV(B4655,FCFF!$C$9:$I$9)+FCFF!$B$9+FCFF!$I$9*(1+Inputs!$B$6)/(B4655-Inputs!$B$6)/(1+B4655)^7</f>
        <v>-1798.512591</v>
      </c>
    </row>
    <row r="4656" ht="14.25" customHeight="1">
      <c r="A4656" s="7">
        <v>4643.0</v>
      </c>
      <c r="B4656" s="14">
        <f t="shared" si="1"/>
        <v>0.09924631788</v>
      </c>
      <c r="C4656" s="39">
        <f t="array" ref="C4656">NPV(B4656,FCFF!$C$9:$I$9)+FCFF!$B$9+FCFF!$I$9*(1+Inputs!$B$6)/(B4656-Inputs!$B$6)/(1+B4656)^7</f>
        <v>-1362.119807</v>
      </c>
    </row>
    <row r="4657" ht="14.25" customHeight="1">
      <c r="A4657" s="7">
        <v>4644.0</v>
      </c>
      <c r="B4657" s="14">
        <f t="shared" si="1"/>
        <v>0.09465720631</v>
      </c>
      <c r="C4657" s="39">
        <f t="array" ref="C4657">NPV(B4657,FCFF!$C$9:$I$9)+FCFF!$B$9+FCFF!$I$9*(1+Inputs!$B$6)/(B4657-Inputs!$B$6)/(1+B4657)^7</f>
        <v>-1219.898596</v>
      </c>
    </row>
    <row r="4658" ht="14.25" customHeight="1">
      <c r="A4658" s="7">
        <v>4645.0</v>
      </c>
      <c r="B4658" s="14">
        <f t="shared" si="1"/>
        <v>0.1262019553</v>
      </c>
      <c r="C4658" s="39">
        <f t="array" ref="C4658">NPV(B4658,FCFF!$C$9:$I$9)+FCFF!$B$9+FCFF!$I$9*(1+Inputs!$B$6)/(B4658-Inputs!$B$6)/(1+B4658)^7</f>
        <v>-1919.1433</v>
      </c>
    </row>
    <row r="4659" ht="14.25" customHeight="1">
      <c r="A4659" s="7">
        <v>4646.0</v>
      </c>
      <c r="B4659" s="14">
        <f t="shared" si="1"/>
        <v>0.1219121035</v>
      </c>
      <c r="C4659" s="39">
        <f t="array" ref="C4659">NPV(B4659,FCFF!$C$9:$I$9)+FCFF!$B$9+FCFF!$I$9*(1+Inputs!$B$6)/(B4659-Inputs!$B$6)/(1+B4659)^7</f>
        <v>-1853.266817</v>
      </c>
    </row>
    <row r="4660" ht="14.25" customHeight="1">
      <c r="A4660" s="7">
        <v>4647.0</v>
      </c>
      <c r="B4660" s="14">
        <f t="shared" si="1"/>
        <v>0.1249789268</v>
      </c>
      <c r="C4660" s="39">
        <f t="array" ref="C4660">NPV(B4660,FCFF!$C$9:$I$9)+FCFF!$B$9+FCFF!$I$9*(1+Inputs!$B$6)/(B4660-Inputs!$B$6)/(1+B4660)^7</f>
        <v>-1901.010751</v>
      </c>
    </row>
    <row r="4661" ht="14.25" customHeight="1">
      <c r="A4661" s="7">
        <v>4648.0</v>
      </c>
      <c r="B4661" s="14">
        <f t="shared" si="1"/>
        <v>0.1037161631</v>
      </c>
      <c r="C4661" s="39">
        <f t="array" ref="C4661">NPV(B4661,FCFF!$C$9:$I$9)+FCFF!$B$9+FCFF!$I$9*(1+Inputs!$B$6)/(B4661-Inputs!$B$6)/(1+B4661)^7</f>
        <v>-1483.555731</v>
      </c>
    </row>
    <row r="4662" ht="14.25" customHeight="1">
      <c r="A4662" s="7">
        <v>4649.0</v>
      </c>
      <c r="B4662" s="14">
        <f t="shared" si="1"/>
        <v>0.1329925126</v>
      </c>
      <c r="C4662" s="39">
        <f t="array" ref="C4662">NPV(B4662,FCFF!$C$9:$I$9)+FCFF!$B$9+FCFF!$I$9*(1+Inputs!$B$6)/(B4662-Inputs!$B$6)/(1+B4662)^7</f>
        <v>-2011.393599</v>
      </c>
    </row>
    <row r="4663" ht="14.25" customHeight="1">
      <c r="A4663" s="7">
        <v>4650.0</v>
      </c>
      <c r="B4663" s="14">
        <f t="shared" si="1"/>
        <v>0.1113506477</v>
      </c>
      <c r="C4663" s="39">
        <f t="array" ref="C4663">NPV(B4663,FCFF!$C$9:$I$9)+FCFF!$B$9+FCFF!$I$9*(1+Inputs!$B$6)/(B4663-Inputs!$B$6)/(1+B4663)^7</f>
        <v>-1659.581557</v>
      </c>
    </row>
    <row r="4664" ht="14.25" customHeight="1">
      <c r="A4664" s="7">
        <v>4651.0</v>
      </c>
      <c r="B4664" s="14">
        <f t="shared" si="1"/>
        <v>0.1093591764</v>
      </c>
      <c r="C4664" s="39">
        <f t="array" ref="C4664">NPV(B4664,FCFF!$C$9:$I$9)+FCFF!$B$9+FCFF!$I$9*(1+Inputs!$B$6)/(B4664-Inputs!$B$6)/(1+B4664)^7</f>
        <v>-1617.018687</v>
      </c>
    </row>
    <row r="4665" ht="14.25" customHeight="1">
      <c r="A4665" s="7">
        <v>4652.0</v>
      </c>
      <c r="B4665" s="14">
        <f t="shared" si="1"/>
        <v>0.1072121614</v>
      </c>
      <c r="C4665" s="39">
        <f t="array" ref="C4665">NPV(B4665,FCFF!$C$9:$I$9)+FCFF!$B$9+FCFF!$I$9*(1+Inputs!$B$6)/(B4665-Inputs!$B$6)/(1+B4665)^7</f>
        <v>-1568.59397</v>
      </c>
    </row>
    <row r="4666" ht="14.25" customHeight="1">
      <c r="A4666" s="7">
        <v>4653.0</v>
      </c>
      <c r="B4666" s="14">
        <f t="shared" si="1"/>
        <v>0.09596124836</v>
      </c>
      <c r="C4666" s="39">
        <f t="array" ref="C4666">NPV(B4666,FCFF!$C$9:$I$9)+FCFF!$B$9+FCFF!$I$9*(1+Inputs!$B$6)/(B4666-Inputs!$B$6)/(1+B4666)^7</f>
        <v>-1262.319701</v>
      </c>
    </row>
    <row r="4667" ht="14.25" customHeight="1">
      <c r="A4667" s="7">
        <v>4654.0</v>
      </c>
      <c r="B4667" s="14">
        <f t="shared" si="1"/>
        <v>0.1127320051</v>
      </c>
      <c r="C4667" s="39">
        <f t="array" ref="C4667">NPV(B4667,FCFF!$C$9:$I$9)+FCFF!$B$9+FCFF!$I$9*(1+Inputs!$B$6)/(B4667-Inputs!$B$6)/(1+B4667)^7</f>
        <v>-1687.859054</v>
      </c>
    </row>
    <row r="4668" ht="14.25" customHeight="1">
      <c r="A4668" s="7">
        <v>4655.0</v>
      </c>
      <c r="B4668" s="14">
        <f t="shared" si="1"/>
        <v>0.1099631708</v>
      </c>
      <c r="C4668" s="39">
        <f t="array" ref="C4668">NPV(B4668,FCFF!$C$9:$I$9)+FCFF!$B$9+FCFF!$I$9*(1+Inputs!$B$6)/(B4668-Inputs!$B$6)/(1+B4668)^7</f>
        <v>-1630.159068</v>
      </c>
    </row>
    <row r="4669" ht="14.25" customHeight="1">
      <c r="A4669" s="7">
        <v>4656.0</v>
      </c>
      <c r="B4669" s="14">
        <f t="shared" si="1"/>
        <v>0.1234711039</v>
      </c>
      <c r="C4669" s="39">
        <f t="array" ref="C4669">NPV(B4669,FCFF!$C$9:$I$9)+FCFF!$B$9+FCFF!$I$9*(1+Inputs!$B$6)/(B4669-Inputs!$B$6)/(1+B4669)^7</f>
        <v>-1877.955213</v>
      </c>
    </row>
    <row r="4670" ht="14.25" customHeight="1">
      <c r="A4670" s="7">
        <v>4657.0</v>
      </c>
      <c r="B4670" s="14">
        <f t="shared" si="1"/>
        <v>0.1179530818</v>
      </c>
      <c r="C4670" s="39">
        <f t="array" ref="C4670">NPV(B4670,FCFF!$C$9:$I$9)+FCFF!$B$9+FCFF!$I$9*(1+Inputs!$B$6)/(B4670-Inputs!$B$6)/(1+B4670)^7</f>
        <v>-1786.386659</v>
      </c>
    </row>
    <row r="4671" ht="14.25" customHeight="1">
      <c r="A4671" s="7">
        <v>4658.0</v>
      </c>
      <c r="B4671" s="14">
        <f t="shared" si="1"/>
        <v>0.1244848695</v>
      </c>
      <c r="C4671" s="39">
        <f t="array" ref="C4671">NPV(B4671,FCFF!$C$9:$I$9)+FCFF!$B$9+FCFF!$I$9*(1+Inputs!$B$6)/(B4671-Inputs!$B$6)/(1+B4671)^7</f>
        <v>-1893.543037</v>
      </c>
    </row>
    <row r="4672" ht="14.25" customHeight="1">
      <c r="A4672" s="7">
        <v>4659.0</v>
      </c>
      <c r="B4672" s="14">
        <f t="shared" si="1"/>
        <v>0.1082258174</v>
      </c>
      <c r="C4672" s="39">
        <f t="array" ref="C4672">NPV(B4672,FCFF!$C$9:$I$9)+FCFF!$B$9+FCFF!$I$9*(1+Inputs!$B$6)/(B4672-Inputs!$B$6)/(1+B4672)^7</f>
        <v>-1591.796983</v>
      </c>
    </row>
    <row r="4673" ht="14.25" customHeight="1">
      <c r="A4673" s="7">
        <v>4660.0</v>
      </c>
      <c r="B4673" s="14">
        <f t="shared" si="1"/>
        <v>0.1213236508</v>
      </c>
      <c r="C4673" s="39">
        <f t="array" ref="C4673">NPV(B4673,FCFF!$C$9:$I$9)+FCFF!$B$9+FCFF!$I$9*(1+Inputs!$B$6)/(B4673-Inputs!$B$6)/(1+B4673)^7</f>
        <v>-1843.714614</v>
      </c>
    </row>
    <row r="4674" ht="14.25" customHeight="1">
      <c r="A4674" s="7">
        <v>4661.0</v>
      </c>
      <c r="B4674" s="14">
        <f t="shared" si="1"/>
        <v>0.1306599751</v>
      </c>
      <c r="C4674" s="39">
        <f t="array" ref="C4674">NPV(B4674,FCFF!$C$9:$I$9)+FCFF!$B$9+FCFF!$I$9*(1+Inputs!$B$6)/(B4674-Inputs!$B$6)/(1+B4674)^7</f>
        <v>-1981.227505</v>
      </c>
    </row>
    <row r="4675" ht="14.25" customHeight="1">
      <c r="A4675" s="7">
        <v>4662.0</v>
      </c>
      <c r="B4675" s="14">
        <f t="shared" si="1"/>
        <v>0.09795071368</v>
      </c>
      <c r="C4675" s="39">
        <f t="array" ref="C4675">NPV(B4675,FCFF!$C$9:$I$9)+FCFF!$B$9+FCFF!$I$9*(1+Inputs!$B$6)/(B4675-Inputs!$B$6)/(1+B4675)^7</f>
        <v>-1323.912342</v>
      </c>
    </row>
    <row r="4676" ht="14.25" customHeight="1">
      <c r="A4676" s="7">
        <v>4663.0</v>
      </c>
      <c r="B4676" s="14">
        <f t="shared" si="1"/>
        <v>0.1305552773</v>
      </c>
      <c r="C4676" s="39">
        <f t="array" ref="C4676">NPV(B4676,FCFF!$C$9:$I$9)+FCFF!$B$9+FCFF!$I$9*(1+Inputs!$B$6)/(B4676-Inputs!$B$6)/(1+B4676)^7</f>
        <v>-1979.837712</v>
      </c>
    </row>
    <row r="4677" ht="14.25" customHeight="1">
      <c r="A4677" s="7">
        <v>4664.0</v>
      </c>
      <c r="B4677" s="14">
        <f t="shared" si="1"/>
        <v>0.1076163123</v>
      </c>
      <c r="C4677" s="39">
        <f t="array" ref="C4677">NPV(B4677,FCFF!$C$9:$I$9)+FCFF!$B$9+FCFF!$I$9*(1+Inputs!$B$6)/(B4677-Inputs!$B$6)/(1+B4677)^7</f>
        <v>-1577.919742</v>
      </c>
    </row>
    <row r="4678" ht="14.25" customHeight="1">
      <c r="A4678" s="7">
        <v>4665.0</v>
      </c>
      <c r="B4678" s="14">
        <f t="shared" si="1"/>
        <v>0.1291949508</v>
      </c>
      <c r="C4678" s="39">
        <f t="array" ref="C4678">NPV(B4678,FCFF!$C$9:$I$9)+FCFF!$B$9+FCFF!$I$9*(1+Inputs!$B$6)/(B4678-Inputs!$B$6)/(1+B4678)^7</f>
        <v>-1961.490552</v>
      </c>
    </row>
    <row r="4679" ht="14.25" customHeight="1">
      <c r="A4679" s="7">
        <v>4666.0</v>
      </c>
      <c r="B4679" s="14">
        <f t="shared" si="1"/>
        <v>0.1146436677</v>
      </c>
      <c r="C4679" s="39">
        <f t="array" ref="C4679">NPV(B4679,FCFF!$C$9:$I$9)+FCFF!$B$9+FCFF!$I$9*(1+Inputs!$B$6)/(B4679-Inputs!$B$6)/(1+B4679)^7</f>
        <v>-1725.409903</v>
      </c>
    </row>
    <row r="4680" ht="14.25" customHeight="1">
      <c r="A4680" s="7">
        <v>4667.0</v>
      </c>
      <c r="B4680" s="14">
        <f t="shared" si="1"/>
        <v>0.1034139736</v>
      </c>
      <c r="C4680" s="39">
        <f t="array" ref="C4680">NPV(B4680,FCFF!$C$9:$I$9)+FCFF!$B$9+FCFF!$I$9*(1+Inputs!$B$6)/(B4680-Inputs!$B$6)/(1+B4680)^7</f>
        <v>-1475.817473</v>
      </c>
    </row>
    <row r="4681" ht="14.25" customHeight="1">
      <c r="A4681" s="7">
        <v>4668.0</v>
      </c>
      <c r="B4681" s="14">
        <f t="shared" si="1"/>
        <v>0.1156059219</v>
      </c>
      <c r="C4681" s="39">
        <f t="array" ref="C4681">NPV(B4681,FCFF!$C$9:$I$9)+FCFF!$B$9+FCFF!$I$9*(1+Inputs!$B$6)/(B4681-Inputs!$B$6)/(1+B4681)^7</f>
        <v>-1743.649485</v>
      </c>
    </row>
    <row r="4682" ht="14.25" customHeight="1">
      <c r="A4682" s="7">
        <v>4669.0</v>
      </c>
      <c r="B4682" s="14">
        <f t="shared" si="1"/>
        <v>0.1008456822</v>
      </c>
      <c r="C4682" s="39">
        <f t="array" ref="C4682">NPV(B4682,FCFF!$C$9:$I$9)+FCFF!$B$9+FCFF!$I$9*(1+Inputs!$B$6)/(B4682-Inputs!$B$6)/(1+B4682)^7</f>
        <v>-1407.348903</v>
      </c>
    </row>
    <row r="4683" ht="14.25" customHeight="1">
      <c r="A4683" s="7">
        <v>4670.0</v>
      </c>
      <c r="B4683" s="14">
        <f t="shared" si="1"/>
        <v>0.1120726018</v>
      </c>
      <c r="C4683" s="39">
        <f t="array" ref="C4683">NPV(B4683,FCFF!$C$9:$I$9)+FCFF!$B$9+FCFF!$I$9*(1+Inputs!$B$6)/(B4683-Inputs!$B$6)/(1+B4683)^7</f>
        <v>-1674.483793</v>
      </c>
    </row>
    <row r="4684" ht="14.25" customHeight="1">
      <c r="A4684" s="7">
        <v>4671.0</v>
      </c>
      <c r="B4684" s="14">
        <f t="shared" si="1"/>
        <v>0.1066691461</v>
      </c>
      <c r="C4684" s="39">
        <f t="array" ref="C4684">NPV(B4684,FCFF!$C$9:$I$9)+FCFF!$B$9+FCFF!$I$9*(1+Inputs!$B$6)/(B4684-Inputs!$B$6)/(1+B4684)^7</f>
        <v>-1555.905165</v>
      </c>
    </row>
    <row r="4685" ht="14.25" customHeight="1">
      <c r="A4685" s="7">
        <v>4672.0</v>
      </c>
      <c r="B4685" s="14">
        <f t="shared" si="1"/>
        <v>0.1016752119</v>
      </c>
      <c r="C4685" s="39">
        <f t="array" ref="C4685">NPV(B4685,FCFF!$C$9:$I$9)+FCFF!$B$9+FCFF!$I$9*(1+Inputs!$B$6)/(B4685-Inputs!$B$6)/(1+B4685)^7</f>
        <v>-1430.006272</v>
      </c>
    </row>
    <row r="4686" ht="14.25" customHeight="1">
      <c r="A4686" s="7">
        <v>4673.0</v>
      </c>
      <c r="B4686" s="14">
        <f t="shared" si="1"/>
        <v>0.1095957961</v>
      </c>
      <c r="C4686" s="39">
        <f t="array" ref="C4686">NPV(B4686,FCFF!$C$9:$I$9)+FCFF!$B$9+FCFF!$I$9*(1+Inputs!$B$6)/(B4686-Inputs!$B$6)/(1+B4686)^7</f>
        <v>-1622.191052</v>
      </c>
    </row>
    <row r="4687" ht="14.25" customHeight="1">
      <c r="A4687" s="7">
        <v>4674.0</v>
      </c>
      <c r="B4687" s="14">
        <f t="shared" si="1"/>
        <v>0.1305045613</v>
      </c>
      <c r="C4687" s="39">
        <f t="array" ref="C4687">NPV(B4687,FCFF!$C$9:$I$9)+FCFF!$B$9+FCFF!$I$9*(1+Inputs!$B$6)/(B4687-Inputs!$B$6)/(1+B4687)^7</f>
        <v>-1979.163361</v>
      </c>
    </row>
    <row r="4688" ht="14.25" customHeight="1">
      <c r="A4688" s="7">
        <v>4675.0</v>
      </c>
      <c r="B4688" s="14">
        <f t="shared" si="1"/>
        <v>0.09564872589</v>
      </c>
      <c r="C4688" s="39">
        <f t="array" ref="C4688">NPV(B4688,FCFF!$C$9:$I$9)+FCFF!$B$9+FCFF!$I$9*(1+Inputs!$B$6)/(B4688-Inputs!$B$6)/(1+B4688)^7</f>
        <v>-1252.305873</v>
      </c>
    </row>
    <row r="4689" ht="14.25" customHeight="1">
      <c r="A4689" s="7">
        <v>4676.0</v>
      </c>
      <c r="B4689" s="14">
        <f t="shared" si="1"/>
        <v>0.1017525657</v>
      </c>
      <c r="C4689" s="39">
        <f t="array" ref="C4689">NPV(B4689,FCFF!$C$9:$I$9)+FCFF!$B$9+FCFF!$I$9*(1+Inputs!$B$6)/(B4689-Inputs!$B$6)/(1+B4689)^7</f>
        <v>-1432.092099</v>
      </c>
    </row>
    <row r="4690" ht="14.25" customHeight="1">
      <c r="A4690" s="7">
        <v>4677.0</v>
      </c>
      <c r="B4690" s="14">
        <f t="shared" si="1"/>
        <v>0.1322598251</v>
      </c>
      <c r="C4690" s="39">
        <f t="array" ref="C4690">NPV(B4690,FCFF!$C$9:$I$9)+FCFF!$B$9+FCFF!$I$9*(1+Inputs!$B$6)/(B4690-Inputs!$B$6)/(1+B4690)^7</f>
        <v>-2002.079557</v>
      </c>
    </row>
    <row r="4691" ht="14.25" customHeight="1">
      <c r="A4691" s="7">
        <v>4678.0</v>
      </c>
      <c r="B4691" s="14">
        <f t="shared" si="1"/>
        <v>0.1301190204</v>
      </c>
      <c r="C4691" s="39">
        <f t="array" ref="C4691">NPV(B4691,FCFF!$C$9:$I$9)+FCFF!$B$9+FCFF!$I$9*(1+Inputs!$B$6)/(B4691-Inputs!$B$6)/(1+B4691)^7</f>
        <v>-1974.012694</v>
      </c>
    </row>
    <row r="4692" ht="14.25" customHeight="1">
      <c r="A4692" s="7">
        <v>4679.0</v>
      </c>
      <c r="B4692" s="14">
        <f t="shared" si="1"/>
        <v>0.114721152</v>
      </c>
      <c r="C4692" s="39">
        <f t="array" ref="C4692">NPV(B4692,FCFF!$C$9:$I$9)+FCFF!$B$9+FCFF!$I$9*(1+Inputs!$B$6)/(B4692-Inputs!$B$6)/(1+B4692)^7</f>
        <v>-1726.894664</v>
      </c>
    </row>
    <row r="4693" ht="14.25" customHeight="1">
      <c r="A4693" s="7">
        <v>4680.0</v>
      </c>
      <c r="B4693" s="14">
        <f t="shared" si="1"/>
        <v>0.09901430715</v>
      </c>
      <c r="C4693" s="39">
        <f t="array" ref="C4693">NPV(B4693,FCFF!$C$9:$I$9)+FCFF!$B$9+FCFF!$I$9*(1+Inputs!$B$6)/(B4693-Inputs!$B$6)/(1+B4693)^7</f>
        <v>-1355.383568</v>
      </c>
    </row>
    <row r="4694" ht="14.25" customHeight="1">
      <c r="A4694" s="7">
        <v>4681.0</v>
      </c>
      <c r="B4694" s="14">
        <f t="shared" si="1"/>
        <v>0.1025855764</v>
      </c>
      <c r="C4694" s="39">
        <f t="array" ref="C4694">NPV(B4694,FCFF!$C$9:$I$9)+FCFF!$B$9+FCFF!$I$9*(1+Inputs!$B$6)/(B4694-Inputs!$B$6)/(1+B4694)^7</f>
        <v>-1454.269031</v>
      </c>
    </row>
    <row r="4695" ht="14.25" customHeight="1">
      <c r="A4695" s="7">
        <v>4682.0</v>
      </c>
      <c r="B4695" s="14">
        <f t="shared" si="1"/>
        <v>0.1213227229</v>
      </c>
      <c r="C4695" s="39">
        <f t="array" ref="C4695">NPV(B4695,FCFF!$C$9:$I$9)+FCFF!$B$9+FCFF!$I$9*(1+Inputs!$B$6)/(B4695-Inputs!$B$6)/(1+B4695)^7</f>
        <v>-1843.699447</v>
      </c>
    </row>
    <row r="4696" ht="14.25" customHeight="1">
      <c r="A4696" s="7">
        <v>4683.0</v>
      </c>
      <c r="B4696" s="14">
        <f t="shared" si="1"/>
        <v>0.1238505321</v>
      </c>
      <c r="C4696" s="39">
        <f t="array" ref="C4696">NPV(B4696,FCFF!$C$9:$I$9)+FCFF!$B$9+FCFF!$I$9*(1+Inputs!$B$6)/(B4696-Inputs!$B$6)/(1+B4696)^7</f>
        <v>-1883.831524</v>
      </c>
    </row>
    <row r="4697" ht="14.25" customHeight="1">
      <c r="A4697" s="7">
        <v>4684.0</v>
      </c>
      <c r="B4697" s="14">
        <f t="shared" si="1"/>
        <v>0.1108932107</v>
      </c>
      <c r="C4697" s="39">
        <f t="array" ref="C4697">NPV(B4697,FCFF!$C$9:$I$9)+FCFF!$B$9+FCFF!$I$9*(1+Inputs!$B$6)/(B4697-Inputs!$B$6)/(1+B4697)^7</f>
        <v>-1649.996639</v>
      </c>
    </row>
    <row r="4698" ht="14.25" customHeight="1">
      <c r="A4698" s="7">
        <v>4685.0</v>
      </c>
      <c r="B4698" s="14">
        <f t="shared" si="1"/>
        <v>0.1264354925</v>
      </c>
      <c r="C4698" s="39">
        <f t="array" ref="C4698">NPV(B4698,FCFF!$C$9:$I$9)+FCFF!$B$9+FCFF!$I$9*(1+Inputs!$B$6)/(B4698-Inputs!$B$6)/(1+B4698)^7</f>
        <v>-1922.549554</v>
      </c>
    </row>
    <row r="4699" ht="14.25" customHeight="1">
      <c r="A4699" s="7">
        <v>4686.0</v>
      </c>
      <c r="B4699" s="14">
        <f t="shared" si="1"/>
        <v>0.1005652016</v>
      </c>
      <c r="C4699" s="39">
        <f t="array" ref="C4699">NPV(B4699,FCFF!$C$9:$I$9)+FCFF!$B$9+FCFF!$I$9*(1+Inputs!$B$6)/(B4699-Inputs!$B$6)/(1+B4699)^7</f>
        <v>-1399.566365</v>
      </c>
    </row>
    <row r="4700" ht="14.25" customHeight="1">
      <c r="A4700" s="7">
        <v>4687.0</v>
      </c>
      <c r="B4700" s="14">
        <f t="shared" si="1"/>
        <v>0.1244613862</v>
      </c>
      <c r="C4700" s="39">
        <f t="array" ref="C4700">NPV(B4700,FCFF!$C$9:$I$9)+FCFF!$B$9+FCFF!$I$9*(1+Inputs!$B$6)/(B4700-Inputs!$B$6)/(1+B4700)^7</f>
        <v>-1893.186003</v>
      </c>
    </row>
    <row r="4701" ht="14.25" customHeight="1">
      <c r="A4701" s="7">
        <v>4688.0</v>
      </c>
      <c r="B4701" s="14">
        <f t="shared" si="1"/>
        <v>0.09611222873</v>
      </c>
      <c r="C4701" s="39">
        <f t="array" ref="C4701">NPV(B4701,FCFF!$C$9:$I$9)+FCFF!$B$9+FCFF!$I$9*(1+Inputs!$B$6)/(B4701-Inputs!$B$6)/(1+B4701)^7</f>
        <v>-1267.123637</v>
      </c>
    </row>
    <row r="4702" ht="14.25" customHeight="1">
      <c r="A4702" s="7">
        <v>4689.0</v>
      </c>
      <c r="B4702" s="14">
        <f t="shared" si="1"/>
        <v>0.1041663739</v>
      </c>
      <c r="C4702" s="39">
        <f t="array" ref="C4702">NPV(B4702,FCFF!$C$9:$I$9)+FCFF!$B$9+FCFF!$I$9*(1+Inputs!$B$6)/(B4702-Inputs!$B$6)/(1+B4702)^7</f>
        <v>-1494.965549</v>
      </c>
    </row>
    <row r="4703" ht="14.25" customHeight="1">
      <c r="A4703" s="7">
        <v>4690.0</v>
      </c>
      <c r="B4703" s="14">
        <f t="shared" si="1"/>
        <v>0.1298153836</v>
      </c>
      <c r="C4703" s="39">
        <f t="array" ref="C4703">NPV(B4703,FCFF!$C$9:$I$9)+FCFF!$B$9+FCFF!$I$9*(1+Inputs!$B$6)/(B4703-Inputs!$B$6)/(1+B4703)^7</f>
        <v>-1969.925819</v>
      </c>
    </row>
    <row r="4704" ht="14.25" customHeight="1">
      <c r="A4704" s="7">
        <v>4691.0</v>
      </c>
      <c r="B4704" s="14">
        <f t="shared" si="1"/>
        <v>0.102080003</v>
      </c>
      <c r="C4704" s="39">
        <f t="array" ref="C4704">NPV(B4704,FCFF!$C$9:$I$9)+FCFF!$B$9+FCFF!$I$9*(1+Inputs!$B$6)/(B4704-Inputs!$B$6)/(1+B4704)^7</f>
        <v>-1440.871226</v>
      </c>
    </row>
    <row r="4705" ht="14.25" customHeight="1">
      <c r="A4705" s="7">
        <v>4692.0</v>
      </c>
      <c r="B4705" s="14">
        <f t="shared" si="1"/>
        <v>0.1314077391</v>
      </c>
      <c r="C4705" s="39">
        <f t="array" ref="C4705">NPV(B4705,FCFF!$C$9:$I$9)+FCFF!$B$9+FCFF!$I$9*(1+Inputs!$B$6)/(B4705-Inputs!$B$6)/(1+B4705)^7</f>
        <v>-1991.062865</v>
      </c>
    </row>
    <row r="4706" ht="14.25" customHeight="1">
      <c r="A4706" s="7">
        <v>4693.0</v>
      </c>
      <c r="B4706" s="14">
        <f t="shared" si="1"/>
        <v>0.1155846826</v>
      </c>
      <c r="C4706" s="39">
        <f t="array" ref="C4706">NPV(B4706,FCFF!$C$9:$I$9)+FCFF!$B$9+FCFF!$I$9*(1+Inputs!$B$6)/(B4706-Inputs!$B$6)/(1+B4706)^7</f>
        <v>-1743.251526</v>
      </c>
    </row>
    <row r="4707" ht="14.25" customHeight="1">
      <c r="A4707" s="7">
        <v>4694.0</v>
      </c>
      <c r="B4707" s="14">
        <f t="shared" si="1"/>
        <v>0.1199299812</v>
      </c>
      <c r="C4707" s="39">
        <f t="array" ref="C4707">NPV(B4707,FCFF!$C$9:$I$9)+FCFF!$B$9+FCFF!$I$9*(1+Inputs!$B$6)/(B4707-Inputs!$B$6)/(1+B4707)^7</f>
        <v>-1820.561799</v>
      </c>
    </row>
    <row r="4708" ht="14.25" customHeight="1">
      <c r="A4708" s="7">
        <v>4695.0</v>
      </c>
      <c r="B4708" s="14">
        <f t="shared" si="1"/>
        <v>0.1206022724</v>
      </c>
      <c r="C4708" s="39">
        <f t="array" ref="C4708">NPV(B4708,FCFF!$C$9:$I$9)+FCFF!$B$9+FCFF!$I$9*(1+Inputs!$B$6)/(B4708-Inputs!$B$6)/(1+B4708)^7</f>
        <v>-1831.824765</v>
      </c>
    </row>
    <row r="4709" ht="14.25" customHeight="1">
      <c r="A4709" s="7">
        <v>4696.0</v>
      </c>
      <c r="B4709" s="14">
        <f t="shared" si="1"/>
        <v>0.1128019323</v>
      </c>
      <c r="C4709" s="39">
        <f t="array" ref="C4709">NPV(B4709,FCFF!$C$9:$I$9)+FCFF!$B$9+FCFF!$I$9*(1+Inputs!$B$6)/(B4709-Inputs!$B$6)/(1+B4709)^7</f>
        <v>-1689.264466</v>
      </c>
    </row>
    <row r="4710" ht="14.25" customHeight="1">
      <c r="A4710" s="7">
        <v>4697.0</v>
      </c>
      <c r="B4710" s="14">
        <f t="shared" si="1"/>
        <v>0.1283624141</v>
      </c>
      <c r="C4710" s="39">
        <f t="array" ref="C4710">NPV(B4710,FCFF!$C$9:$I$9)+FCFF!$B$9+FCFF!$I$9*(1+Inputs!$B$6)/(B4710-Inputs!$B$6)/(1+B4710)^7</f>
        <v>-1949.990396</v>
      </c>
    </row>
    <row r="4711" ht="14.25" customHeight="1">
      <c r="A4711" s="7">
        <v>4698.0</v>
      </c>
      <c r="B4711" s="14">
        <f t="shared" si="1"/>
        <v>0.116464702</v>
      </c>
      <c r="C4711" s="39">
        <f t="array" ref="C4711">NPV(B4711,FCFF!$C$9:$I$9)+FCFF!$B$9+FCFF!$I$9*(1+Inputs!$B$6)/(B4711-Inputs!$B$6)/(1+B4711)^7</f>
        <v>-1759.568866</v>
      </c>
    </row>
    <row r="4712" ht="14.25" customHeight="1">
      <c r="A4712" s="7">
        <v>4699.0</v>
      </c>
      <c r="B4712" s="14">
        <f t="shared" si="1"/>
        <v>0.1066706573</v>
      </c>
      <c r="C4712" s="39">
        <f t="array" ref="C4712">NPV(B4712,FCFF!$C$9:$I$9)+FCFF!$B$9+FCFF!$I$9*(1+Inputs!$B$6)/(B4712-Inputs!$B$6)/(1+B4712)^7</f>
        <v>-1555.940733</v>
      </c>
    </row>
    <row r="4713" ht="14.25" customHeight="1">
      <c r="A4713" s="7">
        <v>4700.0</v>
      </c>
      <c r="B4713" s="14">
        <f t="shared" si="1"/>
        <v>0.117729275</v>
      </c>
      <c r="C4713" s="39">
        <f t="array" ref="C4713">NPV(B4713,FCFF!$C$9:$I$9)+FCFF!$B$9+FCFF!$I$9*(1+Inputs!$B$6)/(B4713-Inputs!$B$6)/(1+B4713)^7</f>
        <v>-1782.415217</v>
      </c>
    </row>
    <row r="4714" ht="14.25" customHeight="1">
      <c r="A4714" s="7">
        <v>4701.0</v>
      </c>
      <c r="B4714" s="14">
        <f t="shared" si="1"/>
        <v>0.1225563802</v>
      </c>
      <c r="C4714" s="39">
        <f t="array" ref="C4714">NPV(B4714,FCFF!$C$9:$I$9)+FCFF!$B$9+FCFF!$I$9*(1+Inputs!$B$6)/(B4714-Inputs!$B$6)/(1+B4714)^7</f>
        <v>-1863.577078</v>
      </c>
    </row>
    <row r="4715" ht="14.25" customHeight="1">
      <c r="A4715" s="7">
        <v>4702.0</v>
      </c>
      <c r="B4715" s="14">
        <f t="shared" si="1"/>
        <v>0.1010496155</v>
      </c>
      <c r="C4715" s="39">
        <f t="array" ref="C4715">NPV(B4715,FCFF!$C$9:$I$9)+FCFF!$B$9+FCFF!$I$9*(1+Inputs!$B$6)/(B4715-Inputs!$B$6)/(1+B4715)^7</f>
        <v>-1412.968557</v>
      </c>
    </row>
    <row r="4716" ht="14.25" customHeight="1">
      <c r="A4716" s="7">
        <v>4703.0</v>
      </c>
      <c r="B4716" s="14">
        <f t="shared" si="1"/>
        <v>0.1325257798</v>
      </c>
      <c r="C4716" s="39">
        <f t="array" ref="C4716">NPV(B4716,FCFF!$C$9:$I$9)+FCFF!$B$9+FCFF!$I$9*(1+Inputs!$B$6)/(B4716-Inputs!$B$6)/(1+B4716)^7</f>
        <v>-2005.477226</v>
      </c>
    </row>
    <row r="4717" ht="14.25" customHeight="1">
      <c r="A4717" s="7">
        <v>4704.0</v>
      </c>
      <c r="B4717" s="14">
        <f t="shared" si="1"/>
        <v>0.1220172852</v>
      </c>
      <c r="C4717" s="39">
        <f t="array" ref="C4717">NPV(B4717,FCFF!$C$9:$I$9)+FCFF!$B$9+FCFF!$I$9*(1+Inputs!$B$6)/(B4717-Inputs!$B$6)/(1+B4717)^7</f>
        <v>-1854.960522</v>
      </c>
    </row>
    <row r="4718" ht="14.25" customHeight="1">
      <c r="A4718" s="7">
        <v>4705.0</v>
      </c>
      <c r="B4718" s="14">
        <f t="shared" si="1"/>
        <v>0.1018815154</v>
      </c>
      <c r="C4718" s="39">
        <f t="array" ref="C4718">NPV(B4718,FCFF!$C$9:$I$9)+FCFF!$B$9+FCFF!$I$9*(1+Inputs!$B$6)/(B4718-Inputs!$B$6)/(1+B4718)^7</f>
        <v>-1435.559109</v>
      </c>
    </row>
    <row r="4719" ht="14.25" customHeight="1">
      <c r="A4719" s="7">
        <v>4706.0</v>
      </c>
      <c r="B4719" s="14">
        <f t="shared" si="1"/>
        <v>0.1122703277</v>
      </c>
      <c r="C4719" s="39">
        <f t="array" ref="C4719">NPV(B4719,FCFF!$C$9:$I$9)+FCFF!$B$9+FCFF!$I$9*(1+Inputs!$B$6)/(B4719-Inputs!$B$6)/(1+B4719)^7</f>
        <v>-1678.517826</v>
      </c>
    </row>
    <row r="4720" ht="14.25" customHeight="1">
      <c r="A4720" s="7">
        <v>4707.0</v>
      </c>
      <c r="B4720" s="14">
        <f t="shared" si="1"/>
        <v>0.1018309199</v>
      </c>
      <c r="C4720" s="39">
        <f t="array" ref="C4720">NPV(B4720,FCFF!$C$9:$I$9)+FCFF!$B$9+FCFF!$I$9*(1+Inputs!$B$6)/(B4720-Inputs!$B$6)/(1+B4720)^7</f>
        <v>-1434.200271</v>
      </c>
    </row>
    <row r="4721" ht="14.25" customHeight="1">
      <c r="A4721" s="7">
        <v>4708.0</v>
      </c>
      <c r="B4721" s="14">
        <f t="shared" si="1"/>
        <v>0.1196671874</v>
      </c>
      <c r="C4721" s="39">
        <f t="array" ref="C4721">NPV(B4721,FCFF!$C$9:$I$9)+FCFF!$B$9+FCFF!$I$9*(1+Inputs!$B$6)/(B4721-Inputs!$B$6)/(1+B4721)^7</f>
        <v>-1816.110555</v>
      </c>
    </row>
    <row r="4722" ht="14.25" customHeight="1">
      <c r="A4722" s="7">
        <v>4709.0</v>
      </c>
      <c r="B4722" s="14">
        <f t="shared" si="1"/>
        <v>0.1266466827</v>
      </c>
      <c r="C4722" s="39">
        <f t="array" ref="C4722">NPV(B4722,FCFF!$C$9:$I$9)+FCFF!$B$9+FCFF!$I$9*(1+Inputs!$B$6)/(B4722-Inputs!$B$6)/(1+B4722)^7</f>
        <v>-1925.614622</v>
      </c>
    </row>
    <row r="4723" ht="14.25" customHeight="1">
      <c r="A4723" s="7">
        <v>4710.0</v>
      </c>
      <c r="B4723" s="14">
        <f t="shared" si="1"/>
        <v>0.09706692088</v>
      </c>
      <c r="C4723" s="39">
        <f t="array" ref="C4723">NPV(B4723,FCFF!$C$9:$I$9)+FCFF!$B$9+FCFF!$I$9*(1+Inputs!$B$6)/(B4723-Inputs!$B$6)/(1+B4723)^7</f>
        <v>-1297.001064</v>
      </c>
    </row>
    <row r="4724" ht="14.25" customHeight="1">
      <c r="A4724" s="7">
        <v>4711.0</v>
      </c>
      <c r="B4724" s="14">
        <f t="shared" si="1"/>
        <v>0.105350516</v>
      </c>
      <c r="C4724" s="39">
        <f t="array" ref="C4724">NPV(B4724,FCFF!$C$9:$I$9)+FCFF!$B$9+FCFF!$I$9*(1+Inputs!$B$6)/(B4724-Inputs!$B$6)/(1+B4724)^7</f>
        <v>-1524.313044</v>
      </c>
    </row>
    <row r="4725" ht="14.25" customHeight="1">
      <c r="A4725" s="7">
        <v>4712.0</v>
      </c>
      <c r="B4725" s="14">
        <f t="shared" si="1"/>
        <v>0.1235753035</v>
      </c>
      <c r="C4725" s="39">
        <f t="array" ref="C4725">NPV(B4725,FCFF!$C$9:$I$9)+FCFF!$B$9+FCFF!$I$9*(1+Inputs!$B$6)/(B4725-Inputs!$B$6)/(1+B4725)^7</f>
        <v>-1879.574053</v>
      </c>
    </row>
    <row r="4726" ht="14.25" customHeight="1">
      <c r="A4726" s="7">
        <v>4713.0</v>
      </c>
      <c r="B4726" s="14">
        <f t="shared" si="1"/>
        <v>0.09376920542</v>
      </c>
      <c r="C4726" s="39">
        <f t="array" ref="C4726">NPV(B4726,FCFF!$C$9:$I$9)+FCFF!$B$9+FCFF!$I$9*(1+Inputs!$B$6)/(B4726-Inputs!$B$6)/(1+B4726)^7</f>
        <v>-1190.025988</v>
      </c>
    </row>
    <row r="4727" ht="14.25" customHeight="1">
      <c r="A4727" s="7">
        <v>4714.0</v>
      </c>
      <c r="B4727" s="14">
        <f t="shared" si="1"/>
        <v>0.126982937</v>
      </c>
      <c r="C4727" s="39">
        <f t="array" ref="C4727">NPV(B4727,FCFF!$C$9:$I$9)+FCFF!$B$9+FCFF!$I$9*(1+Inputs!$B$6)/(B4727-Inputs!$B$6)/(1+B4727)^7</f>
        <v>-1930.465139</v>
      </c>
    </row>
    <row r="4728" ht="14.25" customHeight="1">
      <c r="A4728" s="7">
        <v>4715.0</v>
      </c>
      <c r="B4728" s="14">
        <f t="shared" si="1"/>
        <v>0.1019966081</v>
      </c>
      <c r="C4728" s="39">
        <f t="array" ref="C4728">NPV(B4728,FCFF!$C$9:$I$9)+FCFF!$B$9+FCFF!$I$9*(1+Inputs!$B$6)/(B4728-Inputs!$B$6)/(1+B4728)^7</f>
        <v>-1438.642941</v>
      </c>
    </row>
    <row r="4729" ht="14.25" customHeight="1">
      <c r="A4729" s="7">
        <v>4716.0</v>
      </c>
      <c r="B4729" s="14">
        <f t="shared" si="1"/>
        <v>0.1117813706</v>
      </c>
      <c r="C4729" s="39">
        <f t="array" ref="C4729">NPV(B4729,FCFF!$C$9:$I$9)+FCFF!$B$9+FCFF!$I$9*(1+Inputs!$B$6)/(B4729-Inputs!$B$6)/(1+B4729)^7</f>
        <v>-1668.505175</v>
      </c>
    </row>
    <row r="4730" ht="14.25" customHeight="1">
      <c r="A4730" s="7">
        <v>4717.0</v>
      </c>
      <c r="B4730" s="14">
        <f t="shared" si="1"/>
        <v>0.1060422293</v>
      </c>
      <c r="C4730" s="39">
        <f t="array" ref="C4730">NPV(B4730,FCFF!$C$9:$I$9)+FCFF!$B$9+FCFF!$I$9*(1+Inputs!$B$6)/(B4730-Inputs!$B$6)/(1+B4730)^7</f>
        <v>-1541.024987</v>
      </c>
    </row>
    <row r="4731" ht="14.25" customHeight="1">
      <c r="A4731" s="7">
        <v>4718.0</v>
      </c>
      <c r="B4731" s="14">
        <f t="shared" si="1"/>
        <v>0.09316700056</v>
      </c>
      <c r="C4731" s="39">
        <f t="array" ref="C4731">NPV(B4731,FCFF!$C$9:$I$9)+FCFF!$B$9+FCFF!$I$9*(1+Inputs!$B$6)/(B4731-Inputs!$B$6)/(1+B4731)^7</f>
        <v>-1169.294504</v>
      </c>
    </row>
    <row r="4732" ht="14.25" customHeight="1">
      <c r="A4732" s="7">
        <v>4719.0</v>
      </c>
      <c r="B4732" s="14">
        <f t="shared" si="1"/>
        <v>0.1156399217</v>
      </c>
      <c r="C4732" s="39">
        <f t="array" ref="C4732">NPV(B4732,FCFF!$C$9:$I$9)+FCFF!$B$9+FCFF!$I$9*(1+Inputs!$B$6)/(B4732-Inputs!$B$6)/(1+B4732)^7</f>
        <v>-1744.286111</v>
      </c>
    </row>
    <row r="4733" ht="14.25" customHeight="1">
      <c r="A4733" s="7">
        <v>4720.0</v>
      </c>
      <c r="B4733" s="14">
        <f t="shared" si="1"/>
        <v>0.1265252791</v>
      </c>
      <c r="C4733" s="39">
        <f t="array" ref="C4733">NPV(B4733,FCFF!$C$9:$I$9)+FCFF!$B$9+FCFF!$I$9*(1+Inputs!$B$6)/(B4733-Inputs!$B$6)/(1+B4733)^7</f>
        <v>-1923.854419</v>
      </c>
    </row>
    <row r="4734" ht="14.25" customHeight="1">
      <c r="A4734" s="7">
        <v>4721.0</v>
      </c>
      <c r="B4734" s="14">
        <f t="shared" si="1"/>
        <v>0.1158367708</v>
      </c>
      <c r="C4734" s="39">
        <f t="array" ref="C4734">NPV(B4734,FCFF!$C$9:$I$9)+FCFF!$B$9+FCFF!$I$9*(1+Inputs!$B$6)/(B4734-Inputs!$B$6)/(1+B4734)^7</f>
        <v>-1747.961596</v>
      </c>
    </row>
    <row r="4735" ht="14.25" customHeight="1">
      <c r="A4735" s="7">
        <v>4722.0</v>
      </c>
      <c r="B4735" s="14">
        <f t="shared" si="1"/>
        <v>0.1298499634</v>
      </c>
      <c r="C4735" s="39">
        <f t="array" ref="C4735">NPV(B4735,FCFF!$C$9:$I$9)+FCFF!$B$9+FCFF!$I$9*(1+Inputs!$B$6)/(B4735-Inputs!$B$6)/(1+B4735)^7</f>
        <v>-1970.392616</v>
      </c>
    </row>
    <row r="4736" ht="14.25" customHeight="1">
      <c r="A4736" s="7">
        <v>4723.0</v>
      </c>
      <c r="B4736" s="14">
        <f t="shared" si="1"/>
        <v>0.09921515712</v>
      </c>
      <c r="C4736" s="39">
        <f t="array" ref="C4736">NPV(B4736,FCFF!$C$9:$I$9)+FCFF!$B$9+FCFF!$I$9*(1+Inputs!$B$6)/(B4736-Inputs!$B$6)/(1+B4736)^7</f>
        <v>-1361.217717</v>
      </c>
    </row>
    <row r="4737" ht="14.25" customHeight="1">
      <c r="A4737" s="7">
        <v>4724.0</v>
      </c>
      <c r="B4737" s="14">
        <f t="shared" si="1"/>
        <v>0.1123390317</v>
      </c>
      <c r="C4737" s="39">
        <f t="array" ref="C4737">NPV(B4737,FCFF!$C$9:$I$9)+FCFF!$B$9+FCFF!$I$9*(1+Inputs!$B$6)/(B4737-Inputs!$B$6)/(1+B4737)^7</f>
        <v>-1679.914824</v>
      </c>
    </row>
    <row r="4738" ht="14.25" customHeight="1">
      <c r="A4738" s="7">
        <v>4725.0</v>
      </c>
      <c r="B4738" s="14">
        <f t="shared" si="1"/>
        <v>0.09767817731</v>
      </c>
      <c r="C4738" s="39">
        <f t="array" ref="C4738">NPV(B4738,FCFF!$C$9:$I$9)+FCFF!$B$9+FCFF!$I$9*(1+Inputs!$B$6)/(B4738-Inputs!$B$6)/(1+B4738)^7</f>
        <v>-1315.68863</v>
      </c>
    </row>
    <row r="4739" ht="14.25" customHeight="1">
      <c r="A4739" s="7">
        <v>4726.0</v>
      </c>
      <c r="B4739" s="14">
        <f t="shared" si="1"/>
        <v>0.1280908035</v>
      </c>
      <c r="C4739" s="39">
        <f t="array" ref="C4739">NPV(B4739,FCFF!$C$9:$I$9)+FCFF!$B$9+FCFF!$I$9*(1+Inputs!$B$6)/(B4739-Inputs!$B$6)/(1+B4739)^7</f>
        <v>-1946.192848</v>
      </c>
    </row>
    <row r="4740" ht="14.25" customHeight="1">
      <c r="A4740" s="7">
        <v>4727.0</v>
      </c>
      <c r="B4740" s="14">
        <f t="shared" si="1"/>
        <v>0.1250328315</v>
      </c>
      <c r="C4740" s="39">
        <f t="array" ref="C4740">NPV(B4740,FCFF!$C$9:$I$9)+FCFF!$B$9+FCFF!$I$9*(1+Inputs!$B$6)/(B4740-Inputs!$B$6)/(1+B4740)^7</f>
        <v>-1901.820492</v>
      </c>
    </row>
    <row r="4741" ht="14.25" customHeight="1">
      <c r="A4741" s="7">
        <v>4728.0</v>
      </c>
      <c r="B4741" s="14">
        <f t="shared" si="1"/>
        <v>0.09459605146</v>
      </c>
      <c r="C4741" s="39">
        <f t="array" ref="C4741">NPV(B4741,FCFF!$C$9:$I$9)+FCFF!$B$9+FCFF!$I$9*(1+Inputs!$B$6)/(B4741-Inputs!$B$6)/(1+B4741)^7</f>
        <v>-1217.867436</v>
      </c>
    </row>
    <row r="4742" ht="14.25" customHeight="1">
      <c r="A4742" s="7">
        <v>4729.0</v>
      </c>
      <c r="B4742" s="14">
        <f t="shared" si="1"/>
        <v>0.0996444797</v>
      </c>
      <c r="C4742" s="39">
        <f t="array" ref="C4742">NPV(B4742,FCFF!$C$9:$I$9)+FCFF!$B$9+FCFF!$I$9*(1+Inputs!$B$6)/(B4742-Inputs!$B$6)/(1+B4742)^7</f>
        <v>-1373.575018</v>
      </c>
    </row>
    <row r="4743" ht="14.25" customHeight="1">
      <c r="A4743" s="7">
        <v>4730.0</v>
      </c>
      <c r="B4743" s="14">
        <f t="shared" si="1"/>
        <v>0.1099047905</v>
      </c>
      <c r="C4743" s="39">
        <f t="array" ref="C4743">NPV(B4743,FCFF!$C$9:$I$9)+FCFF!$B$9+FCFF!$I$9*(1+Inputs!$B$6)/(B4743-Inputs!$B$6)/(1+B4743)^7</f>
        <v>-1628.897908</v>
      </c>
    </row>
    <row r="4744" ht="14.25" customHeight="1">
      <c r="A4744" s="7">
        <v>4731.0</v>
      </c>
      <c r="B4744" s="14">
        <f t="shared" si="1"/>
        <v>0.09384282947</v>
      </c>
      <c r="C4744" s="39">
        <f t="array" ref="C4744">NPV(B4744,FCFF!$C$9:$I$9)+FCFF!$B$9+FCFF!$I$9*(1+Inputs!$B$6)/(B4744-Inputs!$B$6)/(1+B4744)^7</f>
        <v>-1192.534021</v>
      </c>
    </row>
    <row r="4745" ht="14.25" customHeight="1">
      <c r="A4745" s="7">
        <v>4732.0</v>
      </c>
      <c r="B4745" s="14">
        <f t="shared" si="1"/>
        <v>0.1113852607</v>
      </c>
      <c r="C4745" s="39">
        <f t="array" ref="C4745">NPV(B4745,FCFF!$C$9:$I$9)+FCFF!$B$9+FCFF!$I$9*(1+Inputs!$B$6)/(B4745-Inputs!$B$6)/(1+B4745)^7</f>
        <v>-1660.302277</v>
      </c>
    </row>
    <row r="4746" ht="14.25" customHeight="1">
      <c r="A4746" s="7">
        <v>4733.0</v>
      </c>
      <c r="B4746" s="14">
        <f t="shared" si="1"/>
        <v>0.1052919867</v>
      </c>
      <c r="C4746" s="39">
        <f t="array" ref="C4746">NPV(B4746,FCFF!$C$9:$I$9)+FCFF!$B$9+FCFF!$I$9*(1+Inputs!$B$6)/(B4746-Inputs!$B$6)/(1+B4746)^7</f>
        <v>-1522.884574</v>
      </c>
    </row>
    <row r="4747" ht="14.25" customHeight="1">
      <c r="A4747" s="7">
        <v>4734.0</v>
      </c>
      <c r="B4747" s="14">
        <f t="shared" si="1"/>
        <v>0.0974577611</v>
      </c>
      <c r="C4747" s="39">
        <f t="array" ref="C4747">NPV(B4747,FCFF!$C$9:$I$9)+FCFF!$B$9+FCFF!$I$9*(1+Inputs!$B$6)/(B4747-Inputs!$B$6)/(1+B4747)^7</f>
        <v>-1308.989008</v>
      </c>
    </row>
    <row r="4748" ht="14.25" customHeight="1">
      <c r="A4748" s="7">
        <v>4735.0</v>
      </c>
      <c r="B4748" s="14">
        <f t="shared" si="1"/>
        <v>0.1150776544</v>
      </c>
      <c r="C4748" s="39">
        <f t="array" ref="C4748">NPV(B4748,FCFF!$C$9:$I$9)+FCFF!$B$9+FCFF!$I$9*(1+Inputs!$B$6)/(B4748-Inputs!$B$6)/(1+B4748)^7</f>
        <v>-1733.689575</v>
      </c>
    </row>
    <row r="4749" ht="14.25" customHeight="1">
      <c r="A4749" s="7">
        <v>4736.0</v>
      </c>
      <c r="B4749" s="14">
        <f t="shared" si="1"/>
        <v>0.1192726803</v>
      </c>
      <c r="C4749" s="39">
        <f t="array" ref="C4749">NPV(B4749,FCFF!$C$9:$I$9)+FCFF!$B$9+FCFF!$I$9*(1+Inputs!$B$6)/(B4749-Inputs!$B$6)/(1+B4749)^7</f>
        <v>-1809.376272</v>
      </c>
    </row>
    <row r="4750" ht="14.25" customHeight="1">
      <c r="A4750" s="7">
        <v>4737.0</v>
      </c>
      <c r="B4750" s="14">
        <f t="shared" si="1"/>
        <v>0.1058212317</v>
      </c>
      <c r="C4750" s="39">
        <f t="array" ref="C4750">NPV(B4750,FCFF!$C$9:$I$9)+FCFF!$B$9+FCFF!$I$9*(1+Inputs!$B$6)/(B4750-Inputs!$B$6)/(1+B4750)^7</f>
        <v>-1535.719501</v>
      </c>
    </row>
    <row r="4751" ht="14.25" customHeight="1">
      <c r="A4751" s="7">
        <v>4738.0</v>
      </c>
      <c r="B4751" s="14">
        <f t="shared" si="1"/>
        <v>0.1128306538</v>
      </c>
      <c r="C4751" s="39">
        <f t="array" ref="C4751">NPV(B4751,FCFF!$C$9:$I$9)+FCFF!$B$9+FCFF!$I$9*(1+Inputs!$B$6)/(B4751-Inputs!$B$6)/(1+B4751)^7</f>
        <v>-1689.841003</v>
      </c>
    </row>
    <row r="4752" ht="14.25" customHeight="1">
      <c r="A4752" s="7">
        <v>4739.0</v>
      </c>
      <c r="B4752" s="14">
        <f t="shared" si="1"/>
        <v>0.0968361657</v>
      </c>
      <c r="C4752" s="39">
        <f t="array" ref="C4752">NPV(B4752,FCFF!$C$9:$I$9)+FCFF!$B$9+FCFF!$I$9*(1+Inputs!$B$6)/(B4752-Inputs!$B$6)/(1+B4752)^7</f>
        <v>-1289.857537</v>
      </c>
    </row>
    <row r="4753" ht="14.25" customHeight="1">
      <c r="A4753" s="7">
        <v>4740.0</v>
      </c>
      <c r="B4753" s="14">
        <f t="shared" si="1"/>
        <v>0.09745861079</v>
      </c>
      <c r="C4753" s="39">
        <f t="array" ref="C4753">NPV(B4753,FCFF!$C$9:$I$9)+FCFF!$B$9+FCFF!$I$9*(1+Inputs!$B$6)/(B4753-Inputs!$B$6)/(1+B4753)^7</f>
        <v>-1309.014919</v>
      </c>
    </row>
    <row r="4754" ht="14.25" customHeight="1">
      <c r="A4754" s="7">
        <v>4741.0</v>
      </c>
      <c r="B4754" s="14">
        <f t="shared" si="1"/>
        <v>0.09645424423</v>
      </c>
      <c r="C4754" s="39">
        <f t="array" ref="C4754">NPV(B4754,FCFF!$C$9:$I$9)+FCFF!$B$9+FCFF!$I$9*(1+Inputs!$B$6)/(B4754-Inputs!$B$6)/(1+B4754)^7</f>
        <v>-1277.925548</v>
      </c>
    </row>
    <row r="4755" ht="14.25" customHeight="1">
      <c r="A4755" s="7">
        <v>4742.0</v>
      </c>
      <c r="B4755" s="14">
        <f t="shared" si="1"/>
        <v>0.1209287619</v>
      </c>
      <c r="C4755" s="39">
        <f t="array" ref="C4755">NPV(B4755,FCFF!$C$9:$I$9)+FCFF!$B$9+FCFF!$I$9*(1+Inputs!$B$6)/(B4755-Inputs!$B$6)/(1+B4755)^7</f>
        <v>-1837.230808</v>
      </c>
    </row>
    <row r="4756" ht="14.25" customHeight="1">
      <c r="A4756" s="7">
        <v>4743.0</v>
      </c>
      <c r="B4756" s="14">
        <f t="shared" si="1"/>
        <v>0.09655140534</v>
      </c>
      <c r="C4756" s="39">
        <f t="array" ref="C4756">NPV(B4756,FCFF!$C$9:$I$9)+FCFF!$B$9+FCFF!$I$9*(1+Inputs!$B$6)/(B4756-Inputs!$B$6)/(1+B4756)^7</f>
        <v>-1280.974011</v>
      </c>
    </row>
    <row r="4757" ht="14.25" customHeight="1">
      <c r="A4757" s="7">
        <v>4744.0</v>
      </c>
      <c r="B4757" s="14">
        <f t="shared" si="1"/>
        <v>0.09503375257</v>
      </c>
      <c r="C4757" s="39">
        <f t="array" ref="C4757">NPV(B4757,FCFF!$C$9:$I$9)+FCFF!$B$9+FCFF!$I$9*(1+Inputs!$B$6)/(B4757-Inputs!$B$6)/(1+B4757)^7</f>
        <v>-1232.321424</v>
      </c>
    </row>
    <row r="4758" ht="14.25" customHeight="1">
      <c r="A4758" s="7">
        <v>4745.0</v>
      </c>
      <c r="B4758" s="14">
        <f t="shared" si="1"/>
        <v>0.1115018806</v>
      </c>
      <c r="C4758" s="39">
        <f t="array" ref="C4758">NPV(B4758,FCFF!$C$9:$I$9)+FCFF!$B$9+FCFF!$I$9*(1+Inputs!$B$6)/(B4758-Inputs!$B$6)/(1+B4758)^7</f>
        <v>-1662.725903</v>
      </c>
    </row>
    <row r="4759" ht="14.25" customHeight="1">
      <c r="A4759" s="7">
        <v>4746.0</v>
      </c>
      <c r="B4759" s="14">
        <f t="shared" si="1"/>
        <v>0.1214304934</v>
      </c>
      <c r="C4759" s="39">
        <f t="array" ref="C4759">NPV(B4759,FCFF!$C$9:$I$9)+FCFF!$B$9+FCFF!$I$9*(1+Inputs!$B$6)/(B4759-Inputs!$B$6)/(1+B4759)^7</f>
        <v>-1845.458673</v>
      </c>
    </row>
    <row r="4760" ht="14.25" customHeight="1">
      <c r="A4760" s="7">
        <v>4747.0</v>
      </c>
      <c r="B4760" s="14">
        <f t="shared" si="1"/>
        <v>0.1019189265</v>
      </c>
      <c r="C4760" s="39">
        <f t="array" ref="C4760">NPV(B4760,FCFF!$C$9:$I$9)+FCFF!$B$9+FCFF!$I$9*(1+Inputs!$B$6)/(B4760-Inputs!$B$6)/(1+B4760)^7</f>
        <v>-1436.562608</v>
      </c>
    </row>
    <row r="4761" ht="14.25" customHeight="1">
      <c r="A4761" s="7">
        <v>4748.0</v>
      </c>
      <c r="B4761" s="14">
        <f t="shared" si="1"/>
        <v>0.1224829549</v>
      </c>
      <c r="C4761" s="39">
        <f t="array" ref="C4761">NPV(B4761,FCFF!$C$9:$I$9)+FCFF!$B$9+FCFF!$I$9*(1+Inputs!$B$6)/(B4761-Inputs!$B$6)/(1+B4761)^7</f>
        <v>-1862.409787</v>
      </c>
    </row>
    <row r="4762" ht="14.25" customHeight="1">
      <c r="A4762" s="7">
        <v>4749.0</v>
      </c>
      <c r="B4762" s="14">
        <f t="shared" si="1"/>
        <v>0.09935780127</v>
      </c>
      <c r="C4762" s="39">
        <f t="array" ref="C4762">NPV(B4762,FCFF!$C$9:$I$9)+FCFF!$B$9+FCFF!$I$9*(1+Inputs!$B$6)/(B4762-Inputs!$B$6)/(1+B4762)^7</f>
        <v>-1365.340534</v>
      </c>
    </row>
    <row r="4763" ht="14.25" customHeight="1">
      <c r="A4763" s="7">
        <v>4750.0</v>
      </c>
      <c r="B4763" s="14">
        <f t="shared" si="1"/>
        <v>0.125240703</v>
      </c>
      <c r="C4763" s="39">
        <f t="array" ref="C4763">NPV(B4763,FCFF!$C$9:$I$9)+FCFF!$B$9+FCFF!$I$9*(1+Inputs!$B$6)/(B4763-Inputs!$B$6)/(1+B4763)^7</f>
        <v>-1904.933875</v>
      </c>
    </row>
    <row r="4764" ht="14.25" customHeight="1">
      <c r="A4764" s="7">
        <v>4751.0</v>
      </c>
      <c r="B4764" s="14">
        <f t="shared" si="1"/>
        <v>0.09654486208</v>
      </c>
      <c r="C4764" s="39">
        <f t="array" ref="C4764">NPV(B4764,FCFF!$C$9:$I$9)+FCFF!$B$9+FCFF!$I$9*(1+Inputs!$B$6)/(B4764-Inputs!$B$6)/(1+B4764)^7</f>
        <v>-1280.768993</v>
      </c>
    </row>
    <row r="4765" ht="14.25" customHeight="1">
      <c r="A4765" s="7">
        <v>4752.0</v>
      </c>
      <c r="B4765" s="14">
        <f t="shared" si="1"/>
        <v>0.1012805909</v>
      </c>
      <c r="C4765" s="39">
        <f t="array" ref="C4765">NPV(B4765,FCFF!$C$9:$I$9)+FCFF!$B$9+FCFF!$I$9*(1+Inputs!$B$6)/(B4765-Inputs!$B$6)/(1+B4765)^7</f>
        <v>-1419.294199</v>
      </c>
    </row>
    <row r="4766" ht="14.25" customHeight="1">
      <c r="A4766" s="7">
        <v>4753.0</v>
      </c>
      <c r="B4766" s="14">
        <f t="shared" si="1"/>
        <v>0.1316634834</v>
      </c>
      <c r="C4766" s="39">
        <f t="array" ref="C4766">NPV(B4766,FCFF!$C$9:$I$9)+FCFF!$B$9+FCFF!$I$9*(1+Inputs!$B$6)/(B4766-Inputs!$B$6)/(1+B4766)^7</f>
        <v>-1994.390547</v>
      </c>
    </row>
    <row r="4767" ht="14.25" customHeight="1">
      <c r="A4767" s="7">
        <v>4754.0</v>
      </c>
      <c r="B4767" s="14">
        <f t="shared" si="1"/>
        <v>0.0967340198</v>
      </c>
      <c r="C4767" s="39">
        <f t="array" ref="C4767">NPV(B4767,FCFF!$C$9:$I$9)+FCFF!$B$9+FCFF!$I$9*(1+Inputs!$B$6)/(B4767-Inputs!$B$6)/(1+B4767)^7</f>
        <v>-1286.679643</v>
      </c>
    </row>
    <row r="4768" ht="14.25" customHeight="1">
      <c r="A4768" s="7">
        <v>4755.0</v>
      </c>
      <c r="B4768" s="14">
        <f t="shared" si="1"/>
        <v>0.1159057641</v>
      </c>
      <c r="C4768" s="39">
        <f t="array" ref="C4768">NPV(B4768,FCFF!$C$9:$I$9)+FCFF!$B$9+FCFF!$I$9*(1+Inputs!$B$6)/(B4768-Inputs!$B$6)/(1+B4768)^7</f>
        <v>-1749.245635</v>
      </c>
    </row>
    <row r="4769" ht="14.25" customHeight="1">
      <c r="A4769" s="7">
        <v>4756.0</v>
      </c>
      <c r="B4769" s="14">
        <f t="shared" si="1"/>
        <v>0.1143668549</v>
      </c>
      <c r="C4769" s="39">
        <f t="array" ref="C4769">NPV(B4769,FCFF!$C$9:$I$9)+FCFF!$B$9+FCFF!$I$9*(1+Inputs!$B$6)/(B4769-Inputs!$B$6)/(1+B4769)^7</f>
        <v>-1720.08232</v>
      </c>
    </row>
    <row r="4770" ht="14.25" customHeight="1">
      <c r="A4770" s="7">
        <v>4757.0</v>
      </c>
      <c r="B4770" s="14">
        <f t="shared" si="1"/>
        <v>0.1001464495</v>
      </c>
      <c r="C4770" s="39">
        <f t="array" ref="C4770">NPV(B4770,FCFF!$C$9:$I$9)+FCFF!$B$9+FCFF!$I$9*(1+Inputs!$B$6)/(B4770-Inputs!$B$6)/(1+B4770)^7</f>
        <v>-1387.83045</v>
      </c>
    </row>
    <row r="4771" ht="14.25" customHeight="1">
      <c r="A4771" s="7">
        <v>4758.0</v>
      </c>
      <c r="B4771" s="14">
        <f t="shared" si="1"/>
        <v>0.1051438728</v>
      </c>
      <c r="C4771" s="39">
        <f t="array" ref="C4771">NPV(B4771,FCFF!$C$9:$I$9)+FCFF!$B$9+FCFF!$I$9*(1+Inputs!$B$6)/(B4771-Inputs!$B$6)/(1+B4771)^7</f>
        <v>-1519.259554</v>
      </c>
    </row>
    <row r="4772" ht="14.25" customHeight="1">
      <c r="A4772" s="7">
        <v>4759.0</v>
      </c>
      <c r="B4772" s="14">
        <f t="shared" si="1"/>
        <v>0.1165950765</v>
      </c>
      <c r="C4772" s="39">
        <f t="array" ref="C4772">NPV(B4772,FCFF!$C$9:$I$9)+FCFF!$B$9+FCFF!$I$9*(1+Inputs!$B$6)/(B4772-Inputs!$B$6)/(1+B4772)^7</f>
        <v>-1761.956694</v>
      </c>
    </row>
    <row r="4773" ht="14.25" customHeight="1">
      <c r="A4773" s="7">
        <v>4760.0</v>
      </c>
      <c r="B4773" s="14">
        <f t="shared" si="1"/>
        <v>0.1054896091</v>
      </c>
      <c r="C4773" s="39">
        <f t="array" ref="C4773">NPV(B4773,FCFF!$C$9:$I$9)+FCFF!$B$9+FCFF!$I$9*(1+Inputs!$B$6)/(B4773-Inputs!$B$6)/(1+B4773)^7</f>
        <v>-1527.698688</v>
      </c>
    </row>
    <row r="4774" ht="14.25" customHeight="1">
      <c r="A4774" s="7">
        <v>4761.0</v>
      </c>
      <c r="B4774" s="14">
        <f t="shared" si="1"/>
        <v>0.120141732</v>
      </c>
      <c r="C4774" s="39">
        <f t="array" ref="C4774">NPV(B4774,FCFF!$C$9:$I$9)+FCFF!$B$9+FCFF!$I$9*(1+Inputs!$B$6)/(B4774-Inputs!$B$6)/(1+B4774)^7</f>
        <v>-1824.128484</v>
      </c>
    </row>
    <row r="4775" ht="14.25" customHeight="1">
      <c r="A4775" s="7">
        <v>4762.0</v>
      </c>
      <c r="B4775" s="14">
        <f t="shared" si="1"/>
        <v>0.1067732332</v>
      </c>
      <c r="C4775" s="39">
        <f t="array" ref="C4775">NPV(B4775,FCFF!$C$9:$I$9)+FCFF!$B$9+FCFF!$I$9*(1+Inputs!$B$6)/(B4775-Inputs!$B$6)/(1+B4775)^7</f>
        <v>-1558.35165</v>
      </c>
    </row>
    <row r="4776" ht="14.25" customHeight="1">
      <c r="A4776" s="7">
        <v>4763.0</v>
      </c>
      <c r="B4776" s="14">
        <f t="shared" si="1"/>
        <v>0.1054638939</v>
      </c>
      <c r="C4776" s="39">
        <f t="array" ref="C4776">NPV(B4776,FCFF!$C$9:$I$9)+FCFF!$B$9+FCFF!$I$9*(1+Inputs!$B$6)/(B4776-Inputs!$B$6)/(1+B4776)^7</f>
        <v>-1527.073719</v>
      </c>
    </row>
    <row r="4777" ht="14.25" customHeight="1">
      <c r="A4777" s="7">
        <v>4764.0</v>
      </c>
      <c r="B4777" s="14">
        <f t="shared" si="1"/>
        <v>0.1168417074</v>
      </c>
      <c r="C4777" s="39">
        <f t="array" ref="C4777">NPV(B4777,FCFF!$C$9:$I$9)+FCFF!$B$9+FCFF!$I$9*(1+Inputs!$B$6)/(B4777-Inputs!$B$6)/(1+B4777)^7</f>
        <v>-1766.453187</v>
      </c>
    </row>
    <row r="4778" ht="14.25" customHeight="1">
      <c r="A4778" s="7">
        <v>4765.0</v>
      </c>
      <c r="B4778" s="14">
        <f t="shared" si="1"/>
        <v>0.1315644064</v>
      </c>
      <c r="C4778" s="39">
        <f t="array" ref="C4778">NPV(B4778,FCFF!$C$9:$I$9)+FCFF!$B$9+FCFF!$I$9*(1+Inputs!$B$6)/(B4778-Inputs!$B$6)/(1+B4778)^7</f>
        <v>-1993.103548</v>
      </c>
    </row>
    <row r="4779" ht="14.25" customHeight="1">
      <c r="A4779" s="7">
        <v>4766.0</v>
      </c>
      <c r="B4779" s="14">
        <f t="shared" si="1"/>
        <v>0.09427342602</v>
      </c>
      <c r="C4779" s="39">
        <f t="array" ref="C4779">NPV(B4779,FCFF!$C$9:$I$9)+FCFF!$B$9+FCFF!$I$9*(1+Inputs!$B$6)/(B4779-Inputs!$B$6)/(1+B4779)^7</f>
        <v>-1207.088496</v>
      </c>
    </row>
    <row r="4780" ht="14.25" customHeight="1">
      <c r="A4780" s="7">
        <v>4767.0</v>
      </c>
      <c r="B4780" s="14">
        <f t="shared" si="1"/>
        <v>0.1051465059</v>
      </c>
      <c r="C4780" s="39">
        <f t="array" ref="C4780">NPV(B4780,FCFF!$C$9:$I$9)+FCFF!$B$9+FCFF!$I$9*(1+Inputs!$B$6)/(B4780-Inputs!$B$6)/(1+B4780)^7</f>
        <v>-1519.324125</v>
      </c>
    </row>
    <row r="4781" ht="14.25" customHeight="1">
      <c r="A4781" s="7">
        <v>4768.0</v>
      </c>
      <c r="B4781" s="14">
        <f t="shared" si="1"/>
        <v>0.1321190498</v>
      </c>
      <c r="C4781" s="39">
        <f t="array" ref="C4781">NPV(B4781,FCFF!$C$9:$I$9)+FCFF!$B$9+FCFF!$I$9*(1+Inputs!$B$6)/(B4781-Inputs!$B$6)/(1+B4781)^7</f>
        <v>-2000.273282</v>
      </c>
    </row>
    <row r="4782" ht="14.25" customHeight="1">
      <c r="A4782" s="7">
        <v>4769.0</v>
      </c>
      <c r="B4782" s="14">
        <f t="shared" si="1"/>
        <v>0.1061087989</v>
      </c>
      <c r="C4782" s="39">
        <f t="array" ref="C4782">NPV(B4782,FCFF!$C$9:$I$9)+FCFF!$B$9+FCFF!$I$9*(1+Inputs!$B$6)/(B4782-Inputs!$B$6)/(1+B4782)^7</f>
        <v>-1542.616951</v>
      </c>
    </row>
    <row r="4783" ht="14.25" customHeight="1">
      <c r="A4783" s="7">
        <v>4770.0</v>
      </c>
      <c r="B4783" s="14">
        <f t="shared" si="1"/>
        <v>0.1200576513</v>
      </c>
      <c r="C4783" s="39">
        <f t="array" ref="C4783">NPV(B4783,FCFF!$C$9:$I$9)+FCFF!$B$9+FCFF!$I$9*(1+Inputs!$B$6)/(B4783-Inputs!$B$6)/(1+B4783)^7</f>
        <v>-1822.714373</v>
      </c>
    </row>
    <row r="4784" ht="14.25" customHeight="1">
      <c r="A4784" s="7">
        <v>4771.0</v>
      </c>
      <c r="B4784" s="14">
        <f t="shared" si="1"/>
        <v>0.1285939941</v>
      </c>
      <c r="C4784" s="39">
        <f t="array" ref="C4784">NPV(B4784,FCFF!$C$9:$I$9)+FCFF!$B$9+FCFF!$I$9*(1+Inputs!$B$6)/(B4784-Inputs!$B$6)/(1+B4784)^7</f>
        <v>-1953.210395</v>
      </c>
    </row>
    <row r="4785" ht="14.25" customHeight="1">
      <c r="A4785" s="7">
        <v>4772.0</v>
      </c>
      <c r="B4785" s="14">
        <f t="shared" si="1"/>
        <v>0.126069903</v>
      </c>
      <c r="C4785" s="39">
        <f t="array" ref="C4785">NPV(B4785,FCFF!$C$9:$I$9)+FCFF!$B$9+FCFF!$I$9*(1+Inputs!$B$6)/(B4785-Inputs!$B$6)/(1+B4785)^7</f>
        <v>-1917.20937</v>
      </c>
    </row>
    <row r="4786" ht="14.25" customHeight="1">
      <c r="A4786" s="7">
        <v>4773.0</v>
      </c>
      <c r="B4786" s="14">
        <f t="shared" si="1"/>
        <v>0.1137078512</v>
      </c>
      <c r="C4786" s="39">
        <f t="array" ref="C4786">NPV(B4786,FCFF!$C$9:$I$9)+FCFF!$B$9+FCFF!$I$9*(1+Inputs!$B$6)/(B4786-Inputs!$B$6)/(1+B4786)^7</f>
        <v>-1707.250992</v>
      </c>
    </row>
    <row r="4787" ht="14.25" customHeight="1">
      <c r="A4787" s="7">
        <v>4774.0</v>
      </c>
      <c r="B4787" s="14">
        <f t="shared" si="1"/>
        <v>0.1279861775</v>
      </c>
      <c r="C4787" s="39">
        <f t="array" ref="C4787">NPV(B4787,FCFF!$C$9:$I$9)+FCFF!$B$9+FCFF!$I$9*(1+Inputs!$B$6)/(B4787-Inputs!$B$6)/(1+B4787)^7</f>
        <v>-1944.723941</v>
      </c>
    </row>
    <row r="4788" ht="14.25" customHeight="1">
      <c r="A4788" s="7">
        <v>4775.0</v>
      </c>
      <c r="B4788" s="14">
        <f t="shared" si="1"/>
        <v>0.1176220037</v>
      </c>
      <c r="C4788" s="39">
        <f t="array" ref="C4788">NPV(B4788,FCFF!$C$9:$I$9)+FCFF!$B$9+FCFF!$I$9*(1+Inputs!$B$6)/(B4788-Inputs!$B$6)/(1+B4788)^7</f>
        <v>-1780.504118</v>
      </c>
    </row>
    <row r="4789" ht="14.25" customHeight="1">
      <c r="A4789" s="7">
        <v>4776.0</v>
      </c>
      <c r="B4789" s="14">
        <f t="shared" si="1"/>
        <v>0.131801383</v>
      </c>
      <c r="C4789" s="39">
        <f t="array" ref="C4789">NPV(B4789,FCFF!$C$9:$I$9)+FCFF!$B$9+FCFF!$I$9*(1+Inputs!$B$6)/(B4789-Inputs!$B$6)/(1+B4789)^7</f>
        <v>-1996.177304</v>
      </c>
    </row>
    <row r="4790" ht="14.25" customHeight="1">
      <c r="A4790" s="7">
        <v>4777.0</v>
      </c>
      <c r="B4790" s="14">
        <f t="shared" si="1"/>
        <v>0.1117938688</v>
      </c>
      <c r="C4790" s="39">
        <f t="array" ref="C4790">NPV(B4790,FCFF!$C$9:$I$9)+FCFF!$B$9+FCFF!$I$9*(1+Inputs!$B$6)/(B4790-Inputs!$B$6)/(1+B4790)^7</f>
        <v>-1668.762654</v>
      </c>
    </row>
    <row r="4791" ht="14.25" customHeight="1">
      <c r="A4791" s="7">
        <v>4778.0</v>
      </c>
      <c r="B4791" s="14">
        <f t="shared" si="1"/>
        <v>0.1307804922</v>
      </c>
      <c r="C4791" s="39">
        <f t="array" ref="C4791">NPV(B4791,FCFF!$C$9:$I$9)+FCFF!$B$9+FCFF!$I$9*(1+Inputs!$B$6)/(B4791-Inputs!$B$6)/(1+B4791)^7</f>
        <v>-1982.823403</v>
      </c>
    </row>
    <row r="4792" ht="14.25" customHeight="1">
      <c r="A4792" s="7">
        <v>4779.0</v>
      </c>
      <c r="B4792" s="14">
        <f t="shared" si="1"/>
        <v>0.1291115978</v>
      </c>
      <c r="C4792" s="39">
        <f t="array" ref="C4792">NPV(B4792,FCFF!$C$9:$I$9)+FCFF!$B$9+FCFF!$I$9*(1+Inputs!$B$6)/(B4792-Inputs!$B$6)/(1+B4792)^7</f>
        <v>-1960.348581</v>
      </c>
    </row>
    <row r="4793" ht="14.25" customHeight="1">
      <c r="A4793" s="7">
        <v>4780.0</v>
      </c>
      <c r="B4793" s="14">
        <f t="shared" si="1"/>
        <v>0.1035542589</v>
      </c>
      <c r="C4793" s="39">
        <f t="array" ref="C4793">NPV(B4793,FCFF!$C$9:$I$9)+FCFF!$B$9+FCFF!$I$9*(1+Inputs!$B$6)/(B4793-Inputs!$B$6)/(1+B4793)^7</f>
        <v>-1479.417832</v>
      </c>
    </row>
    <row r="4794" ht="14.25" customHeight="1">
      <c r="A4794" s="7">
        <v>4781.0</v>
      </c>
      <c r="B4794" s="14">
        <f t="shared" si="1"/>
        <v>0.09765975519</v>
      </c>
      <c r="C4794" s="39">
        <f t="array" ref="C4794">NPV(B4794,FCFF!$C$9:$I$9)+FCFF!$B$9+FCFF!$I$9*(1+Inputs!$B$6)/(B4794-Inputs!$B$6)/(1+B4794)^7</f>
        <v>-1315.130355</v>
      </c>
    </row>
    <row r="4795" ht="14.25" customHeight="1">
      <c r="A4795" s="7">
        <v>4782.0</v>
      </c>
      <c r="B4795" s="14">
        <f t="shared" si="1"/>
        <v>0.130193985</v>
      </c>
      <c r="C4795" s="39">
        <f t="array" ref="C4795">NPV(B4795,FCFF!$C$9:$I$9)+FCFF!$B$9+FCFF!$I$9*(1+Inputs!$B$6)/(B4795-Inputs!$B$6)/(1+B4795)^7</f>
        <v>-1975.017561</v>
      </c>
    </row>
    <row r="4796" ht="14.25" customHeight="1">
      <c r="A4796" s="7">
        <v>4783.0</v>
      </c>
      <c r="B4796" s="14">
        <f t="shared" si="1"/>
        <v>0.1273849223</v>
      </c>
      <c r="C4796" s="39">
        <f t="array" ref="C4796">NPV(B4796,FCFF!$C$9:$I$9)+FCFF!$B$9+FCFF!$I$9*(1+Inputs!$B$6)/(B4796-Inputs!$B$6)/(1+B4796)^7</f>
        <v>-1936.216496</v>
      </c>
    </row>
    <row r="4797" ht="14.25" customHeight="1">
      <c r="A4797" s="7">
        <v>4784.0</v>
      </c>
      <c r="B4797" s="14">
        <f t="shared" si="1"/>
        <v>0.1153525873</v>
      </c>
      <c r="C4797" s="39">
        <f t="array" ref="C4797">NPV(B4797,FCFF!$C$9:$I$9)+FCFF!$B$9+FCFF!$I$9*(1+Inputs!$B$6)/(B4797-Inputs!$B$6)/(1+B4797)^7</f>
        <v>-1738.889239</v>
      </c>
    </row>
    <row r="4798" ht="14.25" customHeight="1">
      <c r="A4798" s="7">
        <v>4785.0</v>
      </c>
      <c r="B4798" s="14">
        <f t="shared" si="1"/>
        <v>0.1272275891</v>
      </c>
      <c r="C4798" s="39">
        <f t="array" ref="C4798">NPV(B4798,FCFF!$C$9:$I$9)+FCFF!$B$9+FCFF!$I$9*(1+Inputs!$B$6)/(B4798-Inputs!$B$6)/(1+B4798)^7</f>
        <v>-1933.971575</v>
      </c>
    </row>
    <row r="4799" ht="14.25" customHeight="1">
      <c r="A4799" s="7">
        <v>4786.0</v>
      </c>
      <c r="B4799" s="14">
        <f t="shared" si="1"/>
        <v>0.1327870693</v>
      </c>
      <c r="C4799" s="39">
        <f t="array" ref="C4799">NPV(B4799,FCFF!$C$9:$I$9)+FCFF!$B$9+FCFF!$I$9*(1+Inputs!$B$6)/(B4799-Inputs!$B$6)/(1+B4799)^7</f>
        <v>-2008.796602</v>
      </c>
    </row>
    <row r="4800" ht="14.25" customHeight="1">
      <c r="A4800" s="7">
        <v>4787.0</v>
      </c>
      <c r="B4800" s="14">
        <f t="shared" si="1"/>
        <v>0.1224102249</v>
      </c>
      <c r="C4800" s="39">
        <f t="array" ref="C4800">NPV(B4800,FCFF!$C$9:$I$9)+FCFF!$B$9+FCFF!$I$9*(1+Inputs!$B$6)/(B4800-Inputs!$B$6)/(1+B4800)^7</f>
        <v>-1861.2516</v>
      </c>
    </row>
    <row r="4801" ht="14.25" customHeight="1">
      <c r="A4801" s="7">
        <v>4788.0</v>
      </c>
      <c r="B4801" s="14">
        <f t="shared" si="1"/>
        <v>0.1148799711</v>
      </c>
      <c r="C4801" s="39">
        <f t="array" ref="C4801">NPV(B4801,FCFF!$C$9:$I$9)+FCFF!$B$9+FCFF!$I$9*(1+Inputs!$B$6)/(B4801-Inputs!$B$6)/(1+B4801)^7</f>
        <v>-1729.929116</v>
      </c>
    </row>
    <row r="4802" ht="14.25" customHeight="1">
      <c r="A4802" s="7">
        <v>4789.0</v>
      </c>
      <c r="B4802" s="14">
        <f t="shared" si="1"/>
        <v>0.1327892669</v>
      </c>
      <c r="C4802" s="39">
        <f t="array" ref="C4802">NPV(B4802,FCFF!$C$9:$I$9)+FCFF!$B$9+FCFF!$I$9*(1+Inputs!$B$6)/(B4802-Inputs!$B$6)/(1+B4802)^7</f>
        <v>-2008.824443</v>
      </c>
    </row>
    <row r="4803" ht="14.25" customHeight="1">
      <c r="A4803" s="7">
        <v>4790.0</v>
      </c>
      <c r="B4803" s="14">
        <f t="shared" si="1"/>
        <v>0.1062249625</v>
      </c>
      <c r="C4803" s="39">
        <f t="array" ref="C4803">NPV(B4803,FCFF!$C$9:$I$9)+FCFF!$B$9+FCFF!$I$9*(1+Inputs!$B$6)/(B4803-Inputs!$B$6)/(1+B4803)^7</f>
        <v>-1545.388107</v>
      </c>
    </row>
    <row r="4804" ht="14.25" customHeight="1">
      <c r="A4804" s="7">
        <v>4791.0</v>
      </c>
      <c r="B4804" s="14">
        <f t="shared" si="1"/>
        <v>0.1208735826</v>
      </c>
      <c r="C4804" s="39">
        <f t="array" ref="C4804">NPV(B4804,FCFF!$C$9:$I$9)+FCFF!$B$9+FCFF!$I$9*(1+Inputs!$B$6)/(B4804-Inputs!$B$6)/(1+B4804)^7</f>
        <v>-1836.320038</v>
      </c>
    </row>
    <row r="4805" ht="14.25" customHeight="1">
      <c r="A4805" s="7">
        <v>4792.0</v>
      </c>
      <c r="B4805" s="14">
        <f t="shared" si="1"/>
        <v>0.127129578</v>
      </c>
      <c r="C4805" s="39">
        <f t="array" ref="C4805">NPV(B4805,FCFF!$C$9:$I$9)+FCFF!$B$9+FCFF!$I$9*(1+Inputs!$B$6)/(B4805-Inputs!$B$6)/(1+B4805)^7</f>
        <v>-1932.569132</v>
      </c>
    </row>
    <row r="4806" ht="14.25" customHeight="1">
      <c r="A4806" s="7">
        <v>4793.0</v>
      </c>
      <c r="B4806" s="14">
        <f t="shared" si="1"/>
        <v>0.1077917014</v>
      </c>
      <c r="C4806" s="39">
        <f t="array" ref="C4806">NPV(B4806,FCFF!$C$9:$I$9)+FCFF!$B$9+FCFF!$I$9*(1+Inputs!$B$6)/(B4806-Inputs!$B$6)/(1+B4806)^7</f>
        <v>-1581.935899</v>
      </c>
    </row>
    <row r="4807" ht="14.25" customHeight="1">
      <c r="A4807" s="7">
        <v>4794.0</v>
      </c>
      <c r="B4807" s="14">
        <f t="shared" si="1"/>
        <v>0.1093366353</v>
      </c>
      <c r="C4807" s="39">
        <f t="array" ref="C4807">NPV(B4807,FCFF!$C$9:$I$9)+FCFF!$B$9+FCFF!$I$9*(1+Inputs!$B$6)/(B4807-Inputs!$B$6)/(1+B4807)^7</f>
        <v>-1616.524292</v>
      </c>
    </row>
    <row r="4808" ht="14.25" customHeight="1">
      <c r="A4808" s="7">
        <v>4795.0</v>
      </c>
      <c r="B4808" s="14">
        <f t="shared" si="1"/>
        <v>0.110787499</v>
      </c>
      <c r="C4808" s="39">
        <f t="array" ref="C4808">NPV(B4808,FCFF!$C$9:$I$9)+FCFF!$B$9+FCFF!$I$9*(1+Inputs!$B$6)/(B4808-Inputs!$B$6)/(1+B4808)^7</f>
        <v>-1647.765619</v>
      </c>
    </row>
    <row r="4809" ht="14.25" customHeight="1">
      <c r="A4809" s="7">
        <v>4796.0</v>
      </c>
      <c r="B4809" s="14">
        <f t="shared" si="1"/>
        <v>0.1138203318</v>
      </c>
      <c r="C4809" s="39">
        <f t="array" ref="C4809">NPV(B4809,FCFF!$C$9:$I$9)+FCFF!$B$9+FCFF!$I$9*(1+Inputs!$B$6)/(B4809-Inputs!$B$6)/(1+B4809)^7</f>
        <v>-1709.455976</v>
      </c>
    </row>
    <row r="4810" ht="14.25" customHeight="1">
      <c r="A4810" s="7">
        <v>4797.0</v>
      </c>
      <c r="B4810" s="14">
        <f t="shared" si="1"/>
        <v>0.1084969036</v>
      </c>
      <c r="C4810" s="39">
        <f t="array" ref="C4810">NPV(B4810,FCFF!$C$9:$I$9)+FCFF!$B$9+FCFF!$I$9*(1+Inputs!$B$6)/(B4810-Inputs!$B$6)/(1+B4810)^7</f>
        <v>-1597.897934</v>
      </c>
    </row>
    <row r="4811" ht="14.25" customHeight="1">
      <c r="A4811" s="7">
        <v>4798.0</v>
      </c>
      <c r="B4811" s="14">
        <f t="shared" si="1"/>
        <v>0.1137437793</v>
      </c>
      <c r="C4811" s="39">
        <f t="array" ref="C4811">NPV(B4811,FCFF!$C$9:$I$9)+FCFF!$B$9+FCFF!$I$9*(1+Inputs!$B$6)/(B4811-Inputs!$B$6)/(1+B4811)^7</f>
        <v>-1707.95597</v>
      </c>
    </row>
    <row r="4812" ht="14.25" customHeight="1">
      <c r="A4812" s="7">
        <v>4799.0</v>
      </c>
      <c r="B4812" s="14">
        <f t="shared" si="1"/>
        <v>0.1201893566</v>
      </c>
      <c r="C4812" s="39">
        <f t="array" ref="C4812">NPV(B4812,FCFF!$C$9:$I$9)+FCFF!$B$9+FCFF!$I$9*(1+Inputs!$B$6)/(B4812-Inputs!$B$6)/(1+B4812)^7</f>
        <v>-1824.92822</v>
      </c>
    </row>
    <row r="4813" ht="14.25" customHeight="1">
      <c r="A4813" s="7">
        <v>4800.0</v>
      </c>
      <c r="B4813" s="14">
        <f t="shared" si="1"/>
        <v>0.1222670353</v>
      </c>
      <c r="C4813" s="39">
        <f t="array" ref="C4813">NPV(B4813,FCFF!$C$9:$I$9)+FCFF!$B$9+FCFF!$I$9*(1+Inputs!$B$6)/(B4813-Inputs!$B$6)/(1+B4813)^7</f>
        <v>-1858.965699</v>
      </c>
    </row>
    <row r="4814" ht="14.25" customHeight="1">
      <c r="A4814" s="7">
        <v>4801.0</v>
      </c>
      <c r="B4814" s="14">
        <f t="shared" si="1"/>
        <v>0.1303550948</v>
      </c>
      <c r="C4814" s="39">
        <f t="array" ref="C4814">NPV(B4814,FCFF!$C$9:$I$9)+FCFF!$B$9+FCFF!$I$9*(1+Inputs!$B$6)/(B4814-Inputs!$B$6)/(1+B4814)^7</f>
        <v>-1977.171652</v>
      </c>
    </row>
    <row r="4815" ht="14.25" customHeight="1">
      <c r="A4815" s="7">
        <v>4802.0</v>
      </c>
      <c r="B4815" s="14">
        <f t="shared" si="1"/>
        <v>0.09568894097</v>
      </c>
      <c r="C4815" s="39">
        <f t="array" ref="C4815">NPV(B4815,FCFF!$C$9:$I$9)+FCFF!$B$9+FCFF!$I$9*(1+Inputs!$B$6)/(B4815-Inputs!$B$6)/(1+B4815)^7</f>
        <v>-1253.599759</v>
      </c>
    </row>
    <row r="4816" ht="14.25" customHeight="1">
      <c r="A4816" s="7">
        <v>4803.0</v>
      </c>
      <c r="B4816" s="14">
        <f t="shared" si="1"/>
        <v>0.1166155056</v>
      </c>
      <c r="C4816" s="39">
        <f t="array" ref="C4816">NPV(B4816,FCFF!$C$9:$I$9)+FCFF!$B$9+FCFF!$I$9*(1+Inputs!$B$6)/(B4816-Inputs!$B$6)/(1+B4816)^7</f>
        <v>-1762.33017</v>
      </c>
    </row>
    <row r="4817" ht="14.25" customHeight="1">
      <c r="A4817" s="7">
        <v>4804.0</v>
      </c>
      <c r="B4817" s="14">
        <f t="shared" si="1"/>
        <v>0.1013374732</v>
      </c>
      <c r="C4817" s="39">
        <f t="array" ref="C4817">NPV(B4817,FCFF!$C$9:$I$9)+FCFF!$B$9+FCFF!$I$9*(1+Inputs!$B$6)/(B4817-Inputs!$B$6)/(1+B4817)^7</f>
        <v>-1420.845667</v>
      </c>
    </row>
    <row r="4818" ht="14.25" customHeight="1">
      <c r="A4818" s="7">
        <v>4805.0</v>
      </c>
      <c r="B4818" s="14">
        <f t="shared" si="1"/>
        <v>0.1311867785</v>
      </c>
      <c r="C4818" s="39">
        <f t="array" ref="C4818">NPV(B4818,FCFF!$C$9:$I$9)+FCFF!$B$9+FCFF!$I$9*(1+Inputs!$B$6)/(B4818-Inputs!$B$6)/(1+B4818)^7</f>
        <v>-1988.173027</v>
      </c>
    </row>
    <row r="4819" ht="14.25" customHeight="1">
      <c r="A4819" s="7">
        <v>4806.0</v>
      </c>
      <c r="B4819" s="14">
        <f t="shared" si="1"/>
        <v>0.09376228263</v>
      </c>
      <c r="C4819" s="39">
        <f t="array" ref="C4819">NPV(B4819,FCFF!$C$9:$I$9)+FCFF!$B$9+FCFF!$I$9*(1+Inputs!$B$6)/(B4819-Inputs!$B$6)/(1+B4819)^7</f>
        <v>-1189.789866</v>
      </c>
    </row>
    <row r="4820" ht="14.25" customHeight="1">
      <c r="A4820" s="7">
        <v>4807.0</v>
      </c>
      <c r="B4820" s="14">
        <f t="shared" si="1"/>
        <v>0.106419609</v>
      </c>
      <c r="C4820" s="39">
        <f t="array" ref="C4820">NPV(B4820,FCFF!$C$9:$I$9)+FCFF!$B$9+FCFF!$I$9*(1+Inputs!$B$6)/(B4820-Inputs!$B$6)/(1+B4820)^7</f>
        <v>-1550.012208</v>
      </c>
    </row>
    <row r="4821" ht="14.25" customHeight="1">
      <c r="A4821" s="7">
        <v>4808.0</v>
      </c>
      <c r="B4821" s="14">
        <f t="shared" si="1"/>
        <v>0.1023248686</v>
      </c>
      <c r="C4821" s="39">
        <f t="array" ref="C4821">NPV(B4821,FCFF!$C$9:$I$9)+FCFF!$B$9+FCFF!$I$9*(1+Inputs!$B$6)/(B4821-Inputs!$B$6)/(1+B4821)^7</f>
        <v>-1447.383905</v>
      </c>
    </row>
    <row r="4822" ht="14.25" customHeight="1">
      <c r="A4822" s="7">
        <v>4809.0</v>
      </c>
      <c r="B4822" s="14">
        <f t="shared" si="1"/>
        <v>0.09377754079</v>
      </c>
      <c r="C4822" s="39">
        <f t="array" ref="C4822">NPV(B4822,FCFF!$C$9:$I$9)+FCFF!$B$9+FCFF!$I$9*(1+Inputs!$B$6)/(B4822-Inputs!$B$6)/(1+B4822)^7</f>
        <v>-1190.310224</v>
      </c>
    </row>
    <row r="4823" ht="14.25" customHeight="1">
      <c r="A4823" s="7">
        <v>4810.0</v>
      </c>
      <c r="B4823" s="14">
        <f t="shared" si="1"/>
        <v>0.1015467465</v>
      </c>
      <c r="C4823" s="39">
        <f t="array" ref="C4823">NPV(B4823,FCFF!$C$9:$I$9)+FCFF!$B$9+FCFF!$I$9*(1+Inputs!$B$6)/(B4823-Inputs!$B$6)/(1+B4823)^7</f>
        <v>-1426.532159</v>
      </c>
    </row>
    <row r="4824" ht="14.25" customHeight="1">
      <c r="A4824" s="7">
        <v>4811.0</v>
      </c>
      <c r="B4824" s="14">
        <f t="shared" si="1"/>
        <v>0.1316366357</v>
      </c>
      <c r="C4824" s="39">
        <f t="array" ref="C4824">NPV(B4824,FCFF!$C$9:$I$9)+FCFF!$B$9+FCFF!$I$9*(1+Inputs!$B$6)/(B4824-Inputs!$B$6)/(1+B4824)^7</f>
        <v>-1994.042069</v>
      </c>
    </row>
    <row r="4825" ht="14.25" customHeight="1">
      <c r="A4825" s="7">
        <v>4812.0</v>
      </c>
      <c r="B4825" s="14">
        <f t="shared" si="1"/>
        <v>0.1190093734</v>
      </c>
      <c r="C4825" s="39">
        <f t="array" ref="C4825">NPV(B4825,FCFF!$C$9:$I$9)+FCFF!$B$9+FCFF!$I$9*(1+Inputs!$B$6)/(B4825-Inputs!$B$6)/(1+B4825)^7</f>
        <v>-1804.846476</v>
      </c>
    </row>
    <row r="4826" ht="14.25" customHeight="1">
      <c r="A4826" s="7">
        <v>4813.0</v>
      </c>
      <c r="B4826" s="14">
        <f t="shared" si="1"/>
        <v>0.1272471487</v>
      </c>
      <c r="C4826" s="39">
        <f t="array" ref="C4826">NPV(B4826,FCFF!$C$9:$I$9)+FCFF!$B$9+FCFF!$I$9*(1+Inputs!$B$6)/(B4826-Inputs!$B$6)/(1+B4826)^7</f>
        <v>-1934.251088</v>
      </c>
    </row>
    <row r="4827" ht="14.25" customHeight="1">
      <c r="A4827" s="7">
        <v>4814.0</v>
      </c>
      <c r="B4827" s="14">
        <f t="shared" si="1"/>
        <v>0.09377171233</v>
      </c>
      <c r="C4827" s="39">
        <f t="array" ref="C4827">NPV(B4827,FCFF!$C$9:$I$9)+FCFF!$B$9+FCFF!$I$9*(1+Inputs!$B$6)/(B4827-Inputs!$B$6)/(1+B4827)^7</f>
        <v>-1190.111482</v>
      </c>
    </row>
    <row r="4828" ht="14.25" customHeight="1">
      <c r="A4828" s="7">
        <v>4815.0</v>
      </c>
      <c r="B4828" s="14">
        <f t="shared" si="1"/>
        <v>0.1069767577</v>
      </c>
      <c r="C4828" s="39">
        <f t="array" ref="C4828">NPV(B4828,FCFF!$C$9:$I$9)+FCFF!$B$9+FCFF!$I$9*(1+Inputs!$B$6)/(B4828-Inputs!$B$6)/(1+B4828)^7</f>
        <v>-1563.115746</v>
      </c>
    </row>
    <row r="4829" ht="14.25" customHeight="1">
      <c r="A4829" s="7">
        <v>4816.0</v>
      </c>
      <c r="B4829" s="14">
        <f t="shared" si="1"/>
        <v>0.1138775828</v>
      </c>
      <c r="C4829" s="39">
        <f t="array" ref="C4829">NPV(B4829,FCFF!$C$9:$I$9)+FCFF!$B$9+FCFF!$I$9*(1+Inputs!$B$6)/(B4829-Inputs!$B$6)/(1+B4829)^7</f>
        <v>-1710.575912</v>
      </c>
    </row>
    <row r="4830" ht="14.25" customHeight="1">
      <c r="A4830" s="7">
        <v>4817.0</v>
      </c>
      <c r="B4830" s="14">
        <f t="shared" si="1"/>
        <v>0.119562342</v>
      </c>
      <c r="C4830" s="39">
        <f t="array" ref="C4830">NPV(B4830,FCFF!$C$9:$I$9)+FCFF!$B$9+FCFF!$I$9*(1+Inputs!$B$6)/(B4830-Inputs!$B$6)/(1+B4830)^7</f>
        <v>-1814.326952</v>
      </c>
    </row>
    <row r="4831" ht="14.25" customHeight="1">
      <c r="A4831" s="7">
        <v>4818.0</v>
      </c>
      <c r="B4831" s="14">
        <f t="shared" si="1"/>
        <v>0.1303855423</v>
      </c>
      <c r="C4831" s="39">
        <f t="array" ref="C4831">NPV(B4831,FCFF!$C$9:$I$9)+FCFF!$B$9+FCFF!$I$9*(1+Inputs!$B$6)/(B4831-Inputs!$B$6)/(1+B4831)^7</f>
        <v>-1977.5779</v>
      </c>
    </row>
    <row r="4832" ht="14.25" customHeight="1">
      <c r="A4832" s="7">
        <v>4819.0</v>
      </c>
      <c r="B4832" s="14">
        <f t="shared" si="1"/>
        <v>0.1106661699</v>
      </c>
      <c r="C4832" s="39">
        <f t="array" ref="C4832">NPV(B4832,FCFF!$C$9:$I$9)+FCFF!$B$9+FCFF!$I$9*(1+Inputs!$B$6)/(B4832-Inputs!$B$6)/(1+B4832)^7</f>
        <v>-1645.197541</v>
      </c>
    </row>
    <row r="4833" ht="14.25" customHeight="1">
      <c r="A4833" s="7">
        <v>4820.0</v>
      </c>
      <c r="B4833" s="14">
        <f t="shared" si="1"/>
        <v>0.1064143884</v>
      </c>
      <c r="C4833" s="39">
        <f t="array" ref="C4833">NPV(B4833,FCFF!$C$9:$I$9)+FCFF!$B$9+FCFF!$I$9*(1+Inputs!$B$6)/(B4833-Inputs!$B$6)/(1+B4833)^7</f>
        <v>-1549.8885</v>
      </c>
    </row>
    <row r="4834" ht="14.25" customHeight="1">
      <c r="A4834" s="7">
        <v>4821.0</v>
      </c>
      <c r="B4834" s="14">
        <f t="shared" si="1"/>
        <v>0.1328204936</v>
      </c>
      <c r="C4834" s="39">
        <f t="array" ref="C4834">NPV(B4834,FCFF!$C$9:$I$9)+FCFF!$B$9+FCFF!$I$9*(1+Inputs!$B$6)/(B4834-Inputs!$B$6)/(1+B4834)^7</f>
        <v>-2009.21989</v>
      </c>
    </row>
    <row r="4835" ht="14.25" customHeight="1">
      <c r="A4835" s="7">
        <v>4822.0</v>
      </c>
      <c r="B4835" s="14">
        <f t="shared" si="1"/>
        <v>0.1050277372</v>
      </c>
      <c r="C4835" s="39">
        <f t="array" ref="C4835">NPV(B4835,FCFF!$C$9:$I$9)+FCFF!$B$9+FCFF!$I$9*(1+Inputs!$B$6)/(B4835-Inputs!$B$6)/(1+B4835)^7</f>
        <v>-1516.406976</v>
      </c>
    </row>
    <row r="4836" ht="14.25" customHeight="1">
      <c r="A4836" s="7">
        <v>4823.0</v>
      </c>
      <c r="B4836" s="14">
        <f t="shared" si="1"/>
        <v>0.1202346957</v>
      </c>
      <c r="C4836" s="39">
        <f t="array" ref="C4836">NPV(B4836,FCFF!$C$9:$I$9)+FCFF!$B$9+FCFF!$I$9*(1+Inputs!$B$6)/(B4836-Inputs!$B$6)/(1+B4836)^7</f>
        <v>-1825.688745</v>
      </c>
    </row>
    <row r="4837" ht="14.25" customHeight="1">
      <c r="A4837" s="7">
        <v>4824.0</v>
      </c>
      <c r="B4837" s="14">
        <f t="shared" si="1"/>
        <v>0.1245767836</v>
      </c>
      <c r="C4837" s="39">
        <f t="array" ref="C4837">NPV(B4837,FCFF!$C$9:$I$9)+FCFF!$B$9+FCFF!$I$9*(1+Inputs!$B$6)/(B4837-Inputs!$B$6)/(1+B4837)^7</f>
        <v>-1894.938654</v>
      </c>
    </row>
    <row r="4838" ht="14.25" customHeight="1">
      <c r="A4838" s="7">
        <v>4825.0</v>
      </c>
      <c r="B4838" s="14">
        <f t="shared" si="1"/>
        <v>0.09843917289</v>
      </c>
      <c r="C4838" s="39">
        <f t="array" ref="C4838">NPV(B4838,FCFF!$C$9:$I$9)+FCFF!$B$9+FCFF!$I$9*(1+Inputs!$B$6)/(B4838-Inputs!$B$6)/(1+B4838)^7</f>
        <v>-1338.487374</v>
      </c>
    </row>
    <row r="4839" ht="14.25" customHeight="1">
      <c r="A4839" s="7">
        <v>4826.0</v>
      </c>
      <c r="B4839" s="14">
        <f t="shared" si="1"/>
        <v>0.1027017208</v>
      </c>
      <c r="C4839" s="39">
        <f t="array" ref="C4839">NPV(B4839,FCFF!$C$9:$I$9)+FCFF!$B$9+FCFF!$I$9*(1+Inputs!$B$6)/(B4839-Inputs!$B$6)/(1+B4839)^7</f>
        <v>-1457.320221</v>
      </c>
    </row>
    <row r="4840" ht="14.25" customHeight="1">
      <c r="A4840" s="7">
        <v>4827.0</v>
      </c>
      <c r="B4840" s="14">
        <f t="shared" si="1"/>
        <v>0.1079828494</v>
      </c>
      <c r="C4840" s="39">
        <f t="array" ref="C4840">NPV(B4840,FCFF!$C$9:$I$9)+FCFF!$B$9+FCFF!$I$9*(1+Inputs!$B$6)/(B4840-Inputs!$B$6)/(1+B4840)^7</f>
        <v>-1586.291788</v>
      </c>
    </row>
    <row r="4841" ht="14.25" customHeight="1">
      <c r="A4841" s="7">
        <v>4828.0</v>
      </c>
      <c r="B4841" s="14">
        <f t="shared" si="1"/>
        <v>0.1020045501</v>
      </c>
      <c r="C4841" s="39">
        <f t="array" ref="C4841">NPV(B4841,FCFF!$C$9:$I$9)+FCFF!$B$9+FCFF!$I$9*(1+Inputs!$B$6)/(B4841-Inputs!$B$6)/(1+B4841)^7</f>
        <v>-1438.855375</v>
      </c>
    </row>
    <row r="4842" ht="14.25" customHeight="1">
      <c r="A4842" s="7">
        <v>4829.0</v>
      </c>
      <c r="B4842" s="14">
        <f t="shared" si="1"/>
        <v>0.101144412</v>
      </c>
      <c r="C4842" s="39">
        <f t="array" ref="C4842">NPV(B4842,FCFF!$C$9:$I$9)+FCFF!$B$9+FCFF!$I$9*(1+Inputs!$B$6)/(B4842-Inputs!$B$6)/(1+B4842)^7</f>
        <v>-1415.569731</v>
      </c>
    </row>
    <row r="4843" ht="14.25" customHeight="1">
      <c r="A4843" s="7">
        <v>4830.0</v>
      </c>
      <c r="B4843" s="14">
        <f t="shared" si="1"/>
        <v>0.1060195852</v>
      </c>
      <c r="C4843" s="39">
        <f t="array" ref="C4843">NPV(B4843,FCFF!$C$9:$I$9)+FCFF!$B$9+FCFF!$I$9*(1+Inputs!$B$6)/(B4843-Inputs!$B$6)/(1+B4843)^7</f>
        <v>-1540.48282</v>
      </c>
    </row>
    <row r="4844" ht="14.25" customHeight="1">
      <c r="A4844" s="7">
        <v>4831.0</v>
      </c>
      <c r="B4844" s="14">
        <f t="shared" si="1"/>
        <v>0.1207438218</v>
      </c>
      <c r="C4844" s="39">
        <f t="array" ref="C4844">NPV(B4844,FCFF!$C$9:$I$9)+FCFF!$B$9+FCFF!$I$9*(1+Inputs!$B$6)/(B4844-Inputs!$B$6)/(1+B4844)^7</f>
        <v>-1834.173621</v>
      </c>
    </row>
    <row r="4845" ht="14.25" customHeight="1">
      <c r="A4845" s="7">
        <v>4832.0</v>
      </c>
      <c r="B4845" s="14">
        <f t="shared" si="1"/>
        <v>0.1212180815</v>
      </c>
      <c r="C4845" s="39">
        <f t="array" ref="C4845">NPV(B4845,FCFF!$C$9:$I$9)+FCFF!$B$9+FCFF!$I$9*(1+Inputs!$B$6)/(B4845-Inputs!$B$6)/(1+B4845)^7</f>
        <v>-1841.987075</v>
      </c>
    </row>
    <row r="4846" ht="14.25" customHeight="1">
      <c r="A4846" s="7">
        <v>4833.0</v>
      </c>
      <c r="B4846" s="14">
        <f t="shared" si="1"/>
        <v>0.118658331</v>
      </c>
      <c r="C4846" s="39">
        <f t="array" ref="C4846">NPV(B4846,FCFF!$C$9:$I$9)+FCFF!$B$9+FCFF!$I$9*(1+Inputs!$B$6)/(B4846-Inputs!$B$6)/(1+B4846)^7</f>
        <v>-1798.763116</v>
      </c>
    </row>
    <row r="4847" ht="14.25" customHeight="1">
      <c r="A4847" s="7">
        <v>4834.0</v>
      </c>
      <c r="B4847" s="14">
        <f t="shared" si="1"/>
        <v>0.1002104673</v>
      </c>
      <c r="C4847" s="39">
        <f t="array" ref="C4847">NPV(B4847,FCFF!$C$9:$I$9)+FCFF!$B$9+FCFF!$I$9*(1+Inputs!$B$6)/(B4847-Inputs!$B$6)/(1+B4847)^7</f>
        <v>-1389.63374</v>
      </c>
    </row>
    <row r="4848" ht="14.25" customHeight="1">
      <c r="A4848" s="7">
        <v>4835.0</v>
      </c>
      <c r="B4848" s="14">
        <f t="shared" si="1"/>
        <v>0.1046886882</v>
      </c>
      <c r="C4848" s="39">
        <f t="array" ref="C4848">NPV(B4848,FCFF!$C$9:$I$9)+FCFF!$B$9+FCFF!$I$9*(1+Inputs!$B$6)/(B4848-Inputs!$B$6)/(1+B4848)^7</f>
        <v>-1508.027343</v>
      </c>
    </row>
    <row r="4849" ht="14.25" customHeight="1">
      <c r="A4849" s="7">
        <v>4836.0</v>
      </c>
      <c r="B4849" s="14">
        <f t="shared" si="1"/>
        <v>0.1169988828</v>
      </c>
      <c r="C4849" s="39">
        <f t="array" ref="C4849">NPV(B4849,FCFF!$C$9:$I$9)+FCFF!$B$9+FCFF!$I$9*(1+Inputs!$B$6)/(B4849-Inputs!$B$6)/(1+B4849)^7</f>
        <v>-1769.304786</v>
      </c>
    </row>
    <row r="4850" ht="14.25" customHeight="1">
      <c r="A4850" s="7">
        <v>4837.0</v>
      </c>
      <c r="B4850" s="14">
        <f t="shared" si="1"/>
        <v>0.1082445537</v>
      </c>
      <c r="C4850" s="39">
        <f t="array" ref="C4850">NPV(B4850,FCFF!$C$9:$I$9)+FCFF!$B$9+FCFF!$I$9*(1+Inputs!$B$6)/(B4850-Inputs!$B$6)/(1+B4850)^7</f>
        <v>-1592.220053</v>
      </c>
    </row>
    <row r="4851" ht="14.25" customHeight="1">
      <c r="A4851" s="7">
        <v>4838.0</v>
      </c>
      <c r="B4851" s="14">
        <f t="shared" si="1"/>
        <v>0.1141544942</v>
      </c>
      <c r="C4851" s="39">
        <f t="array" ref="C4851">NPV(B4851,FCFF!$C$9:$I$9)+FCFF!$B$9+FCFF!$I$9*(1+Inputs!$B$6)/(B4851-Inputs!$B$6)/(1+B4851)^7</f>
        <v>-1715.970384</v>
      </c>
    </row>
    <row r="4852" ht="14.25" customHeight="1">
      <c r="A4852" s="7">
        <v>4839.0</v>
      </c>
      <c r="B4852" s="14">
        <f t="shared" si="1"/>
        <v>0.1183059416</v>
      </c>
      <c r="C4852" s="39">
        <f t="array" ref="C4852">NPV(B4852,FCFF!$C$9:$I$9)+FCFF!$B$9+FCFF!$I$9*(1+Inputs!$B$6)/(B4852-Inputs!$B$6)/(1+B4852)^7</f>
        <v>-1792.605069</v>
      </c>
    </row>
    <row r="4853" ht="14.25" customHeight="1">
      <c r="A4853" s="7">
        <v>4840.0</v>
      </c>
      <c r="B4853" s="14">
        <f t="shared" si="1"/>
        <v>0.1043436366</v>
      </c>
      <c r="C4853" s="39">
        <f t="array" ref="C4853">NPV(B4853,FCFF!$C$9:$I$9)+FCFF!$B$9+FCFF!$I$9*(1+Inputs!$B$6)/(B4853-Inputs!$B$6)/(1+B4853)^7</f>
        <v>-1499.419399</v>
      </c>
    </row>
    <row r="4854" ht="14.25" customHeight="1">
      <c r="A4854" s="7">
        <v>4841.0</v>
      </c>
      <c r="B4854" s="14">
        <f t="shared" si="1"/>
        <v>0.1217776777</v>
      </c>
      <c r="C4854" s="39">
        <f t="array" ref="C4854">NPV(B4854,FCFF!$C$9:$I$9)+FCFF!$B$9+FCFF!$I$9*(1+Inputs!$B$6)/(B4854-Inputs!$B$6)/(1+B4854)^7</f>
        <v>-1851.096194</v>
      </c>
    </row>
    <row r="4855" ht="14.25" customHeight="1">
      <c r="A4855" s="7">
        <v>4842.0</v>
      </c>
      <c r="B4855" s="14">
        <f t="shared" si="1"/>
        <v>0.118024595</v>
      </c>
      <c r="C4855" s="39">
        <f t="array" ref="C4855">NPV(B4855,FCFF!$C$9:$I$9)+FCFF!$B$9+FCFF!$I$9*(1+Inputs!$B$6)/(B4855-Inputs!$B$6)/(1+B4855)^7</f>
        <v>-1787.651172</v>
      </c>
    </row>
    <row r="4856" ht="14.25" customHeight="1">
      <c r="A4856" s="7">
        <v>4843.0</v>
      </c>
      <c r="B4856" s="14">
        <f t="shared" si="1"/>
        <v>0.1253192663</v>
      </c>
      <c r="C4856" s="39">
        <f t="array" ref="C4856">NPV(B4856,FCFF!$C$9:$I$9)+FCFF!$B$9+FCFF!$I$9*(1+Inputs!$B$6)/(B4856-Inputs!$B$6)/(1+B4856)^7</f>
        <v>-1906.106761</v>
      </c>
    </row>
    <row r="4857" ht="14.25" customHeight="1">
      <c r="A4857" s="7">
        <v>4844.0</v>
      </c>
      <c r="B4857" s="14">
        <f t="shared" si="1"/>
        <v>0.1018279935</v>
      </c>
      <c r="C4857" s="39">
        <f t="array" ref="C4857">NPV(B4857,FCFF!$C$9:$I$9)+FCFF!$B$9+FCFF!$I$9*(1+Inputs!$B$6)/(B4857-Inputs!$B$6)/(1+B4857)^7</f>
        <v>-1434.121619</v>
      </c>
    </row>
    <row r="4858" ht="14.25" customHeight="1">
      <c r="A4858" s="7">
        <v>4845.0</v>
      </c>
      <c r="B4858" s="14">
        <f t="shared" si="1"/>
        <v>0.1277608704</v>
      </c>
      <c r="C4858" s="39">
        <f t="array" ref="C4858">NPV(B4858,FCFF!$C$9:$I$9)+FCFF!$B$9+FCFF!$I$9*(1+Inputs!$B$6)/(B4858-Inputs!$B$6)/(1+B4858)^7</f>
        <v>-1941.549193</v>
      </c>
    </row>
    <row r="4859" ht="14.25" customHeight="1">
      <c r="A4859" s="7">
        <v>4846.0</v>
      </c>
      <c r="B4859" s="14">
        <f t="shared" si="1"/>
        <v>0.09768875181</v>
      </c>
      <c r="C4859" s="39">
        <f t="array" ref="C4859">NPV(B4859,FCFF!$C$9:$I$9)+FCFF!$B$9+FCFF!$I$9*(1+Inputs!$B$6)/(B4859-Inputs!$B$6)/(1+B4859)^7</f>
        <v>-1316.008948</v>
      </c>
    </row>
    <row r="4860" ht="14.25" customHeight="1">
      <c r="A4860" s="7">
        <v>4847.0</v>
      </c>
      <c r="B4860" s="14">
        <f t="shared" si="1"/>
        <v>0.09419027765</v>
      </c>
      <c r="C4860" s="39">
        <f t="array" ref="C4860">NPV(B4860,FCFF!$C$9:$I$9)+FCFF!$B$9+FCFF!$I$9*(1+Inputs!$B$6)/(B4860-Inputs!$B$6)/(1+B4860)^7</f>
        <v>-1204.293093</v>
      </c>
    </row>
    <row r="4861" ht="14.25" customHeight="1">
      <c r="A4861" s="7">
        <v>4848.0</v>
      </c>
      <c r="B4861" s="14">
        <f t="shared" si="1"/>
        <v>0.1039116026</v>
      </c>
      <c r="C4861" s="39">
        <f t="array" ref="C4861">NPV(B4861,FCFF!$C$9:$I$9)+FCFF!$B$9+FCFF!$I$9*(1+Inputs!$B$6)/(B4861-Inputs!$B$6)/(1+B4861)^7</f>
        <v>-1488.526169</v>
      </c>
    </row>
    <row r="4862" ht="14.25" customHeight="1">
      <c r="A4862" s="7">
        <v>4849.0</v>
      </c>
      <c r="B4862" s="14">
        <f t="shared" si="1"/>
        <v>0.1017234898</v>
      </c>
      <c r="C4862" s="39">
        <f t="array" ref="C4862">NPV(B4862,FCFF!$C$9:$I$9)+FCFF!$B$9+FCFF!$I$9*(1+Inputs!$B$6)/(B4862-Inputs!$B$6)/(1+B4862)^7</f>
        <v>-1431.30861</v>
      </c>
    </row>
    <row r="4863" ht="14.25" customHeight="1">
      <c r="A4863" s="7">
        <v>4850.0</v>
      </c>
      <c r="B4863" s="14">
        <f t="shared" si="1"/>
        <v>0.1218455962</v>
      </c>
      <c r="C4863" s="39">
        <f t="array" ref="C4863">NPV(B4863,FCFF!$C$9:$I$9)+FCFF!$B$9+FCFF!$I$9*(1+Inputs!$B$6)/(B4863-Inputs!$B$6)/(1+B4863)^7</f>
        <v>-1852.193744</v>
      </c>
    </row>
    <row r="4864" ht="14.25" customHeight="1">
      <c r="A4864" s="7">
        <v>4851.0</v>
      </c>
      <c r="B4864" s="14">
        <f t="shared" si="1"/>
        <v>0.1319857717</v>
      </c>
      <c r="C4864" s="39">
        <f t="array" ref="C4864">NPV(B4864,FCFF!$C$9:$I$9)+FCFF!$B$9+FCFF!$I$9*(1+Inputs!$B$6)/(B4864-Inputs!$B$6)/(1+B4864)^7</f>
        <v>-1998.55819</v>
      </c>
    </row>
    <row r="4865" ht="14.25" customHeight="1">
      <c r="A4865" s="7">
        <v>4852.0</v>
      </c>
      <c r="B4865" s="14">
        <f t="shared" si="1"/>
        <v>0.1146611761</v>
      </c>
      <c r="C4865" s="39">
        <f t="array" ref="C4865">NPV(B4865,FCFF!$C$9:$I$9)+FCFF!$B$9+FCFF!$I$9*(1+Inputs!$B$6)/(B4865-Inputs!$B$6)/(1+B4865)^7</f>
        <v>-1725.74565</v>
      </c>
    </row>
    <row r="4866" ht="14.25" customHeight="1">
      <c r="A4866" s="7">
        <v>4853.0</v>
      </c>
      <c r="B4866" s="14">
        <f t="shared" si="1"/>
        <v>0.1156883975</v>
      </c>
      <c r="C4866" s="39">
        <f t="array" ref="C4866">NPV(B4866,FCFF!$C$9:$I$9)+FCFF!$B$9+FCFF!$I$9*(1+Inputs!$B$6)/(B4866-Inputs!$B$6)/(1+B4866)^7</f>
        <v>-1745.192872</v>
      </c>
    </row>
    <row r="4867" ht="14.25" customHeight="1">
      <c r="A4867" s="7">
        <v>4854.0</v>
      </c>
      <c r="B4867" s="14">
        <f t="shared" si="1"/>
        <v>0.1299365659</v>
      </c>
      <c r="C4867" s="39">
        <f t="array" ref="C4867">NPV(B4867,FCFF!$C$9:$I$9)+FCFF!$B$9+FCFF!$I$9*(1+Inputs!$B$6)/(B4867-Inputs!$B$6)/(1+B4867)^7</f>
        <v>-1971.560134</v>
      </c>
    </row>
    <row r="4868" ht="14.25" customHeight="1">
      <c r="A4868" s="7">
        <v>4855.0</v>
      </c>
      <c r="B4868" s="14">
        <f t="shared" si="1"/>
        <v>0.1277718434</v>
      </c>
      <c r="C4868" s="39">
        <f t="array" ref="C4868">NPV(B4868,FCFF!$C$9:$I$9)+FCFF!$B$9+FCFF!$I$9*(1+Inputs!$B$6)/(B4868-Inputs!$B$6)/(1+B4868)^7</f>
        <v>-1941.704177</v>
      </c>
    </row>
    <row r="4869" ht="14.25" customHeight="1">
      <c r="A4869" s="7">
        <v>4856.0</v>
      </c>
      <c r="B4869" s="14">
        <f t="shared" si="1"/>
        <v>0.11056371</v>
      </c>
      <c r="C4869" s="39">
        <f t="array" ref="C4869">NPV(B4869,FCFF!$C$9:$I$9)+FCFF!$B$9+FCFF!$I$9*(1+Inputs!$B$6)/(B4869-Inputs!$B$6)/(1+B4869)^7</f>
        <v>-1643.022618</v>
      </c>
    </row>
    <row r="4870" ht="14.25" customHeight="1">
      <c r="A4870" s="7">
        <v>4857.0</v>
      </c>
      <c r="B4870" s="14">
        <f t="shared" si="1"/>
        <v>0.1329065031</v>
      </c>
      <c r="C4870" s="39">
        <f t="array" ref="C4870">NPV(B4870,FCFF!$C$9:$I$9)+FCFF!$B$9+FCFF!$I$9*(1+Inputs!$B$6)/(B4870-Inputs!$B$6)/(1+B4870)^7</f>
        <v>-2010.307738</v>
      </c>
    </row>
    <row r="4871" ht="14.25" customHeight="1">
      <c r="A4871" s="7">
        <v>4858.0</v>
      </c>
      <c r="B4871" s="14">
        <f t="shared" si="1"/>
        <v>0.0971981438</v>
      </c>
      <c r="C4871" s="39">
        <f t="array" ref="C4871">NPV(B4871,FCFF!$C$9:$I$9)+FCFF!$B$9+FCFF!$I$9*(1+Inputs!$B$6)/(B4871-Inputs!$B$6)/(1+B4871)^7</f>
        <v>-1301.041502</v>
      </c>
    </row>
    <row r="4872" ht="14.25" customHeight="1">
      <c r="A4872" s="7">
        <v>4859.0</v>
      </c>
      <c r="B4872" s="14">
        <f t="shared" si="1"/>
        <v>0.1143300224</v>
      </c>
      <c r="C4872" s="39">
        <f t="array" ref="C4872">NPV(B4872,FCFF!$C$9:$I$9)+FCFF!$B$9+FCFF!$I$9*(1+Inputs!$B$6)/(B4872-Inputs!$B$6)/(1+B4872)^7</f>
        <v>-1719.370682</v>
      </c>
    </row>
    <row r="4873" ht="14.25" customHeight="1">
      <c r="A4873" s="7">
        <v>4860.0</v>
      </c>
      <c r="B4873" s="14">
        <f t="shared" si="1"/>
        <v>0.1315472914</v>
      </c>
      <c r="C4873" s="39">
        <f t="array" ref="C4873">NPV(B4873,FCFF!$C$9:$I$9)+FCFF!$B$9+FCFF!$I$9*(1+Inputs!$B$6)/(B4873-Inputs!$B$6)/(1+B4873)^7</f>
        <v>-1992.880948</v>
      </c>
    </row>
    <row r="4874" ht="14.25" customHeight="1">
      <c r="A4874" s="7">
        <v>4861.0</v>
      </c>
      <c r="B4874" s="14">
        <f t="shared" si="1"/>
        <v>0.1158138497</v>
      </c>
      <c r="C4874" s="39">
        <f t="array" ref="C4874">NPV(B4874,FCFF!$C$9:$I$9)+FCFF!$B$9+FCFF!$I$9*(1+Inputs!$B$6)/(B4874-Inputs!$B$6)/(1+B4874)^7</f>
        <v>-1747.534532</v>
      </c>
    </row>
    <row r="4875" ht="14.25" customHeight="1">
      <c r="A4875" s="7">
        <v>4862.0</v>
      </c>
      <c r="B4875" s="14">
        <f t="shared" si="1"/>
        <v>0.09778801624</v>
      </c>
      <c r="C4875" s="39">
        <f t="array" ref="C4875">NPV(B4875,FCFF!$C$9:$I$9)+FCFF!$B$9+FCFF!$I$9*(1+Inputs!$B$6)/(B4875-Inputs!$B$6)/(1+B4875)^7</f>
        <v>-1319.01095</v>
      </c>
    </row>
    <row r="4876" ht="14.25" customHeight="1">
      <c r="A4876" s="7">
        <v>4863.0</v>
      </c>
      <c r="B4876" s="14">
        <f t="shared" si="1"/>
        <v>0.1168734307</v>
      </c>
      <c r="C4876" s="39">
        <f t="array" ref="C4876">NPV(B4876,FCFF!$C$9:$I$9)+FCFF!$B$9+FCFF!$I$9*(1+Inputs!$B$6)/(B4876-Inputs!$B$6)/(1+B4876)^7</f>
        <v>-1767.029608</v>
      </c>
    </row>
    <row r="4877" ht="14.25" customHeight="1">
      <c r="A4877" s="7">
        <v>4864.0</v>
      </c>
      <c r="B4877" s="14">
        <f t="shared" si="1"/>
        <v>0.107022246</v>
      </c>
      <c r="C4877" s="39">
        <f t="array" ref="C4877">NPV(B4877,FCFF!$C$9:$I$9)+FCFF!$B$9+FCFF!$I$9*(1+Inputs!$B$6)/(B4877-Inputs!$B$6)/(1+B4877)^7</f>
        <v>-1564.177006</v>
      </c>
    </row>
    <row r="4878" ht="14.25" customHeight="1">
      <c r="A4878" s="7">
        <v>4865.0</v>
      </c>
      <c r="B4878" s="14">
        <f t="shared" si="1"/>
        <v>0.1231743682</v>
      </c>
      <c r="C4878" s="39">
        <f t="array" ref="C4878">NPV(B4878,FCFF!$C$9:$I$9)+FCFF!$B$9+FCFF!$I$9*(1+Inputs!$B$6)/(B4878-Inputs!$B$6)/(1+B4878)^7</f>
        <v>-1873.323958</v>
      </c>
    </row>
    <row r="4879" ht="14.25" customHeight="1">
      <c r="A4879" s="7">
        <v>4866.0</v>
      </c>
      <c r="B4879" s="14">
        <f t="shared" si="1"/>
        <v>0.1077393057</v>
      </c>
      <c r="C4879" s="39">
        <f t="array" ref="C4879">NPV(B4879,FCFF!$C$9:$I$9)+FCFF!$B$9+FCFF!$I$9*(1+Inputs!$B$6)/(B4879-Inputs!$B$6)/(1+B4879)^7</f>
        <v>-1580.738062</v>
      </c>
    </row>
    <row r="4880" ht="14.25" customHeight="1">
      <c r="A4880" s="7">
        <v>4867.0</v>
      </c>
      <c r="B4880" s="14">
        <f t="shared" si="1"/>
        <v>0.123573728</v>
      </c>
      <c r="C4880" s="39">
        <f t="array" ref="C4880">NPV(B4880,FCFF!$C$9:$I$9)+FCFF!$B$9+FCFF!$I$9*(1+Inputs!$B$6)/(B4880-Inputs!$B$6)/(1+B4880)^7</f>
        <v>-1879.549605</v>
      </c>
    </row>
    <row r="4881" ht="14.25" customHeight="1">
      <c r="A4881" s="7">
        <v>4868.0</v>
      </c>
      <c r="B4881" s="14">
        <f t="shared" si="1"/>
        <v>0.1077006613</v>
      </c>
      <c r="C4881" s="39">
        <f t="array" ref="C4881">NPV(B4881,FCFF!$C$9:$I$9)+FCFF!$B$9+FCFF!$I$9*(1+Inputs!$B$6)/(B4881-Inputs!$B$6)/(1+B4881)^7</f>
        <v>-1579.853535</v>
      </c>
    </row>
    <row r="4882" ht="14.25" customHeight="1">
      <c r="A4882" s="7">
        <v>4869.0</v>
      </c>
      <c r="B4882" s="14">
        <f t="shared" si="1"/>
        <v>0.1066292653</v>
      </c>
      <c r="C4882" s="39">
        <f t="array" ref="C4882">NPV(B4882,FCFF!$C$9:$I$9)+FCFF!$B$9+FCFF!$I$9*(1+Inputs!$B$6)/(B4882-Inputs!$B$6)/(1+B4882)^7</f>
        <v>-1554.965995</v>
      </c>
    </row>
    <row r="4883" ht="14.25" customHeight="1">
      <c r="A4883" s="7">
        <v>4870.0</v>
      </c>
      <c r="B4883" s="14">
        <f t="shared" si="1"/>
        <v>0.126567337</v>
      </c>
      <c r="C4883" s="39">
        <f t="array" ref="C4883">NPV(B4883,FCFF!$C$9:$I$9)+FCFF!$B$9+FCFF!$I$9*(1+Inputs!$B$6)/(B4883-Inputs!$B$6)/(1+B4883)^7</f>
        <v>-1924.464746</v>
      </c>
    </row>
    <row r="4884" ht="14.25" customHeight="1">
      <c r="A4884" s="7">
        <v>4871.0</v>
      </c>
      <c r="B4884" s="14">
        <f t="shared" si="1"/>
        <v>0.105092463</v>
      </c>
      <c r="C4884" s="39">
        <f t="array" ref="C4884">NPV(B4884,FCFF!$C$9:$I$9)+FCFF!$B$9+FCFF!$I$9*(1+Inputs!$B$6)/(B4884-Inputs!$B$6)/(1+B4884)^7</f>
        <v>-1517.997913</v>
      </c>
    </row>
    <row r="4885" ht="14.25" customHeight="1">
      <c r="A4885" s="7">
        <v>4872.0</v>
      </c>
      <c r="B4885" s="14">
        <f t="shared" si="1"/>
        <v>0.1141476824</v>
      </c>
      <c r="C4885" s="39">
        <f t="array" ref="C4885">NPV(B4885,FCFF!$C$9:$I$9)+FCFF!$B$9+FCFF!$I$9*(1+Inputs!$B$6)/(B4885-Inputs!$B$6)/(1+B4885)^7</f>
        <v>-1715.838128</v>
      </c>
    </row>
    <row r="4886" ht="14.25" customHeight="1">
      <c r="A4886" s="7">
        <v>4873.0</v>
      </c>
      <c r="B4886" s="14">
        <f t="shared" si="1"/>
        <v>0.1173817882</v>
      </c>
      <c r="C4886" s="39">
        <f t="array" ref="C4886">NPV(B4886,FCFF!$C$9:$I$9)+FCFF!$B$9+FCFF!$I$9*(1+Inputs!$B$6)/(B4886-Inputs!$B$6)/(1+B4886)^7</f>
        <v>-1776.206631</v>
      </c>
    </row>
    <row r="4887" ht="14.25" customHeight="1">
      <c r="A4887" s="7">
        <v>4874.0</v>
      </c>
      <c r="B4887" s="14">
        <f t="shared" si="1"/>
        <v>0.1096737117</v>
      </c>
      <c r="C4887" s="39">
        <f t="array" ref="C4887">NPV(B4887,FCFF!$C$9:$I$9)+FCFF!$B$9+FCFF!$I$9*(1+Inputs!$B$6)/(B4887-Inputs!$B$6)/(1+B4887)^7</f>
        <v>-1623.887305</v>
      </c>
    </row>
    <row r="4888" ht="14.25" customHeight="1">
      <c r="A4888" s="7">
        <v>4875.0</v>
      </c>
      <c r="B4888" s="14">
        <f t="shared" si="1"/>
        <v>0.1289432441</v>
      </c>
      <c r="C4888" s="39">
        <f t="array" ref="C4888">NPV(B4888,FCFF!$C$9:$I$9)+FCFF!$B$9+FCFF!$I$9*(1+Inputs!$B$6)/(B4888-Inputs!$B$6)/(1+B4888)^7</f>
        <v>-1958.035712</v>
      </c>
    </row>
    <row r="4889" ht="14.25" customHeight="1">
      <c r="A4889" s="7">
        <v>4876.0</v>
      </c>
      <c r="B4889" s="14">
        <f t="shared" si="1"/>
        <v>0.1094632351</v>
      </c>
      <c r="C4889" s="39">
        <f t="array" ref="C4889">NPV(B4889,FCFF!$C$9:$I$9)+FCFF!$B$9+FCFF!$I$9*(1+Inputs!$B$6)/(B4889-Inputs!$B$6)/(1+B4889)^7</f>
        <v>-1619.297261</v>
      </c>
    </row>
    <row r="4890" ht="14.25" customHeight="1">
      <c r="A4890" s="7">
        <v>4877.0</v>
      </c>
      <c r="B4890" s="14">
        <f t="shared" si="1"/>
        <v>0.1205039483</v>
      </c>
      <c r="C4890" s="39">
        <f t="array" ref="C4890">NPV(B4890,FCFF!$C$9:$I$9)+FCFF!$B$9+FCFF!$I$9*(1+Inputs!$B$6)/(B4890-Inputs!$B$6)/(1+B4890)^7</f>
        <v>-1830.1886</v>
      </c>
    </row>
    <row r="4891" ht="14.25" customHeight="1">
      <c r="A4891" s="7">
        <v>4878.0</v>
      </c>
      <c r="B4891" s="14">
        <f t="shared" si="1"/>
        <v>0.09326278445</v>
      </c>
      <c r="C4891" s="39">
        <f t="array" ref="C4891">NPV(B4891,FCFF!$C$9:$I$9)+FCFF!$B$9+FCFF!$I$9*(1+Inputs!$B$6)/(B4891-Inputs!$B$6)/(1+B4891)^7</f>
        <v>-1172.618058</v>
      </c>
    </row>
    <row r="4892" ht="14.25" customHeight="1">
      <c r="A4892" s="7">
        <v>4879.0</v>
      </c>
      <c r="B4892" s="14">
        <f t="shared" si="1"/>
        <v>0.1193939549</v>
      </c>
      <c r="C4892" s="39">
        <f t="array" ref="C4892">NPV(B4892,FCFF!$C$9:$I$9)+FCFF!$B$9+FCFF!$I$9*(1+Inputs!$B$6)/(B4892-Inputs!$B$6)/(1+B4892)^7</f>
        <v>-1811.453135</v>
      </c>
    </row>
    <row r="4893" ht="14.25" customHeight="1">
      <c r="A4893" s="7">
        <v>4880.0</v>
      </c>
      <c r="B4893" s="14">
        <f t="shared" si="1"/>
        <v>0.09618819258</v>
      </c>
      <c r="C4893" s="39">
        <f t="array" ref="C4893">NPV(B4893,FCFF!$C$9:$I$9)+FCFF!$B$9+FCFF!$I$9*(1+Inputs!$B$6)/(B4893-Inputs!$B$6)/(1+B4893)^7</f>
        <v>-1269.532422</v>
      </c>
    </row>
    <row r="4894" ht="14.25" customHeight="1">
      <c r="A4894" s="7">
        <v>4881.0</v>
      </c>
      <c r="B4894" s="14">
        <f t="shared" si="1"/>
        <v>0.1073595847</v>
      </c>
      <c r="C4894" s="39">
        <f t="array" ref="C4894">NPV(B4894,FCFF!$C$9:$I$9)+FCFF!$B$9+FCFF!$I$9*(1+Inputs!$B$6)/(B4894-Inputs!$B$6)/(1+B4894)^7</f>
        <v>-1572.007339</v>
      </c>
    </row>
    <row r="4895" ht="14.25" customHeight="1">
      <c r="A4895" s="7">
        <v>4882.0</v>
      </c>
      <c r="B4895" s="14">
        <f t="shared" si="1"/>
        <v>0.1193059311</v>
      </c>
      <c r="C4895" s="39">
        <f t="array" ref="C4895">NPV(B4895,FCFF!$C$9:$I$9)+FCFF!$B$9+FCFF!$I$9*(1+Inputs!$B$6)/(B4895-Inputs!$B$6)/(1+B4895)^7</f>
        <v>-1809.946295</v>
      </c>
    </row>
    <row r="4896" ht="14.25" customHeight="1">
      <c r="A4896" s="7">
        <v>4883.0</v>
      </c>
      <c r="B4896" s="14">
        <f t="shared" si="1"/>
        <v>0.1047510598</v>
      </c>
      <c r="C4896" s="39">
        <f t="array" ref="C4896">NPV(B4896,FCFF!$C$9:$I$9)+FCFF!$B$9+FCFF!$I$9*(1+Inputs!$B$6)/(B4896-Inputs!$B$6)/(1+B4896)^7</f>
        <v>-1509.574681</v>
      </c>
    </row>
    <row r="4897" ht="14.25" customHeight="1">
      <c r="A4897" s="7">
        <v>4884.0</v>
      </c>
      <c r="B4897" s="14">
        <f t="shared" si="1"/>
        <v>0.1064742752</v>
      </c>
      <c r="C4897" s="39">
        <f t="array" ref="C4897">NPV(B4897,FCFF!$C$9:$I$9)+FCFF!$B$9+FCFF!$I$9*(1+Inputs!$B$6)/(B4897-Inputs!$B$6)/(1+B4897)^7</f>
        <v>-1551.306547</v>
      </c>
    </row>
    <row r="4898" ht="14.25" customHeight="1">
      <c r="A4898" s="7">
        <v>4885.0</v>
      </c>
      <c r="B4898" s="14">
        <f t="shared" si="1"/>
        <v>0.09589596403</v>
      </c>
      <c r="C4898" s="39">
        <f t="array" ref="C4898">NPV(B4898,FCFF!$C$9:$I$9)+FCFF!$B$9+FCFF!$I$9*(1+Inputs!$B$6)/(B4898-Inputs!$B$6)/(1+B4898)^7</f>
        <v>-1260.235676</v>
      </c>
    </row>
    <row r="4899" ht="14.25" customHeight="1">
      <c r="A4899" s="7">
        <v>4886.0</v>
      </c>
      <c r="B4899" s="14">
        <f t="shared" si="1"/>
        <v>0.1301593347</v>
      </c>
      <c r="C4899" s="39">
        <f t="array" ref="C4899">NPV(B4899,FCFF!$C$9:$I$9)+FCFF!$B$9+FCFF!$I$9*(1+Inputs!$B$6)/(B4899-Inputs!$B$6)/(1+B4899)^7</f>
        <v>-1974.553293</v>
      </c>
    </row>
    <row r="4900" ht="14.25" customHeight="1">
      <c r="A4900" s="7">
        <v>4887.0</v>
      </c>
      <c r="B4900" s="14">
        <f t="shared" si="1"/>
        <v>0.1112508445</v>
      </c>
      <c r="C4900" s="39">
        <f t="array" ref="C4900">NPV(B4900,FCFF!$C$9:$I$9)+FCFF!$B$9+FCFF!$I$9*(1+Inputs!$B$6)/(B4900-Inputs!$B$6)/(1+B4900)^7</f>
        <v>-1657.499861</v>
      </c>
    </row>
    <row r="4901" ht="14.25" customHeight="1">
      <c r="A4901" s="7">
        <v>4888.0</v>
      </c>
      <c r="B4901" s="14">
        <f t="shared" si="1"/>
        <v>0.09975231533</v>
      </c>
      <c r="C4901" s="39">
        <f t="array" ref="C4901">NPV(B4901,FCFF!$C$9:$I$9)+FCFF!$B$9+FCFF!$I$9*(1+Inputs!$B$6)/(B4901-Inputs!$B$6)/(1+B4901)^7</f>
        <v>-1376.65485</v>
      </c>
    </row>
    <row r="4902" ht="14.25" customHeight="1">
      <c r="A4902" s="7">
        <v>4889.0</v>
      </c>
      <c r="B4902" s="14">
        <f t="shared" si="1"/>
        <v>0.1140639318</v>
      </c>
      <c r="C4902" s="39">
        <f t="array" ref="C4902">NPV(B4902,FCFF!$C$9:$I$9)+FCFF!$B$9+FCFF!$I$9*(1+Inputs!$B$6)/(B4902-Inputs!$B$6)/(1+B4902)^7</f>
        <v>-1714.21023</v>
      </c>
    </row>
    <row r="4903" ht="14.25" customHeight="1">
      <c r="A4903" s="7">
        <v>4890.0</v>
      </c>
      <c r="B4903" s="14">
        <f t="shared" si="1"/>
        <v>0.1007613033</v>
      </c>
      <c r="C4903" s="39">
        <f t="array" ref="C4903">NPV(B4903,FCFF!$C$9:$I$9)+FCFF!$B$9+FCFF!$I$9*(1+Inputs!$B$6)/(B4903-Inputs!$B$6)/(1+B4903)^7</f>
        <v>-1405.014171</v>
      </c>
    </row>
    <row r="4904" ht="14.25" customHeight="1">
      <c r="A4904" s="7">
        <v>4891.0</v>
      </c>
      <c r="B4904" s="14">
        <f t="shared" si="1"/>
        <v>0.1264152761</v>
      </c>
      <c r="C4904" s="39">
        <f t="array" ref="C4904">NPV(B4904,FCFF!$C$9:$I$9)+FCFF!$B$9+FCFF!$I$9*(1+Inputs!$B$6)/(B4904-Inputs!$B$6)/(1+B4904)^7</f>
        <v>-1922.25539</v>
      </c>
    </row>
    <row r="4905" ht="14.25" customHeight="1">
      <c r="A4905" s="7">
        <v>4892.0</v>
      </c>
      <c r="B4905" s="14">
        <f t="shared" si="1"/>
        <v>0.1035788109</v>
      </c>
      <c r="C4905" s="39">
        <f t="array" ref="C4905">NPV(B4905,FCFF!$C$9:$I$9)+FCFF!$B$9+FCFF!$I$9*(1+Inputs!$B$6)/(B4905-Inputs!$B$6)/(1+B4905)^7</f>
        <v>-1480.046517</v>
      </c>
    </row>
    <row r="4906" ht="14.25" customHeight="1">
      <c r="A4906" s="7">
        <v>4893.0</v>
      </c>
      <c r="B4906" s="14">
        <f t="shared" si="1"/>
        <v>0.09338443157</v>
      </c>
      <c r="C4906" s="39">
        <f t="array" ref="C4906">NPV(B4906,FCFF!$C$9:$I$9)+FCFF!$B$9+FCFF!$I$9*(1+Inputs!$B$6)/(B4906-Inputs!$B$6)/(1+B4906)^7</f>
        <v>-1176.824713</v>
      </c>
    </row>
    <row r="4907" ht="14.25" customHeight="1">
      <c r="A4907" s="7">
        <v>4894.0</v>
      </c>
      <c r="B4907" s="14">
        <f t="shared" si="1"/>
        <v>0.1109054643</v>
      </c>
      <c r="C4907" s="39">
        <f t="array" ref="C4907">NPV(B4907,FCFF!$C$9:$I$9)+FCFF!$B$9+FCFF!$I$9*(1+Inputs!$B$6)/(B4907-Inputs!$B$6)/(1+B4907)^7</f>
        <v>-1650.254858</v>
      </c>
    </row>
    <row r="4908" ht="14.25" customHeight="1">
      <c r="A4908" s="7">
        <v>4895.0</v>
      </c>
      <c r="B4908" s="14">
        <f t="shared" si="1"/>
        <v>0.1246129317</v>
      </c>
      <c r="C4908" s="39">
        <f t="array" ref="C4908">NPV(B4908,FCFF!$C$9:$I$9)+FCFF!$B$9+FCFF!$I$9*(1+Inputs!$B$6)/(B4908-Inputs!$B$6)/(1+B4908)^7</f>
        <v>-1895.486728</v>
      </c>
    </row>
    <row r="4909" ht="14.25" customHeight="1">
      <c r="A4909" s="7">
        <v>4896.0</v>
      </c>
      <c r="B4909" s="14">
        <f t="shared" si="1"/>
        <v>0.1310360148</v>
      </c>
      <c r="C4909" s="39">
        <f t="array" ref="C4909">NPV(B4909,FCFF!$C$9:$I$9)+FCFF!$B$9+FCFF!$I$9*(1+Inputs!$B$6)/(B4909-Inputs!$B$6)/(1+B4909)^7</f>
        <v>-1986.193363</v>
      </c>
    </row>
    <row r="4910" ht="14.25" customHeight="1">
      <c r="A4910" s="7">
        <v>4897.0</v>
      </c>
      <c r="B4910" s="14">
        <f t="shared" si="1"/>
        <v>0.1176870261</v>
      </c>
      <c r="C4910" s="39">
        <f t="array" ref="C4910">NPV(B4910,FCFF!$C$9:$I$9)+FCFF!$B$9+FCFF!$I$9*(1+Inputs!$B$6)/(B4910-Inputs!$B$6)/(1+B4910)^7</f>
        <v>-1781.663116</v>
      </c>
    </row>
    <row r="4911" ht="14.25" customHeight="1">
      <c r="A4911" s="7">
        <v>4898.0</v>
      </c>
      <c r="B4911" s="14">
        <f t="shared" si="1"/>
        <v>0.1109064808</v>
      </c>
      <c r="C4911" s="39">
        <f t="array" ref="C4911">NPV(B4911,FCFF!$C$9:$I$9)+FCFF!$B$9+FCFF!$I$9*(1+Inputs!$B$6)/(B4911-Inputs!$B$6)/(1+B4911)^7</f>
        <v>-1650.276276</v>
      </c>
    </row>
    <row r="4912" ht="14.25" customHeight="1">
      <c r="A4912" s="7">
        <v>4899.0</v>
      </c>
      <c r="B4912" s="14">
        <f t="shared" si="1"/>
        <v>0.1036983225</v>
      </c>
      <c r="C4912" s="39">
        <f t="array" ref="C4912">NPV(B4912,FCFF!$C$9:$I$9)+FCFF!$B$9+FCFF!$I$9*(1+Inputs!$B$6)/(B4912-Inputs!$B$6)/(1+B4912)^7</f>
        <v>-1483.100671</v>
      </c>
    </row>
    <row r="4913" ht="14.25" customHeight="1">
      <c r="A4913" s="7">
        <v>4900.0</v>
      </c>
      <c r="B4913" s="14">
        <f t="shared" si="1"/>
        <v>0.1020061158</v>
      </c>
      <c r="C4913" s="39">
        <f t="array" ref="C4913">NPV(B4913,FCFF!$C$9:$I$9)+FCFF!$B$9+FCFF!$I$9*(1+Inputs!$B$6)/(B4913-Inputs!$B$6)/(1+B4913)^7</f>
        <v>-1438.897246</v>
      </c>
    </row>
    <row r="4914" ht="14.25" customHeight="1">
      <c r="A4914" s="7">
        <v>4901.0</v>
      </c>
      <c r="B4914" s="14">
        <f t="shared" si="1"/>
        <v>0.116303874</v>
      </c>
      <c r="C4914" s="39">
        <f t="array" ref="C4914">NPV(B4914,FCFF!$C$9:$I$9)+FCFF!$B$9+FCFF!$I$9*(1+Inputs!$B$6)/(B4914-Inputs!$B$6)/(1+B4914)^7</f>
        <v>-1756.612845</v>
      </c>
    </row>
    <row r="4915" ht="14.25" customHeight="1">
      <c r="A4915" s="7">
        <v>4902.0</v>
      </c>
      <c r="B4915" s="14">
        <f t="shared" si="1"/>
        <v>0.1210452603</v>
      </c>
      <c r="C4915" s="39">
        <f t="array" ref="C4915">NPV(B4915,FCFF!$C$9:$I$9)+FCFF!$B$9+FCFF!$I$9*(1+Inputs!$B$6)/(B4915-Inputs!$B$6)/(1+B4915)^7</f>
        <v>-1839.149841</v>
      </c>
    </row>
    <row r="4916" ht="14.25" customHeight="1">
      <c r="A4916" s="7">
        <v>4903.0</v>
      </c>
      <c r="B4916" s="14">
        <f t="shared" si="1"/>
        <v>0.1039856819</v>
      </c>
      <c r="C4916" s="39">
        <f t="array" ref="C4916">NPV(B4916,FCFF!$C$9:$I$9)+FCFF!$B$9+FCFF!$I$9*(1+Inputs!$B$6)/(B4916-Inputs!$B$6)/(1+B4916)^7</f>
        <v>-1490.403185</v>
      </c>
    </row>
    <row r="4917" ht="14.25" customHeight="1">
      <c r="A4917" s="7">
        <v>4904.0</v>
      </c>
      <c r="B4917" s="14">
        <f t="shared" si="1"/>
        <v>0.1258353815</v>
      </c>
      <c r="C4917" s="39">
        <f t="array" ref="C4917">NPV(B4917,FCFF!$C$9:$I$9)+FCFF!$B$9+FCFF!$I$9*(1+Inputs!$B$6)/(B4917-Inputs!$B$6)/(1+B4917)^7</f>
        <v>-1913.76064</v>
      </c>
    </row>
    <row r="4918" ht="14.25" customHeight="1">
      <c r="A4918" s="7">
        <v>4905.0</v>
      </c>
      <c r="B4918" s="14">
        <f t="shared" si="1"/>
        <v>0.1015104196</v>
      </c>
      <c r="C4918" s="39">
        <f t="array" ref="C4918">NPV(B4918,FCFF!$C$9:$I$9)+FCFF!$B$9+FCFF!$I$9*(1+Inputs!$B$6)/(B4918-Inputs!$B$6)/(1+B4918)^7</f>
        <v>-1425.547475</v>
      </c>
    </row>
    <row r="4919" ht="14.25" customHeight="1">
      <c r="A4919" s="7">
        <v>4906.0</v>
      </c>
      <c r="B4919" s="14">
        <f t="shared" si="1"/>
        <v>0.1285009217</v>
      </c>
      <c r="C4919" s="39">
        <f t="array" ref="C4919">NPV(B4919,FCFF!$C$9:$I$9)+FCFF!$B$9+FCFF!$I$9*(1+Inputs!$B$6)/(B4919-Inputs!$B$6)/(1+B4919)^7</f>
        <v>-1951.91824</v>
      </c>
    </row>
    <row r="4920" ht="14.25" customHeight="1">
      <c r="A4920" s="7">
        <v>4907.0</v>
      </c>
      <c r="B4920" s="14">
        <f t="shared" si="1"/>
        <v>0.1094461602</v>
      </c>
      <c r="C4920" s="39">
        <f t="array" ref="C4920">NPV(B4920,FCFF!$C$9:$I$9)+FCFF!$B$9+FCFF!$I$9*(1+Inputs!$B$6)/(B4920-Inputs!$B$6)/(1+B4920)^7</f>
        <v>-1618.923794</v>
      </c>
    </row>
    <row r="4921" ht="14.25" customHeight="1">
      <c r="A4921" s="7">
        <v>4908.0</v>
      </c>
      <c r="B4921" s="14">
        <f t="shared" si="1"/>
        <v>0.1093494459</v>
      </c>
      <c r="C4921" s="39">
        <f t="array" ref="C4921">NPV(B4921,FCFF!$C$9:$I$9)+FCFF!$B$9+FCFF!$I$9*(1+Inputs!$B$6)/(B4921-Inputs!$B$6)/(1+B4921)^7</f>
        <v>-1616.805302</v>
      </c>
    </row>
    <row r="4922" ht="14.25" customHeight="1">
      <c r="A4922" s="7">
        <v>4909.0</v>
      </c>
      <c r="B4922" s="14">
        <f t="shared" si="1"/>
        <v>0.1067618608</v>
      </c>
      <c r="C4922" s="39">
        <f t="array" ref="C4922">NPV(B4922,FCFF!$C$9:$I$9)+FCFF!$B$9+FCFF!$I$9*(1+Inputs!$B$6)/(B4922-Inputs!$B$6)/(1+B4922)^7</f>
        <v>-1558.084681</v>
      </c>
    </row>
    <row r="4923" ht="14.25" customHeight="1">
      <c r="A4923" s="7">
        <v>4910.0</v>
      </c>
      <c r="B4923" s="14">
        <f t="shared" si="1"/>
        <v>0.1250471163</v>
      </c>
      <c r="C4923" s="39">
        <f t="array" ref="C4923">NPV(B4923,FCFF!$C$9:$I$9)+FCFF!$B$9+FCFF!$I$9*(1+Inputs!$B$6)/(B4923-Inputs!$B$6)/(1+B4923)^7</f>
        <v>-1902.034908</v>
      </c>
    </row>
    <row r="4924" ht="14.25" customHeight="1">
      <c r="A4924" s="7">
        <v>4911.0</v>
      </c>
      <c r="B4924" s="14">
        <f t="shared" si="1"/>
        <v>0.1259001429</v>
      </c>
      <c r="C4924" s="39">
        <f t="array" ref="C4924">NPV(B4924,FCFF!$C$9:$I$9)+FCFF!$B$9+FCFF!$I$9*(1+Inputs!$B$6)/(B4924-Inputs!$B$6)/(1+B4924)^7</f>
        <v>-1914.714793</v>
      </c>
    </row>
    <row r="4925" ht="14.25" customHeight="1">
      <c r="A4925" s="7">
        <v>4912.0</v>
      </c>
      <c r="B4925" s="14">
        <f t="shared" si="1"/>
        <v>0.09687623111</v>
      </c>
      <c r="C4925" s="39">
        <f t="array" ref="C4925">NPV(B4925,FCFF!$C$9:$I$9)+FCFF!$B$9+FCFF!$I$9*(1+Inputs!$B$6)/(B4925-Inputs!$B$6)/(1+B4925)^7</f>
        <v>-1291.101379</v>
      </c>
    </row>
    <row r="4926" ht="14.25" customHeight="1">
      <c r="A4926" s="7">
        <v>4913.0</v>
      </c>
      <c r="B4926" s="14">
        <f t="shared" si="1"/>
        <v>0.1252822924</v>
      </c>
      <c r="C4926" s="39">
        <f t="array" ref="C4926">NPV(B4926,FCFF!$C$9:$I$9)+FCFF!$B$9+FCFF!$I$9*(1+Inputs!$B$6)/(B4926-Inputs!$B$6)/(1+B4926)^7</f>
        <v>-1905.555029</v>
      </c>
    </row>
    <row r="4927" ht="14.25" customHeight="1">
      <c r="A4927" s="7">
        <v>4914.0</v>
      </c>
      <c r="B4927" s="14">
        <f t="shared" si="1"/>
        <v>0.1246105985</v>
      </c>
      <c r="C4927" s="39">
        <f t="array" ref="C4927">NPV(B4927,FCFF!$C$9:$I$9)+FCFF!$B$9+FCFF!$I$9*(1+Inputs!$B$6)/(B4927-Inputs!$B$6)/(1+B4927)^7</f>
        <v>-1895.451366</v>
      </c>
    </row>
    <row r="4928" ht="14.25" customHeight="1">
      <c r="A4928" s="7">
        <v>4915.0</v>
      </c>
      <c r="B4928" s="14">
        <f t="shared" si="1"/>
        <v>0.1121092274</v>
      </c>
      <c r="C4928" s="39">
        <f t="array" ref="C4928">NPV(B4928,FCFF!$C$9:$I$9)+FCFF!$B$9+FCFF!$I$9*(1+Inputs!$B$6)/(B4928-Inputs!$B$6)/(1+B4928)^7</f>
        <v>-1675.232557</v>
      </c>
    </row>
    <row r="4929" ht="14.25" customHeight="1">
      <c r="A4929" s="7">
        <v>4916.0</v>
      </c>
      <c r="B4929" s="14">
        <f t="shared" si="1"/>
        <v>0.1078783107</v>
      </c>
      <c r="C4929" s="39">
        <f t="array" ref="C4929">NPV(B4929,FCFF!$C$9:$I$9)+FCFF!$B$9+FCFF!$I$9*(1+Inputs!$B$6)/(B4929-Inputs!$B$6)/(1+B4929)^7</f>
        <v>-1583.912277</v>
      </c>
    </row>
    <row r="4930" ht="14.25" customHeight="1">
      <c r="A4930" s="7">
        <v>4917.0</v>
      </c>
      <c r="B4930" s="14">
        <f t="shared" si="1"/>
        <v>0.09782120963</v>
      </c>
      <c r="C4930" s="39">
        <f t="array" ref="C4930">NPV(B4930,FCFF!$C$9:$I$9)+FCFF!$B$9+FCFF!$I$9*(1+Inputs!$B$6)/(B4930-Inputs!$B$6)/(1+B4930)^7</f>
        <v>-1320.012839</v>
      </c>
    </row>
    <row r="4931" ht="14.25" customHeight="1">
      <c r="A4931" s="7">
        <v>4918.0</v>
      </c>
      <c r="B4931" s="14">
        <f t="shared" si="1"/>
        <v>0.1318602587</v>
      </c>
      <c r="C4931" s="39">
        <f t="array" ref="C4931">NPV(B4931,FCFF!$C$9:$I$9)+FCFF!$B$9+FCFF!$I$9*(1+Inputs!$B$6)/(B4931-Inputs!$B$6)/(1+B4931)^7</f>
        <v>-1996.938548</v>
      </c>
    </row>
    <row r="4932" ht="14.25" customHeight="1">
      <c r="A4932" s="7">
        <v>4919.0</v>
      </c>
      <c r="B4932" s="14">
        <f t="shared" si="1"/>
        <v>0.1270552287</v>
      </c>
      <c r="C4932" s="39">
        <f t="array" ref="C4932">NPV(B4932,FCFF!$C$9:$I$9)+FCFF!$B$9+FCFF!$I$9*(1+Inputs!$B$6)/(B4932-Inputs!$B$6)/(1+B4932)^7</f>
        <v>-1931.503231</v>
      </c>
    </row>
    <row r="4933" ht="14.25" customHeight="1">
      <c r="A4933" s="7">
        <v>4920.0</v>
      </c>
      <c r="B4933" s="14">
        <f t="shared" si="1"/>
        <v>0.1129918458</v>
      </c>
      <c r="C4933" s="39">
        <f t="array" ref="C4933">NPV(B4933,FCFF!$C$9:$I$9)+FCFF!$B$9+FCFF!$I$9*(1+Inputs!$B$6)/(B4933-Inputs!$B$6)/(1+B4933)^7</f>
        <v>-1693.068963</v>
      </c>
    </row>
    <row r="4934" ht="14.25" customHeight="1">
      <c r="A4934" s="7">
        <v>4921.0</v>
      </c>
      <c r="B4934" s="14">
        <f t="shared" si="1"/>
        <v>0.1138998918</v>
      </c>
      <c r="C4934" s="39">
        <f t="array" ref="C4934">NPV(B4934,FCFF!$C$9:$I$9)+FCFF!$B$9+FCFF!$I$9*(1+Inputs!$B$6)/(B4934-Inputs!$B$6)/(1+B4934)^7</f>
        <v>-1711.011887</v>
      </c>
    </row>
    <row r="4935" ht="14.25" customHeight="1">
      <c r="A4935" s="7">
        <v>4922.0</v>
      </c>
      <c r="B4935" s="14">
        <f t="shared" si="1"/>
        <v>0.1013151538</v>
      </c>
      <c r="C4935" s="39">
        <f t="array" ref="C4935">NPV(B4935,FCFF!$C$9:$I$9)+FCFF!$B$9+FCFF!$I$9*(1+Inputs!$B$6)/(B4935-Inputs!$B$6)/(1+B4935)^7</f>
        <v>-1420.237202</v>
      </c>
    </row>
    <row r="4936" ht="14.25" customHeight="1">
      <c r="A4936" s="7">
        <v>4923.0</v>
      </c>
      <c r="B4936" s="14">
        <f t="shared" si="1"/>
        <v>0.1303263648</v>
      </c>
      <c r="C4936" s="39">
        <f t="array" ref="C4936">NPV(B4936,FCFF!$C$9:$I$9)+FCFF!$B$9+FCFF!$I$9*(1+Inputs!$B$6)/(B4936-Inputs!$B$6)/(1+B4936)^7</f>
        <v>-1976.788072</v>
      </c>
    </row>
    <row r="4937" ht="14.25" customHeight="1">
      <c r="A4937" s="7">
        <v>4924.0</v>
      </c>
      <c r="B4937" s="14">
        <f t="shared" si="1"/>
        <v>0.1007145014</v>
      </c>
      <c r="C4937" s="39">
        <f t="array" ref="C4937">NPV(B4937,FCFF!$C$9:$I$9)+FCFF!$B$9+FCFF!$I$9*(1+Inputs!$B$6)/(B4937-Inputs!$B$6)/(1+B4937)^7</f>
        <v>-1403.716758</v>
      </c>
    </row>
    <row r="4938" ht="14.25" customHeight="1">
      <c r="A4938" s="7">
        <v>4925.0</v>
      </c>
      <c r="B4938" s="14">
        <f t="shared" si="1"/>
        <v>0.1126279815</v>
      </c>
      <c r="C4938" s="39">
        <f t="array" ref="C4938">NPV(B4938,FCFF!$C$9:$I$9)+FCFF!$B$9+FCFF!$I$9*(1+Inputs!$B$6)/(B4938-Inputs!$B$6)/(1+B4938)^7</f>
        <v>-1685.763789</v>
      </c>
    </row>
    <row r="4939" ht="14.25" customHeight="1">
      <c r="A4939" s="7">
        <v>4926.0</v>
      </c>
      <c r="B4939" s="14">
        <f t="shared" si="1"/>
        <v>0.1310303542</v>
      </c>
      <c r="C4939" s="39">
        <f t="array" ref="C4939">NPV(B4939,FCFF!$C$9:$I$9)+FCFF!$B$9+FCFF!$I$9*(1+Inputs!$B$6)/(B4939-Inputs!$B$6)/(1+B4939)^7</f>
        <v>-1986.118909</v>
      </c>
    </row>
    <row r="4940" ht="14.25" customHeight="1">
      <c r="A4940" s="7">
        <v>4927.0</v>
      </c>
      <c r="B4940" s="14">
        <f t="shared" si="1"/>
        <v>0.1324136089</v>
      </c>
      <c r="C4940" s="39">
        <f t="array" ref="C4940">NPV(B4940,FCFF!$C$9:$I$9)+FCFF!$B$9+FCFF!$I$9*(1+Inputs!$B$6)/(B4940-Inputs!$B$6)/(1+B4940)^7</f>
        <v>-2004.046551</v>
      </c>
    </row>
    <row r="4941" ht="14.25" customHeight="1">
      <c r="A4941" s="7">
        <v>4928.0</v>
      </c>
      <c r="B4941" s="14">
        <f t="shared" si="1"/>
        <v>0.09468011249</v>
      </c>
      <c r="C4941" s="39">
        <f t="array" ref="C4941">NPV(B4941,FCFF!$C$9:$I$9)+FCFF!$B$9+FCFF!$I$9*(1+Inputs!$B$6)/(B4941-Inputs!$B$6)/(1+B4941)^7</f>
        <v>-1220.658406</v>
      </c>
    </row>
    <row r="4942" ht="14.25" customHeight="1">
      <c r="A4942" s="7">
        <v>4929.0</v>
      </c>
      <c r="B4942" s="14">
        <f t="shared" si="1"/>
        <v>0.09717839726</v>
      </c>
      <c r="C4942" s="39">
        <f t="array" ref="C4942">NPV(B4942,FCFF!$C$9:$I$9)+FCFF!$B$9+FCFF!$I$9*(1+Inputs!$B$6)/(B4942-Inputs!$B$6)/(1+B4942)^7</f>
        <v>-1300.434501</v>
      </c>
    </row>
    <row r="4943" ht="14.25" customHeight="1">
      <c r="A4943" s="7">
        <v>4930.0</v>
      </c>
      <c r="B4943" s="14">
        <f t="shared" si="1"/>
        <v>0.1157397751</v>
      </c>
      <c r="C4943" s="39">
        <f t="array" ref="C4943">NPV(B4943,FCFF!$C$9:$I$9)+FCFF!$B$9+FCFF!$I$9*(1+Inputs!$B$6)/(B4943-Inputs!$B$6)/(1+B4943)^7</f>
        <v>-1746.152743</v>
      </c>
    </row>
    <row r="4944" ht="14.25" customHeight="1">
      <c r="A4944" s="7">
        <v>4931.0</v>
      </c>
      <c r="B4944" s="14">
        <f t="shared" si="1"/>
        <v>0.1178529928</v>
      </c>
      <c r="C4944" s="39">
        <f t="array" ref="C4944">NPV(B4944,FCFF!$C$9:$I$9)+FCFF!$B$9+FCFF!$I$9*(1+Inputs!$B$6)/(B4944-Inputs!$B$6)/(1+B4944)^7</f>
        <v>-1784.613218</v>
      </c>
    </row>
    <row r="4945" ht="14.25" customHeight="1">
      <c r="A4945" s="7">
        <v>4932.0</v>
      </c>
      <c r="B4945" s="14">
        <f t="shared" si="1"/>
        <v>0.1254031424</v>
      </c>
      <c r="C4945" s="39">
        <f t="array" ref="C4945">NPV(B4945,FCFF!$C$9:$I$9)+FCFF!$B$9+FCFF!$I$9*(1+Inputs!$B$6)/(B4945-Inputs!$B$6)/(1+B4945)^7</f>
        <v>-1907.356674</v>
      </c>
    </row>
    <row r="4946" ht="14.25" customHeight="1">
      <c r="A4946" s="7">
        <v>4933.0</v>
      </c>
      <c r="B4946" s="14">
        <f t="shared" si="1"/>
        <v>0.1312665297</v>
      </c>
      <c r="C4946" s="39">
        <f t="array" ref="C4946">NPV(B4946,FCFF!$C$9:$I$9)+FCFF!$B$9+FCFF!$I$9*(1+Inputs!$B$6)/(B4946-Inputs!$B$6)/(1+B4946)^7</f>
        <v>-1989.217638</v>
      </c>
    </row>
    <row r="4947" ht="14.25" customHeight="1">
      <c r="A4947" s="7">
        <v>4934.0</v>
      </c>
      <c r="B4947" s="14">
        <f t="shared" si="1"/>
        <v>0.1214054486</v>
      </c>
      <c r="C4947" s="39">
        <f t="array" ref="C4947">NPV(B4947,FCFF!$C$9:$I$9)+FCFF!$B$9+FCFF!$I$9*(1+Inputs!$B$6)/(B4947-Inputs!$B$6)/(1+B4947)^7</f>
        <v>-1845.050239</v>
      </c>
    </row>
    <row r="4948" ht="14.25" customHeight="1">
      <c r="A4948" s="7">
        <v>4935.0</v>
      </c>
      <c r="B4948" s="14">
        <f t="shared" si="1"/>
        <v>0.1165324705</v>
      </c>
      <c r="C4948" s="39">
        <f t="array" ref="C4948">NPV(B4948,FCFF!$C$9:$I$9)+FCFF!$B$9+FCFF!$I$9*(1+Inputs!$B$6)/(B4948-Inputs!$B$6)/(1+B4948)^7</f>
        <v>-1760.810998</v>
      </c>
    </row>
    <row r="4949" ht="14.25" customHeight="1">
      <c r="A4949" s="7">
        <v>4936.0</v>
      </c>
      <c r="B4949" s="14">
        <f t="shared" si="1"/>
        <v>0.1005713011</v>
      </c>
      <c r="C4949" s="39">
        <f t="array" ref="C4949">NPV(B4949,FCFF!$C$9:$I$9)+FCFF!$B$9+FCFF!$I$9*(1+Inputs!$B$6)/(B4949-Inputs!$B$6)/(1+B4949)^7</f>
        <v>-1399.736272</v>
      </c>
    </row>
    <row r="4950" ht="14.25" customHeight="1">
      <c r="A4950" s="7">
        <v>4937.0</v>
      </c>
      <c r="B4950" s="14">
        <f t="shared" si="1"/>
        <v>0.1264874685</v>
      </c>
      <c r="C4950" s="39">
        <f t="array" ref="C4950">NPV(B4950,FCFF!$C$9:$I$9)+FCFF!$B$9+FCFF!$I$9*(1+Inputs!$B$6)/(B4950-Inputs!$B$6)/(1+B4950)^7</f>
        <v>-1923.305238</v>
      </c>
    </row>
    <row r="4951" ht="14.25" customHeight="1">
      <c r="A4951" s="7">
        <v>4938.0</v>
      </c>
      <c r="B4951" s="14">
        <f t="shared" si="1"/>
        <v>0.1164430113</v>
      </c>
      <c r="C4951" s="39">
        <f t="array" ref="C4951">NPV(B4951,FCFF!$C$9:$I$9)+FCFF!$B$9+FCFF!$I$9*(1+Inputs!$B$6)/(B4951-Inputs!$B$6)/(1+B4951)^7</f>
        <v>-1759.170864</v>
      </c>
    </row>
    <row r="4952" ht="14.25" customHeight="1">
      <c r="A4952" s="7">
        <v>4939.0</v>
      </c>
      <c r="B4952" s="14">
        <f t="shared" si="1"/>
        <v>0.09711476043</v>
      </c>
      <c r="C4952" s="39">
        <f t="array" ref="C4952">NPV(B4952,FCFF!$C$9:$I$9)+FCFF!$B$9+FCFF!$I$9*(1+Inputs!$B$6)/(B4952-Inputs!$B$6)/(1+B4952)^7</f>
        <v>-1298.475902</v>
      </c>
    </row>
    <row r="4953" ht="14.25" customHeight="1">
      <c r="A4953" s="7">
        <v>4940.0</v>
      </c>
      <c r="B4953" s="14">
        <f t="shared" si="1"/>
        <v>0.09441001729</v>
      </c>
      <c r="C4953" s="39">
        <f t="array" ref="C4953">NPV(B4953,FCFF!$C$9:$I$9)+FCFF!$B$9+FCFF!$I$9*(1+Inputs!$B$6)/(B4953-Inputs!$B$6)/(1+B4953)^7</f>
        <v>-1211.665091</v>
      </c>
    </row>
    <row r="4954" ht="14.25" customHeight="1">
      <c r="A4954" s="7">
        <v>4941.0</v>
      </c>
      <c r="B4954" s="14">
        <f t="shared" si="1"/>
        <v>0.09612285323</v>
      </c>
      <c r="C4954" s="39">
        <f t="array" ref="C4954">NPV(B4954,FCFF!$C$9:$I$9)+FCFF!$B$9+FCFF!$I$9*(1+Inputs!$B$6)/(B4954-Inputs!$B$6)/(1+B4954)^7</f>
        <v>-1267.460868</v>
      </c>
    </row>
    <row r="4955" ht="14.25" customHeight="1">
      <c r="A4955" s="7">
        <v>4942.0</v>
      </c>
      <c r="B4955" s="14">
        <f t="shared" si="1"/>
        <v>0.1244634933</v>
      </c>
      <c r="C4955" s="39">
        <f t="array" ref="C4955">NPV(B4955,FCFF!$C$9:$I$9)+FCFF!$B$9+FCFF!$I$9*(1+Inputs!$B$6)/(B4955-Inputs!$B$6)/(1+B4955)^7</f>
        <v>-1893.218046</v>
      </c>
    </row>
    <row r="4956" ht="14.25" customHeight="1">
      <c r="A4956" s="7">
        <v>4943.0</v>
      </c>
      <c r="B4956" s="14">
        <f t="shared" si="1"/>
        <v>0.1214103835</v>
      </c>
      <c r="C4956" s="39">
        <f t="array" ref="C4956">NPV(B4956,FCFF!$C$9:$I$9)+FCFF!$B$9+FCFF!$I$9*(1+Inputs!$B$6)/(B4956-Inputs!$B$6)/(1+B4956)^7</f>
        <v>-1845.130737</v>
      </c>
    </row>
    <row r="4957" ht="14.25" customHeight="1">
      <c r="A4957" s="7">
        <v>4944.0</v>
      </c>
      <c r="B4957" s="14">
        <f t="shared" si="1"/>
        <v>0.109337742</v>
      </c>
      <c r="C4957" s="39">
        <f t="array" ref="C4957">NPV(B4957,FCFF!$C$9:$I$9)+FCFF!$B$9+FCFF!$I$9*(1+Inputs!$B$6)/(B4957-Inputs!$B$6)/(1+B4957)^7</f>
        <v>-1616.548571</v>
      </c>
    </row>
    <row r="4958" ht="14.25" customHeight="1">
      <c r="A4958" s="7">
        <v>4945.0</v>
      </c>
      <c r="B4958" s="14">
        <f t="shared" si="1"/>
        <v>0.1040367109</v>
      </c>
      <c r="C4958" s="39">
        <f t="array" ref="C4958">NPV(B4958,FCFF!$C$9:$I$9)+FCFF!$B$9+FCFF!$I$9*(1+Inputs!$B$6)/(B4958-Inputs!$B$6)/(1+B4958)^7</f>
        <v>-1491.693931</v>
      </c>
    </row>
    <row r="4959" ht="14.25" customHeight="1">
      <c r="A4959" s="7">
        <v>4946.0</v>
      </c>
      <c r="B4959" s="14">
        <f t="shared" si="1"/>
        <v>0.1091918137</v>
      </c>
      <c r="C4959" s="39">
        <f t="array" ref="C4959">NPV(B4959,FCFF!$C$9:$I$9)+FCFF!$B$9+FCFF!$I$9*(1+Inputs!$B$6)/(B4959-Inputs!$B$6)/(1+B4959)^7</f>
        <v>-1613.340992</v>
      </c>
    </row>
    <row r="4960" ht="14.25" customHeight="1">
      <c r="A4960" s="7">
        <v>4947.0</v>
      </c>
      <c r="B4960" s="14">
        <f t="shared" si="1"/>
        <v>0.1096679492</v>
      </c>
      <c r="C4960" s="39">
        <f t="array" ref="C4960">NPV(B4960,FCFF!$C$9:$I$9)+FCFF!$B$9+FCFF!$I$9*(1+Inputs!$B$6)/(B4960-Inputs!$B$6)/(1+B4960)^7</f>
        <v>-1623.76197</v>
      </c>
    </row>
    <row r="4961" ht="14.25" customHeight="1">
      <c r="A4961" s="7">
        <v>4948.0</v>
      </c>
      <c r="B4961" s="14">
        <f t="shared" si="1"/>
        <v>0.1320764076</v>
      </c>
      <c r="C4961" s="39">
        <f t="array" ref="C4961">NPV(B4961,FCFF!$C$9:$I$9)+FCFF!$B$9+FCFF!$I$9*(1+Inputs!$B$6)/(B4961-Inputs!$B$6)/(1+B4961)^7</f>
        <v>-1999.725072</v>
      </c>
    </row>
    <row r="4962" ht="14.25" customHeight="1">
      <c r="A4962" s="7">
        <v>4949.0</v>
      </c>
      <c r="B4962" s="14">
        <f t="shared" si="1"/>
        <v>0.09653749509</v>
      </c>
      <c r="C4962" s="39">
        <f t="array" ref="C4962">NPV(B4962,FCFF!$C$9:$I$9)+FCFF!$B$9+FCFF!$I$9*(1+Inputs!$B$6)/(B4962-Inputs!$B$6)/(1+B4962)^7</f>
        <v>-1280.538117</v>
      </c>
    </row>
    <row r="4963" ht="14.25" customHeight="1">
      <c r="A4963" s="7">
        <v>4950.0</v>
      </c>
      <c r="B4963" s="14">
        <f t="shared" si="1"/>
        <v>0.1242926952</v>
      </c>
      <c r="C4963" s="39">
        <f t="array" ref="C4963">NPV(B4963,FCFF!$C$9:$I$9)+FCFF!$B$9+FCFF!$I$9*(1+Inputs!$B$6)/(B4963-Inputs!$B$6)/(1+B4963)^7</f>
        <v>-1890.615666</v>
      </c>
    </row>
    <row r="4964" ht="14.25" customHeight="1">
      <c r="A4964" s="7">
        <v>4951.0</v>
      </c>
      <c r="B4964" s="14">
        <f t="shared" si="1"/>
        <v>0.1041315393</v>
      </c>
      <c r="C4964" s="39">
        <f t="array" ref="C4964">NPV(B4964,FCFF!$C$9:$I$9)+FCFF!$B$9+FCFF!$I$9*(1+Inputs!$B$6)/(B4964-Inputs!$B$6)/(1+B4964)^7</f>
        <v>-1494.087756</v>
      </c>
    </row>
    <row r="4965" ht="14.25" customHeight="1">
      <c r="A4965" s="7">
        <v>4952.0</v>
      </c>
      <c r="B4965" s="14">
        <f t="shared" si="1"/>
        <v>0.1115766453</v>
      </c>
      <c r="C4965" s="39">
        <f t="array" ref="C4965">NPV(B4965,FCFF!$C$9:$I$9)+FCFF!$B$9+FCFF!$I$9*(1+Inputs!$B$6)/(B4965-Inputs!$B$6)/(1+B4965)^7</f>
        <v>-1664.275905</v>
      </c>
    </row>
    <row r="4966" ht="14.25" customHeight="1">
      <c r="A4966" s="7">
        <v>4953.0</v>
      </c>
      <c r="B4966" s="14">
        <f t="shared" si="1"/>
        <v>0.1305913223</v>
      </c>
      <c r="C4966" s="39">
        <f t="array" ref="C4966">NPV(B4966,FCFF!$C$9:$I$9)+FCFF!$B$9+FCFF!$I$9*(1+Inputs!$B$6)/(B4966-Inputs!$B$6)/(1+B4966)^7</f>
        <v>-1980.31654</v>
      </c>
    </row>
    <row r="4967" ht="14.25" customHeight="1">
      <c r="A4967" s="7">
        <v>4954.0</v>
      </c>
      <c r="B4967" s="14">
        <f t="shared" si="1"/>
        <v>0.09915501745</v>
      </c>
      <c r="C4967" s="39">
        <f t="array" ref="C4967">NPV(B4967,FCFF!$C$9:$I$9)+FCFF!$B$9+FCFF!$I$9*(1+Inputs!$B$6)/(B4967-Inputs!$B$6)/(1+B4967)^7</f>
        <v>-1359.474391</v>
      </c>
    </row>
    <row r="4968" ht="14.25" customHeight="1">
      <c r="A4968" s="7">
        <v>4955.0</v>
      </c>
      <c r="B4968" s="14">
        <f t="shared" si="1"/>
        <v>0.1218478515</v>
      </c>
      <c r="C4968" s="39">
        <f t="array" ref="C4968">NPV(B4968,FCFF!$C$9:$I$9)+FCFF!$B$9+FCFF!$I$9*(1+Inputs!$B$6)/(B4968-Inputs!$B$6)/(1+B4968)^7</f>
        <v>-1852.230159</v>
      </c>
    </row>
    <row r="4969" ht="14.25" customHeight="1">
      <c r="A4969" s="7">
        <v>4956.0</v>
      </c>
      <c r="B4969" s="14">
        <f t="shared" si="1"/>
        <v>0.1275627056</v>
      </c>
      <c r="C4969" s="39">
        <f t="array" ref="C4969">NPV(B4969,FCFF!$C$9:$I$9)+FCFF!$B$9+FCFF!$I$9*(1+Inputs!$B$6)/(B4969-Inputs!$B$6)/(1+B4969)^7</f>
        <v>-1938.743818</v>
      </c>
    </row>
    <row r="4970" ht="14.25" customHeight="1">
      <c r="A4970" s="7">
        <v>4957.0</v>
      </c>
      <c r="B4970" s="14">
        <f t="shared" si="1"/>
        <v>0.1235292419</v>
      </c>
      <c r="C4970" s="39">
        <f t="array" ref="C4970">NPV(B4970,FCFF!$C$9:$I$9)+FCFF!$B$9+FCFF!$I$9*(1+Inputs!$B$6)/(B4970-Inputs!$B$6)/(1+B4970)^7</f>
        <v>-1878.858917</v>
      </c>
    </row>
    <row r="4971" ht="14.25" customHeight="1">
      <c r="A4971" s="7">
        <v>4958.0</v>
      </c>
      <c r="B4971" s="14">
        <f t="shared" si="1"/>
        <v>0.1262559547</v>
      </c>
      <c r="C4971" s="39">
        <f t="array" ref="C4971">NPV(B4971,FCFF!$C$9:$I$9)+FCFF!$B$9+FCFF!$I$9*(1+Inputs!$B$6)/(B4971-Inputs!$B$6)/(1+B4971)^7</f>
        <v>-1919.932487</v>
      </c>
    </row>
    <row r="4972" ht="14.25" customHeight="1">
      <c r="A4972" s="7">
        <v>4959.0</v>
      </c>
      <c r="B4972" s="14">
        <f t="shared" si="1"/>
        <v>0.1175885924</v>
      </c>
      <c r="C4972" s="39">
        <f t="array" ref="C4972">NPV(B4972,FCFF!$C$9:$I$9)+FCFF!$B$9+FCFF!$I$9*(1+Inputs!$B$6)/(B4972-Inputs!$B$6)/(1+B4972)^7</f>
        <v>-1779.907871</v>
      </c>
    </row>
    <row r="4973" ht="14.25" customHeight="1">
      <c r="A4973" s="7">
        <v>4960.0</v>
      </c>
      <c r="B4973" s="14">
        <f t="shared" si="1"/>
        <v>0.09619731692</v>
      </c>
      <c r="C4973" s="39">
        <f t="array" ref="C4973">NPV(B4973,FCFF!$C$9:$I$9)+FCFF!$B$9+FCFF!$I$9*(1+Inputs!$B$6)/(B4973-Inputs!$B$6)/(1+B4973)^7</f>
        <v>-1269.82138</v>
      </c>
    </row>
    <row r="4974" ht="14.25" customHeight="1">
      <c r="A4974" s="7">
        <v>4961.0</v>
      </c>
      <c r="B4974" s="14">
        <f t="shared" si="1"/>
        <v>0.1073991612</v>
      </c>
      <c r="C4974" s="39">
        <f t="array" ref="C4974">NPV(B4974,FCFF!$C$9:$I$9)+FCFF!$B$9+FCFF!$I$9*(1+Inputs!$B$6)/(B4974-Inputs!$B$6)/(1+B4974)^7</f>
        <v>-1572.921406</v>
      </c>
    </row>
    <row r="4975" ht="14.25" customHeight="1">
      <c r="A4975" s="7">
        <v>4962.0</v>
      </c>
      <c r="B4975" s="14">
        <f t="shared" si="1"/>
        <v>0.1065465415</v>
      </c>
      <c r="C4975" s="39">
        <f t="array" ref="C4975">NPV(B4975,FCFF!$C$9:$I$9)+FCFF!$B$9+FCFF!$I$9*(1+Inputs!$B$6)/(B4975-Inputs!$B$6)/(1+B4975)^7</f>
        <v>-1553.014706</v>
      </c>
    </row>
    <row r="4976" ht="14.25" customHeight="1">
      <c r="A4976" s="7">
        <v>4963.0</v>
      </c>
      <c r="B4976" s="14">
        <f t="shared" si="1"/>
        <v>0.1138863947</v>
      </c>
      <c r="C4976" s="39">
        <f t="array" ref="C4976">NPV(B4976,FCFF!$C$9:$I$9)+FCFF!$B$9+FCFF!$I$9*(1+Inputs!$B$6)/(B4976-Inputs!$B$6)/(1+B4976)^7</f>
        <v>-1710.748147</v>
      </c>
    </row>
    <row r="4977" ht="14.25" customHeight="1">
      <c r="A4977" s="7">
        <v>4964.0</v>
      </c>
      <c r="B4977" s="14">
        <f t="shared" si="1"/>
        <v>0.1133120445</v>
      </c>
      <c r="C4977" s="39">
        <f t="array" ref="C4977">NPV(B4977,FCFF!$C$9:$I$9)+FCFF!$B$9+FCFF!$I$9*(1+Inputs!$B$6)/(B4977-Inputs!$B$6)/(1+B4977)^7</f>
        <v>-1699.442567</v>
      </c>
    </row>
    <row r="4978" ht="14.25" customHeight="1">
      <c r="A4978" s="7">
        <v>4965.0</v>
      </c>
      <c r="B4978" s="14">
        <f t="shared" si="1"/>
        <v>0.1153708804</v>
      </c>
      <c r="C4978" s="39">
        <f t="array" ref="C4978">NPV(B4978,FCFF!$C$9:$I$9)+FCFF!$B$9+FCFF!$I$9*(1+Inputs!$B$6)/(B4978-Inputs!$B$6)/(1+B4978)^7</f>
        <v>-1739.233965</v>
      </c>
    </row>
    <row r="4979" ht="14.25" customHeight="1">
      <c r="A4979" s="7">
        <v>4966.0</v>
      </c>
      <c r="B4979" s="14">
        <f t="shared" si="1"/>
        <v>0.09637063522</v>
      </c>
      <c r="C4979" s="39">
        <f t="array" ref="C4979">NPV(B4979,FCFF!$C$9:$I$9)+FCFF!$B$9+FCFF!$I$9*(1+Inputs!$B$6)/(B4979-Inputs!$B$6)/(1+B4979)^7</f>
        <v>-1275.295163</v>
      </c>
    </row>
    <row r="4980" ht="14.25" customHeight="1">
      <c r="A4980" s="7">
        <v>4967.0</v>
      </c>
      <c r="B4980" s="14">
        <f t="shared" si="1"/>
        <v>0.1175653772</v>
      </c>
      <c r="C4980" s="39">
        <f t="array" ref="C4980">NPV(B4980,FCFF!$C$9:$I$9)+FCFF!$B$9+FCFF!$I$9*(1+Inputs!$B$6)/(B4980-Inputs!$B$6)/(1+B4980)^7</f>
        <v>-1779.493297</v>
      </c>
    </row>
    <row r="4981" ht="14.25" customHeight="1">
      <c r="A4981" s="7">
        <v>4968.0</v>
      </c>
      <c r="B4981" s="14">
        <f t="shared" si="1"/>
        <v>0.1258440154</v>
      </c>
      <c r="C4981" s="39">
        <f t="array" ref="C4981">NPV(B4981,FCFF!$C$9:$I$9)+FCFF!$B$9+FCFF!$I$9*(1+Inputs!$B$6)/(B4981-Inputs!$B$6)/(1+B4981)^7</f>
        <v>-1913.887927</v>
      </c>
    </row>
    <row r="4982" ht="14.25" customHeight="1">
      <c r="A4982" s="7">
        <v>4969.0</v>
      </c>
      <c r="B4982" s="14">
        <f t="shared" si="1"/>
        <v>0.09811049629</v>
      </c>
      <c r="C4982" s="39">
        <f t="array" ref="C4982">NPV(B4982,FCFF!$C$9:$I$9)+FCFF!$B$9+FCFF!$I$9*(1+Inputs!$B$6)/(B4982-Inputs!$B$6)/(1+B4982)^7</f>
        <v>-1328.703107</v>
      </c>
    </row>
    <row r="4983" ht="14.25" customHeight="1">
      <c r="A4983" s="7">
        <v>4970.0</v>
      </c>
      <c r="B4983" s="14">
        <f t="shared" si="1"/>
        <v>0.1227495428</v>
      </c>
      <c r="C4983" s="39">
        <f t="array" ref="C4983">NPV(B4983,FCFF!$C$9:$I$9)+FCFF!$B$9+FCFF!$I$9*(1+Inputs!$B$6)/(B4983-Inputs!$B$6)/(1+B4983)^7</f>
        <v>-1866.638509</v>
      </c>
    </row>
    <row r="4984" ht="14.25" customHeight="1">
      <c r="A4984" s="7">
        <v>4971.0</v>
      </c>
      <c r="B4984" s="14">
        <f t="shared" si="1"/>
        <v>0.1107802522</v>
      </c>
      <c r="C4984" s="39">
        <f t="array" ref="C4984">NPV(B4984,FCFF!$C$9:$I$9)+FCFF!$B$9+FCFF!$I$9*(1+Inputs!$B$6)/(B4984-Inputs!$B$6)/(1+B4984)^7</f>
        <v>-1647.612456</v>
      </c>
    </row>
    <row r="4985" ht="14.25" customHeight="1">
      <c r="A4985" s="7">
        <v>4972.0</v>
      </c>
      <c r="B4985" s="14">
        <f t="shared" si="1"/>
        <v>0.1285651968</v>
      </c>
      <c r="C4985" s="39">
        <f t="array" ref="C4985">NPV(B4985,FCFF!$C$9:$I$9)+FCFF!$B$9+FCFF!$I$9*(1+Inputs!$B$6)/(B4985-Inputs!$B$6)/(1+B4985)^7</f>
        <v>-1952.810875</v>
      </c>
    </row>
    <row r="4986" ht="14.25" customHeight="1">
      <c r="A4986" s="7">
        <v>4973.0</v>
      </c>
      <c r="B4986" s="14">
        <f t="shared" si="1"/>
        <v>0.1047982471</v>
      </c>
      <c r="C4986" s="39">
        <f t="array" ref="C4986">NPV(B4986,FCFF!$C$9:$I$9)+FCFF!$B$9+FCFF!$I$9*(1+Inputs!$B$6)/(B4986-Inputs!$B$6)/(1+B4986)^7</f>
        <v>-1510.743572</v>
      </c>
    </row>
    <row r="4987" ht="14.25" customHeight="1">
      <c r="A4987" s="7">
        <v>4974.0</v>
      </c>
      <c r="B4987" s="14">
        <f t="shared" si="1"/>
        <v>0.1134349117</v>
      </c>
      <c r="C4987" s="39">
        <f t="array" ref="C4987">NPV(B4987,FCFF!$C$9:$I$9)+FCFF!$B$9+FCFF!$I$9*(1+Inputs!$B$6)/(B4987-Inputs!$B$6)/(1+B4987)^7</f>
        <v>-1701.874738</v>
      </c>
    </row>
    <row r="4988" ht="14.25" customHeight="1">
      <c r="A4988" s="7">
        <v>4975.0</v>
      </c>
      <c r="B4988" s="14">
        <f t="shared" si="1"/>
        <v>0.09946072416</v>
      </c>
      <c r="C4988" s="39">
        <f t="array" ref="C4988">NPV(B4988,FCFF!$C$9:$I$9)+FCFF!$B$9+FCFF!$I$9*(1+Inputs!$B$6)/(B4988-Inputs!$B$6)/(1+B4988)^7</f>
        <v>-1368.304728</v>
      </c>
    </row>
    <row r="4989" ht="14.25" customHeight="1">
      <c r="A4989" s="7">
        <v>4976.0</v>
      </c>
      <c r="B4989" s="14">
        <f t="shared" si="1"/>
        <v>0.1058857086</v>
      </c>
      <c r="C4989" s="39">
        <f t="array" ref="C4989">NPV(B4989,FCFF!$C$9:$I$9)+FCFF!$B$9+FCFF!$I$9*(1+Inputs!$B$6)/(B4989-Inputs!$B$6)/(1+B4989)^7</f>
        <v>-1537.270659</v>
      </c>
    </row>
    <row r="4990" ht="14.25" customHeight="1">
      <c r="A4990" s="7">
        <v>4977.0</v>
      </c>
      <c r="B4990" s="14">
        <f t="shared" si="1"/>
        <v>0.1264716782</v>
      </c>
      <c r="C4990" s="39">
        <f t="array" ref="C4990">NPV(B4990,FCFF!$C$9:$I$9)+FCFF!$B$9+FCFF!$I$9*(1+Inputs!$B$6)/(B4990-Inputs!$B$6)/(1+B4990)^7</f>
        <v>-1923.075754</v>
      </c>
    </row>
    <row r="4991" ht="14.25" customHeight="1">
      <c r="A4991" s="7">
        <v>4978.0</v>
      </c>
      <c r="B4991" s="14">
        <f t="shared" si="1"/>
        <v>0.1239527723</v>
      </c>
      <c r="C4991" s="39">
        <f t="array" ref="C4991">NPV(B4991,FCFF!$C$9:$I$9)+FCFF!$B$9+FCFF!$I$9*(1+Inputs!$B$6)/(B4991-Inputs!$B$6)/(1+B4991)^7</f>
        <v>-1885.406273</v>
      </c>
    </row>
    <row r="4992" ht="14.25" customHeight="1">
      <c r="A4992" s="7">
        <v>4979.0</v>
      </c>
      <c r="B4992" s="14">
        <f t="shared" si="1"/>
        <v>0.1231906935</v>
      </c>
      <c r="C4992" s="39">
        <f t="array" ref="C4992">NPV(B4992,FCFF!$C$9:$I$9)+FCFF!$B$9+FCFF!$I$9*(1+Inputs!$B$6)/(B4992-Inputs!$B$6)/(1+B4992)^7</f>
        <v>-1873.57957</v>
      </c>
    </row>
    <row r="4993" ht="14.25" customHeight="1">
      <c r="A4993" s="7">
        <v>4980.0</v>
      </c>
      <c r="B4993" s="14">
        <f t="shared" si="1"/>
        <v>0.1174579973</v>
      </c>
      <c r="C4993" s="39">
        <f t="array" ref="C4993">NPV(B4993,FCFF!$C$9:$I$9)+FCFF!$B$9+FCFF!$I$9*(1+Inputs!$B$6)/(B4993-Inputs!$B$6)/(1+B4993)^7</f>
        <v>-1777.572713</v>
      </c>
    </row>
    <row r="4994" ht="14.25" customHeight="1">
      <c r="A4994" s="7">
        <v>4981.0</v>
      </c>
      <c r="B4994" s="14">
        <f t="shared" si="1"/>
        <v>0.1286338341</v>
      </c>
      <c r="C4994" s="39">
        <f t="array" ref="C4994">NPV(B4994,FCFF!$C$9:$I$9)+FCFF!$B$9+FCFF!$I$9*(1+Inputs!$B$6)/(B4994-Inputs!$B$6)/(1+B4994)^7</f>
        <v>-1953.762703</v>
      </c>
    </row>
    <row r="4995" ht="14.25" customHeight="1">
      <c r="A4995" s="7">
        <v>4982.0</v>
      </c>
      <c r="B4995" s="14">
        <f t="shared" si="1"/>
        <v>0.1159319546</v>
      </c>
      <c r="C4995" s="39">
        <f t="array" ref="C4995">NPV(B4995,FCFF!$C$9:$I$9)+FCFF!$B$9+FCFF!$I$9*(1+Inputs!$B$6)/(B4995-Inputs!$B$6)/(1+B4995)^7</f>
        <v>-1749.732501</v>
      </c>
    </row>
    <row r="4996" ht="14.25" customHeight="1">
      <c r="A4996" s="7">
        <v>4983.0</v>
      </c>
      <c r="B4996" s="14">
        <f t="shared" si="1"/>
        <v>0.1179346542</v>
      </c>
      <c r="C4996" s="39">
        <f t="array" ref="C4996">NPV(B4996,FCFF!$C$9:$I$9)+FCFF!$B$9+FCFF!$I$9*(1+Inputs!$B$6)/(B4996-Inputs!$B$6)/(1+B4996)^7</f>
        <v>-1786.060465</v>
      </c>
    </row>
    <row r="4997" ht="14.25" customHeight="1">
      <c r="A4997" s="7">
        <v>4984.0</v>
      </c>
      <c r="B4997" s="14">
        <f t="shared" si="1"/>
        <v>0.101503969</v>
      </c>
      <c r="C4997" s="39">
        <f t="array" ref="C4997">NPV(B4997,FCFF!$C$9:$I$9)+FCFF!$B$9+FCFF!$I$9*(1+Inputs!$B$6)/(B4997-Inputs!$B$6)/(1+B4997)^7</f>
        <v>-1425.37252</v>
      </c>
    </row>
    <row r="4998" ht="14.25" customHeight="1">
      <c r="A4998" s="7">
        <v>4985.0</v>
      </c>
      <c r="B4998" s="14">
        <f t="shared" si="1"/>
        <v>0.09557398366</v>
      </c>
      <c r="C4998" s="39">
        <f t="array" ref="C4998">NPV(B4998,FCFF!$C$9:$I$9)+FCFF!$B$9+FCFF!$I$9*(1+Inputs!$B$6)/(B4998-Inputs!$B$6)/(1+B4998)^7</f>
        <v>-1249.896912</v>
      </c>
    </row>
    <row r="4999" ht="14.25" customHeight="1">
      <c r="A4999" s="7">
        <v>4986.0</v>
      </c>
      <c r="B4999" s="14">
        <f t="shared" si="1"/>
        <v>0.1093303967</v>
      </c>
      <c r="C4999" s="39">
        <f t="array" ref="C4999">NPV(B4999,FCFF!$C$9:$I$9)+FCFF!$B$9+FCFF!$I$9*(1+Inputs!$B$6)/(B4999-Inputs!$B$6)/(1+B4999)^7</f>
        <v>-1616.387409</v>
      </c>
    </row>
    <row r="5000" ht="14.25" customHeight="1">
      <c r="A5000" s="7">
        <v>4987.0</v>
      </c>
      <c r="B5000" s="14">
        <f t="shared" si="1"/>
        <v>0.09665641855</v>
      </c>
      <c r="C5000" s="39">
        <f t="array" ref="C5000">NPV(B5000,FCFF!$C$9:$I$9)+FCFF!$B$9+FCFF!$I$9*(1+Inputs!$B$6)/(B5000-Inputs!$B$6)/(1+B5000)^7</f>
        <v>-1284.258869</v>
      </c>
    </row>
    <row r="5001" ht="14.25" customHeight="1">
      <c r="A5001" s="7">
        <v>4988.0</v>
      </c>
      <c r="B5001" s="14">
        <f t="shared" si="1"/>
        <v>0.1012325307</v>
      </c>
      <c r="C5001" s="39">
        <f t="array" ref="C5001">NPV(B5001,FCFF!$C$9:$I$9)+FCFF!$B$9+FCFF!$I$9*(1+Inputs!$B$6)/(B5001-Inputs!$B$6)/(1+B5001)^7</f>
        <v>-1417.981403</v>
      </c>
    </row>
    <row r="5002" ht="14.25" customHeight="1">
      <c r="A5002" s="7">
        <v>4989.0</v>
      </c>
      <c r="B5002" s="14">
        <f t="shared" si="1"/>
        <v>0.1306061919</v>
      </c>
      <c r="C5002" s="39">
        <f t="array" ref="C5002">NPV(B5002,FCFF!$C$9:$I$9)+FCFF!$B$9+FCFF!$I$9*(1+Inputs!$B$6)/(B5002-Inputs!$B$6)/(1+B5002)^7</f>
        <v>-1980.513963</v>
      </c>
    </row>
    <row r="5003" ht="14.25" customHeight="1">
      <c r="A5003" s="7">
        <v>4990.0</v>
      </c>
      <c r="B5003" s="14">
        <f t="shared" si="1"/>
        <v>0.1157431931</v>
      </c>
      <c r="C5003" s="39">
        <f t="array" ref="C5003">NPV(B5003,FCFF!$C$9:$I$9)+FCFF!$B$9+FCFF!$I$9*(1+Inputs!$B$6)/(B5003-Inputs!$B$6)/(1+B5003)^7</f>
        <v>-1746.216557</v>
      </c>
    </row>
    <row r="5004" ht="14.25" customHeight="1">
      <c r="A5004" s="7">
        <v>4991.0</v>
      </c>
      <c r="B5004" s="14">
        <f t="shared" si="1"/>
        <v>0.1127581721</v>
      </c>
      <c r="C5004" s="39">
        <f t="array" ref="C5004">NPV(B5004,FCFF!$C$9:$I$9)+FCFF!$B$9+FCFF!$I$9*(1+Inputs!$B$6)/(B5004-Inputs!$B$6)/(1+B5004)^7</f>
        <v>-1688.385253</v>
      </c>
    </row>
    <row r="5005" ht="14.25" customHeight="1">
      <c r="A5005" s="7">
        <v>4992.0</v>
      </c>
      <c r="B5005" s="14">
        <f t="shared" si="1"/>
        <v>0.1074102687</v>
      </c>
      <c r="C5005" s="39">
        <f t="array" ref="C5005">NPV(B5005,FCFF!$C$9:$I$9)+FCFF!$B$9+FCFF!$I$9*(1+Inputs!$B$6)/(B5005-Inputs!$B$6)/(1+B5005)^7</f>
        <v>-1573.177774</v>
      </c>
    </row>
    <row r="5006" ht="14.25" customHeight="1">
      <c r="A5006" s="7">
        <v>4993.0</v>
      </c>
      <c r="B5006" s="14">
        <f t="shared" si="1"/>
        <v>0.1244388934</v>
      </c>
      <c r="C5006" s="39">
        <f t="array" ref="C5006">NPV(B5006,FCFF!$C$9:$I$9)+FCFF!$B$9+FCFF!$I$9*(1+Inputs!$B$6)/(B5006-Inputs!$B$6)/(1+B5006)^7</f>
        <v>-1892.84385</v>
      </c>
    </row>
    <row r="5007" ht="14.25" customHeight="1">
      <c r="A5007" s="7">
        <v>4994.0</v>
      </c>
      <c r="B5007" s="14">
        <f t="shared" si="1"/>
        <v>0.1007965196</v>
      </c>
      <c r="C5007" s="39">
        <f t="array" ref="C5007">NPV(B5007,FCFF!$C$9:$I$9)+FCFF!$B$9+FCFF!$I$9*(1+Inputs!$B$6)/(B5007-Inputs!$B$6)/(1+B5007)^7</f>
        <v>-1405.989275</v>
      </c>
    </row>
    <row r="5008" ht="14.25" customHeight="1">
      <c r="A5008" s="7">
        <v>4995.0</v>
      </c>
      <c r="B5008" s="14">
        <f t="shared" si="1"/>
        <v>0.09740063432</v>
      </c>
      <c r="C5008" s="39">
        <f t="array" ref="C5008">NPV(B5008,FCFF!$C$9:$I$9)+FCFF!$B$9+FCFF!$I$9*(1+Inputs!$B$6)/(B5008-Inputs!$B$6)/(1+B5008)^7</f>
        <v>-1307.245472</v>
      </c>
    </row>
    <row r="5009" ht="14.25" customHeight="1">
      <c r="A5009" s="7">
        <v>4996.0</v>
      </c>
      <c r="B5009" s="14">
        <f t="shared" si="1"/>
        <v>0.1140933385</v>
      </c>
      <c r="C5009" s="39">
        <f t="array" ref="C5009">NPV(B5009,FCFF!$C$9:$I$9)+FCFF!$B$9+FCFF!$I$9*(1+Inputs!$B$6)/(B5009-Inputs!$B$6)/(1+B5009)^7</f>
        <v>-1714.782206</v>
      </c>
    </row>
    <row r="5010" ht="14.25" customHeight="1">
      <c r="A5010" s="7">
        <v>4997.0</v>
      </c>
      <c r="B5010" s="14">
        <f t="shared" si="1"/>
        <v>0.09814638696</v>
      </c>
      <c r="C5010" s="39">
        <f t="array" ref="C5010">NPV(B5010,FCFF!$C$9:$I$9)+FCFF!$B$9+FCFF!$I$9*(1+Inputs!$B$6)/(B5010-Inputs!$B$6)/(1+B5010)^7</f>
        <v>-1329.776123</v>
      </c>
    </row>
    <row r="5011" ht="14.25" customHeight="1">
      <c r="A5011" s="7">
        <v>4998.0</v>
      </c>
      <c r="B5011" s="14">
        <f t="shared" si="1"/>
        <v>0.1207019124</v>
      </c>
      <c r="C5011" s="39">
        <f t="array" ref="C5011">NPV(B5011,FCFF!$C$9:$I$9)+FCFF!$B$9+FCFF!$I$9*(1+Inputs!$B$6)/(B5011-Inputs!$B$6)/(1+B5011)^7</f>
        <v>-1833.47899</v>
      </c>
    </row>
    <row r="5012" ht="14.25" customHeight="1">
      <c r="A5012" s="7">
        <v>4999.0</v>
      </c>
      <c r="B5012" s="14">
        <f t="shared" si="1"/>
        <v>0.1141479348</v>
      </c>
      <c r="C5012" s="39">
        <f t="array" ref="C5012">NPV(B5012,FCFF!$C$9:$I$9)+FCFF!$B$9+FCFF!$I$9*(1+Inputs!$B$6)/(B5012-Inputs!$B$6)/(1+B5012)^7</f>
        <v>-1715.843029</v>
      </c>
    </row>
    <row r="5013" ht="14.25" customHeight="1">
      <c r="A5013" s="7">
        <v>5000.0</v>
      </c>
      <c r="B5013" s="14">
        <f t="shared" si="1"/>
        <v>0.1047239157</v>
      </c>
      <c r="C5013" s="39">
        <f t="array" ref="C5013">NPV(B5013,FCFF!$C$9:$I$9)+FCFF!$B$9+FCFF!$I$9*(1+Inputs!$B$6)/(B5013-Inputs!$B$6)/(1+B5013)^7</f>
        <v>-1508.901604</v>
      </c>
    </row>
    <row r="5014" ht="14.25" customHeight="1">
      <c r="A5014" s="7">
        <v>5001.0</v>
      </c>
      <c r="B5014" s="14">
        <f t="shared" si="1"/>
        <v>0.1277210403</v>
      </c>
      <c r="C5014" s="39">
        <f t="array" ref="C5014">NPV(B5014,FCFF!$C$9:$I$9)+FCFF!$B$9+FCFF!$I$9*(1+Inputs!$B$6)/(B5014-Inputs!$B$6)/(1+B5014)^7</f>
        <v>-1940.986313</v>
      </c>
    </row>
    <row r="5015" ht="14.25" customHeight="1">
      <c r="A5015" s="7">
        <v>5002.0</v>
      </c>
      <c r="B5015" s="14">
        <f t="shared" si="1"/>
        <v>0.1313656633</v>
      </c>
      <c r="C5015" s="39">
        <f t="array" ref="C5015">NPV(B5015,FCFF!$C$9:$I$9)+FCFF!$B$9+FCFF!$I$9*(1+Inputs!$B$6)/(B5015-Inputs!$B$6)/(1+B5015)^7</f>
        <v>-1990.513633</v>
      </c>
    </row>
    <row r="5016" ht="14.25" customHeight="1">
      <c r="A5016" s="7">
        <v>5003.0</v>
      </c>
      <c r="B5016" s="14">
        <f t="shared" si="1"/>
        <v>0.09301362087</v>
      </c>
      <c r="C5016" s="39">
        <f t="array" ref="C5016">NPV(B5016,FCFF!$C$9:$I$9)+FCFF!$B$9+FCFF!$I$9*(1+Inputs!$B$6)/(B5016-Inputs!$B$6)/(1+B5016)^7</f>
        <v>-1163.95167</v>
      </c>
    </row>
    <row r="5017" ht="14.25" customHeight="1">
      <c r="A5017" s="7">
        <v>5004.0</v>
      </c>
      <c r="B5017" s="14">
        <f t="shared" si="1"/>
        <v>0.122239902</v>
      </c>
      <c r="C5017" s="39">
        <f t="array" ref="C5017">NPV(B5017,FCFF!$C$9:$I$9)+FCFF!$B$9+FCFF!$I$9*(1+Inputs!$B$6)/(B5017-Inputs!$B$6)/(1+B5017)^7</f>
        <v>-1858.531688</v>
      </c>
    </row>
    <row r="5018" ht="14.25" customHeight="1">
      <c r="A5018" s="7">
        <v>5005.0</v>
      </c>
      <c r="B5018" s="14">
        <f t="shared" si="1"/>
        <v>0.1239427547</v>
      </c>
      <c r="C5018" s="39">
        <f t="array" ref="C5018">NPV(B5018,FCFF!$C$9:$I$9)+FCFF!$B$9+FCFF!$I$9*(1+Inputs!$B$6)/(B5018-Inputs!$B$6)/(1+B5018)^7</f>
        <v>-1885.25214</v>
      </c>
    </row>
    <row r="5019" ht="14.25" customHeight="1">
      <c r="A5019" s="7">
        <v>5006.0</v>
      </c>
      <c r="B5019" s="14">
        <f t="shared" si="1"/>
        <v>0.09801843171</v>
      </c>
      <c r="C5019" s="39">
        <f t="array" ref="C5019">NPV(B5019,FCFF!$C$9:$I$9)+FCFF!$B$9+FCFF!$I$9*(1+Inputs!$B$6)/(B5019-Inputs!$B$6)/(1+B5019)^7</f>
        <v>-1325.945484</v>
      </c>
    </row>
    <row r="5020" ht="14.25" customHeight="1">
      <c r="A5020" s="7">
        <v>5007.0</v>
      </c>
      <c r="B5020" s="14">
        <f t="shared" si="1"/>
        <v>0.1308670252</v>
      </c>
      <c r="C5020" s="39">
        <f t="array" ref="C5020">NPV(B5020,FCFF!$C$9:$I$9)+FCFF!$B$9+FCFF!$I$9*(1+Inputs!$B$6)/(B5020-Inputs!$B$6)/(1+B5020)^7</f>
        <v>-1983.966723</v>
      </c>
    </row>
    <row r="5021" ht="14.25" customHeight="1">
      <c r="A5021" s="7">
        <v>5008.0</v>
      </c>
      <c r="B5021" s="14">
        <f t="shared" si="1"/>
        <v>0.1295418851</v>
      </c>
      <c r="C5021" s="39">
        <f t="array" ref="C5021">NPV(B5021,FCFF!$C$9:$I$9)+FCFF!$B$9+FCFF!$I$9*(1+Inputs!$B$6)/(B5021-Inputs!$B$6)/(1+B5021)^7</f>
        <v>-1966.221441</v>
      </c>
    </row>
    <row r="5022" ht="14.25" customHeight="1">
      <c r="A5022" s="7">
        <v>5009.0</v>
      </c>
      <c r="B5022" s="14">
        <f t="shared" si="1"/>
        <v>0.1143100856</v>
      </c>
      <c r="C5022" s="39">
        <f t="array" ref="C5022">NPV(B5022,FCFF!$C$9:$I$9)+FCFF!$B$9+FCFF!$I$9*(1+Inputs!$B$6)/(B5022-Inputs!$B$6)/(1+B5022)^7</f>
        <v>-1718.985215</v>
      </c>
    </row>
    <row r="5023" ht="14.25" customHeight="1">
      <c r="A5023" s="7">
        <v>5010.0</v>
      </c>
      <c r="B5023" s="14">
        <f t="shared" si="1"/>
        <v>0.09915045937</v>
      </c>
      <c r="C5023" s="39">
        <f t="array" ref="C5023">NPV(B5023,FCFF!$C$9:$I$9)+FCFF!$B$9+FCFF!$I$9*(1+Inputs!$B$6)/(B5023-Inputs!$B$6)/(1+B5023)^7</f>
        <v>-1359.342138</v>
      </c>
    </row>
    <row r="5024" ht="14.25" customHeight="1">
      <c r="A5024" s="7">
        <v>5011.0</v>
      </c>
      <c r="B5024" s="14">
        <f t="shared" si="1"/>
        <v>0.09629203179</v>
      </c>
      <c r="C5024" s="39">
        <f t="array" ref="C5024">NPV(B5024,FCFF!$C$9:$I$9)+FCFF!$B$9+FCFF!$I$9*(1+Inputs!$B$6)/(B5024-Inputs!$B$6)/(1+B5024)^7</f>
        <v>-1272.816225</v>
      </c>
    </row>
    <row r="5025" ht="14.25" customHeight="1">
      <c r="A5025" s="7">
        <v>5012.0</v>
      </c>
      <c r="B5025" s="14">
        <f t="shared" si="1"/>
        <v>0.1156066359</v>
      </c>
      <c r="C5025" s="39">
        <f t="array" ref="C5025">NPV(B5025,FCFF!$C$9:$I$9)+FCFF!$B$9+FCFF!$I$9*(1+Inputs!$B$6)/(B5025-Inputs!$B$6)/(1+B5025)^7</f>
        <v>-1743.662862</v>
      </c>
    </row>
    <row r="5026" ht="14.25" customHeight="1">
      <c r="A5026" s="7">
        <v>5013.0</v>
      </c>
      <c r="B5026" s="14">
        <f t="shared" si="1"/>
        <v>0.09303521106</v>
      </c>
      <c r="C5026" s="39">
        <f t="array" ref="C5026">NPV(B5026,FCFF!$C$9:$I$9)+FCFF!$B$9+FCFF!$I$9*(1+Inputs!$B$6)/(B5026-Inputs!$B$6)/(1+B5026)^7</f>
        <v>-1164.705297</v>
      </c>
    </row>
    <row r="5027" ht="14.25" customHeight="1">
      <c r="A5027" s="7">
        <v>5014.0</v>
      </c>
      <c r="B5027" s="14">
        <f t="shared" si="1"/>
        <v>0.1206081159</v>
      </c>
      <c r="C5027" s="39">
        <f t="array" ref="C5027">NPV(B5027,FCFF!$C$9:$I$9)+FCFF!$B$9+FCFF!$I$9*(1+Inputs!$B$6)/(B5027-Inputs!$B$6)/(1+B5027)^7</f>
        <v>-1831.921886</v>
      </c>
    </row>
    <row r="5028" ht="14.25" customHeight="1">
      <c r="A5028" s="7">
        <v>5015.0</v>
      </c>
      <c r="B5028" s="14">
        <f t="shared" si="1"/>
        <v>0.1143730938</v>
      </c>
      <c r="C5028" s="39">
        <f t="array" ref="C5028">NPV(B5028,FCFF!$C$9:$I$9)+FCFF!$B$9+FCFF!$I$9*(1+Inputs!$B$6)/(B5028-Inputs!$B$6)/(1+B5028)^7</f>
        <v>-1720.202797</v>
      </c>
    </row>
    <row r="5029" ht="14.25" customHeight="1">
      <c r="A5029" s="7">
        <v>5016.0</v>
      </c>
      <c r="B5029" s="14">
        <f t="shared" si="1"/>
        <v>0.1277317967</v>
      </c>
      <c r="C5029" s="39">
        <f t="array" ref="C5029">NPV(B5029,FCFF!$C$9:$I$9)+FCFF!$B$9+FCFF!$I$9*(1+Inputs!$B$6)/(B5029-Inputs!$B$6)/(1+B5029)^7</f>
        <v>-1941.138371</v>
      </c>
    </row>
    <row r="5030" ht="14.25" customHeight="1">
      <c r="A5030" s="7">
        <v>5017.0</v>
      </c>
      <c r="B5030" s="14">
        <f t="shared" si="1"/>
        <v>0.1306127668</v>
      </c>
      <c r="C5030" s="39">
        <f t="array" ref="C5030">NPV(B5030,FCFF!$C$9:$I$9)+FCFF!$B$9+FCFF!$I$9*(1+Inputs!$B$6)/(B5030-Inputs!$B$6)/(1+B5030)^7</f>
        <v>-1980.601236</v>
      </c>
    </row>
    <row r="5031" ht="14.25" customHeight="1">
      <c r="A5031" s="7">
        <v>5018.0</v>
      </c>
      <c r="B5031" s="14">
        <f t="shared" si="1"/>
        <v>0.09402778975</v>
      </c>
      <c r="C5031" s="39">
        <f t="array" ref="C5031">NPV(B5031,FCFF!$C$9:$I$9)+FCFF!$B$9+FCFF!$I$9*(1+Inputs!$B$6)/(B5031-Inputs!$B$6)/(1+B5031)^7</f>
        <v>-1198.809571</v>
      </c>
    </row>
    <row r="5032" ht="14.25" customHeight="1">
      <c r="A5032" s="7">
        <v>5019.0</v>
      </c>
      <c r="B5032" s="14">
        <f t="shared" si="1"/>
        <v>0.1305161805</v>
      </c>
      <c r="C5032" s="39">
        <f t="array" ref="C5032">NPV(B5032,FCFF!$C$9:$I$9)+FCFF!$B$9+FCFF!$I$9*(1+Inputs!$B$6)/(B5032-Inputs!$B$6)/(1+B5032)^7</f>
        <v>-1979.317922</v>
      </c>
    </row>
    <row r="5033" ht="14.25" customHeight="1">
      <c r="A5033" s="7">
        <v>5020.0</v>
      </c>
      <c r="B5033" s="14">
        <f t="shared" si="1"/>
        <v>0.131841657</v>
      </c>
      <c r="C5033" s="39">
        <f t="array" ref="C5033">NPV(B5033,FCFF!$C$9:$I$9)+FCFF!$B$9+FCFF!$I$9*(1+Inputs!$B$6)/(B5033-Inputs!$B$6)/(1+B5033)^7</f>
        <v>-1996.698137</v>
      </c>
    </row>
    <row r="5034" ht="14.25" customHeight="1">
      <c r="A5034" s="7">
        <v>5021.0</v>
      </c>
      <c r="B5034" s="14">
        <f t="shared" si="1"/>
        <v>0.1062303558</v>
      </c>
      <c r="C5034" s="39">
        <f t="array" ref="C5034">NPV(B5034,FCFF!$C$9:$I$9)+FCFF!$B$9+FCFF!$I$9*(1+Inputs!$B$6)/(B5034-Inputs!$B$6)/(1+B5034)^7</f>
        <v>-1545.516559</v>
      </c>
    </row>
    <row r="5035" ht="14.25" customHeight="1">
      <c r="A5035" s="7">
        <v>5022.0</v>
      </c>
      <c r="B5035" s="14">
        <f t="shared" si="1"/>
        <v>0.1283534664</v>
      </c>
      <c r="C5035" s="39">
        <f t="array" ref="C5035">NPV(B5035,FCFF!$C$9:$I$9)+FCFF!$B$9+FCFF!$I$9*(1+Inputs!$B$6)/(B5035-Inputs!$B$6)/(1+B5035)^7</f>
        <v>-1949.865654</v>
      </c>
    </row>
    <row r="5036" ht="14.25" customHeight="1">
      <c r="A5036" s="7">
        <v>5023.0</v>
      </c>
      <c r="B5036" s="14">
        <f t="shared" si="1"/>
        <v>0.1222951096</v>
      </c>
      <c r="C5036" s="39">
        <f t="array" ref="C5036">NPV(B5036,FCFF!$C$9:$I$9)+FCFF!$B$9+FCFF!$I$9*(1+Inputs!$B$6)/(B5036-Inputs!$B$6)/(1+B5036)^7</f>
        <v>-1859.414478</v>
      </c>
    </row>
    <row r="5037" ht="14.25" customHeight="1">
      <c r="A5037" s="7">
        <v>5024.0</v>
      </c>
      <c r="B5037" s="14">
        <f t="shared" si="1"/>
        <v>0.1004792873</v>
      </c>
      <c r="C5037" s="39">
        <f t="array" ref="C5037">NPV(B5037,FCFF!$C$9:$I$9)+FCFF!$B$9+FCFF!$I$9*(1+Inputs!$B$6)/(B5037-Inputs!$B$6)/(1+B5037)^7</f>
        <v>-1397.169996</v>
      </c>
    </row>
    <row r="5038" ht="14.25" customHeight="1">
      <c r="A5038" s="7">
        <v>5025.0</v>
      </c>
      <c r="B5038" s="14">
        <f t="shared" si="1"/>
        <v>0.1042963787</v>
      </c>
      <c r="C5038" s="39">
        <f t="array" ref="C5038">NPV(B5038,FCFF!$C$9:$I$9)+FCFF!$B$9+FCFF!$I$9*(1+Inputs!$B$6)/(B5038-Inputs!$B$6)/(1+B5038)^7</f>
        <v>-1498.234126</v>
      </c>
    </row>
    <row r="5039" ht="14.25" customHeight="1">
      <c r="A5039" s="7">
        <v>5026.0</v>
      </c>
      <c r="B5039" s="14">
        <f t="shared" si="1"/>
        <v>0.09400464348</v>
      </c>
      <c r="C5039" s="39">
        <f t="array" ref="C5039">NPV(B5039,FCFF!$C$9:$I$9)+FCFF!$B$9+FCFF!$I$9*(1+Inputs!$B$6)/(B5039-Inputs!$B$6)/(1+B5039)^7</f>
        <v>-1198.026203</v>
      </c>
    </row>
    <row r="5040" ht="14.25" customHeight="1">
      <c r="A5040" s="7">
        <v>5027.0</v>
      </c>
      <c r="B5040" s="14">
        <f t="shared" si="1"/>
        <v>0.1244465782</v>
      </c>
      <c r="C5040" s="39">
        <f t="array" ref="C5040">NPV(B5040,FCFF!$C$9:$I$9)+FCFF!$B$9+FCFF!$I$9*(1+Inputs!$B$6)/(B5040-Inputs!$B$6)/(1+B5040)^7</f>
        <v>-1892.960768</v>
      </c>
    </row>
    <row r="5041" ht="14.25" customHeight="1">
      <c r="A5041" s="7">
        <v>5028.0</v>
      </c>
      <c r="B5041" s="14">
        <f t="shared" si="1"/>
        <v>0.1020555719</v>
      </c>
      <c r="C5041" s="39">
        <f t="array" ref="C5041">NPV(B5041,FCFF!$C$9:$I$9)+FCFF!$B$9+FCFF!$I$9*(1+Inputs!$B$6)/(B5041-Inputs!$B$6)/(1+B5041)^7</f>
        <v>-1440.218975</v>
      </c>
    </row>
    <row r="5042" ht="14.25" customHeight="1">
      <c r="A5042" s="7">
        <v>5029.0</v>
      </c>
      <c r="B5042" s="14">
        <f t="shared" si="1"/>
        <v>0.1206186323</v>
      </c>
      <c r="C5042" s="39">
        <f t="array" ref="C5042">NPV(B5042,FCFF!$C$9:$I$9)+FCFF!$B$9+FCFF!$I$9*(1+Inputs!$B$6)/(B5042-Inputs!$B$6)/(1+B5042)^7</f>
        <v>-1832.096638</v>
      </c>
    </row>
    <row r="5043" ht="14.25" customHeight="1">
      <c r="A5043" s="7">
        <v>5030.0</v>
      </c>
      <c r="B5043" s="14">
        <f t="shared" si="1"/>
        <v>0.1063315473</v>
      </c>
      <c r="C5043" s="39">
        <f t="array" ref="C5043">NPV(B5043,FCFF!$C$9:$I$9)+FCFF!$B$9+FCFF!$I$9*(1+Inputs!$B$6)/(B5043-Inputs!$B$6)/(1+B5043)^7</f>
        <v>-1547.923168</v>
      </c>
    </row>
    <row r="5044" ht="14.25" customHeight="1">
      <c r="A5044" s="7">
        <v>5031.0</v>
      </c>
      <c r="B5044" s="14">
        <f t="shared" si="1"/>
        <v>0.09451997992</v>
      </c>
      <c r="C5044" s="39">
        <f t="array" ref="C5044">NPV(B5044,FCFF!$C$9:$I$9)+FCFF!$B$9+FCFF!$I$9*(1+Inputs!$B$6)/(B5044-Inputs!$B$6)/(1+B5044)^7</f>
        <v>-1215.335512</v>
      </c>
    </row>
    <row r="5045" ht="14.25" customHeight="1">
      <c r="A5045" s="7">
        <v>5032.0</v>
      </c>
      <c r="B5045" s="14">
        <f t="shared" si="1"/>
        <v>0.09512102146</v>
      </c>
      <c r="C5045" s="39">
        <f t="array" ref="C5045">NPV(B5045,FCFF!$C$9:$I$9)+FCFF!$B$9+FCFF!$I$9*(1+Inputs!$B$6)/(B5045-Inputs!$B$6)/(1+B5045)^7</f>
        <v>-1235.180193</v>
      </c>
    </row>
    <row r="5046" ht="14.25" customHeight="1">
      <c r="A5046" s="7">
        <v>5033.0</v>
      </c>
      <c r="B5046" s="14">
        <f t="shared" si="1"/>
        <v>0.09427492396</v>
      </c>
      <c r="C5046" s="39">
        <f t="array" ref="C5046">NPV(B5046,FCFF!$C$9:$I$9)+FCFF!$B$9+FCFF!$I$9*(1+Inputs!$B$6)/(B5046-Inputs!$B$6)/(1+B5046)^7</f>
        <v>-1207.13879</v>
      </c>
    </row>
    <row r="5047" ht="14.25" customHeight="1">
      <c r="A5047" s="7">
        <v>5034.0</v>
      </c>
      <c r="B5047" s="14">
        <f t="shared" si="1"/>
        <v>0.09831492237</v>
      </c>
      <c r="C5047" s="39">
        <f t="array" ref="C5047">NPV(B5047,FCFF!$C$9:$I$9)+FCFF!$B$9+FCFF!$I$9*(1+Inputs!$B$6)/(B5047-Inputs!$B$6)/(1+B5047)^7</f>
        <v>-1334.799691</v>
      </c>
    </row>
    <row r="5048" ht="14.25" customHeight="1">
      <c r="A5048" s="7">
        <v>5035.0</v>
      </c>
      <c r="B5048" s="14">
        <f t="shared" si="1"/>
        <v>0.09532094056</v>
      </c>
      <c r="C5048" s="39">
        <f t="array" ref="C5048">NPV(B5048,FCFF!$C$9:$I$9)+FCFF!$B$9+FCFF!$I$9*(1+Inputs!$B$6)/(B5048-Inputs!$B$6)/(1+B5048)^7</f>
        <v>-1241.700567</v>
      </c>
    </row>
    <row r="5049" ht="14.25" customHeight="1">
      <c r="A5049" s="7">
        <v>5036.0</v>
      </c>
      <c r="B5049" s="14">
        <f t="shared" si="1"/>
        <v>0.0978715326</v>
      </c>
      <c r="C5049" s="39">
        <f t="array" ref="C5049">NPV(B5049,FCFF!$C$9:$I$9)+FCFF!$B$9+FCFF!$I$9*(1+Inputs!$B$6)/(B5049-Inputs!$B$6)/(1+B5049)^7</f>
        <v>-1321.529886</v>
      </c>
    </row>
    <row r="5050" ht="14.25" customHeight="1">
      <c r="A5050" s="7">
        <v>5037.0</v>
      </c>
      <c r="B5050" s="14">
        <f t="shared" si="1"/>
        <v>0.09797479017</v>
      </c>
      <c r="C5050" s="39">
        <f t="array" ref="C5050">NPV(B5050,FCFF!$C$9:$I$9)+FCFF!$B$9+FCFF!$I$9*(1+Inputs!$B$6)/(B5050-Inputs!$B$6)/(1+B5050)^7</f>
        <v>-1324.635671</v>
      </c>
    </row>
    <row r="5051" ht="14.25" customHeight="1">
      <c r="A5051" s="7">
        <v>5038.0</v>
      </c>
      <c r="B5051" s="14">
        <f t="shared" si="1"/>
        <v>0.1320379901</v>
      </c>
      <c r="C5051" s="39">
        <f t="array" ref="C5051">NPV(B5051,FCFF!$C$9:$I$9)+FCFF!$B$9+FCFF!$I$9*(1+Inputs!$B$6)/(B5051-Inputs!$B$6)/(1+B5051)^7</f>
        <v>-1999.230746</v>
      </c>
    </row>
    <row r="5052" ht="14.25" customHeight="1">
      <c r="A5052" s="7">
        <v>5039.0</v>
      </c>
      <c r="B5052" s="14">
        <f t="shared" si="1"/>
        <v>0.1051702783</v>
      </c>
      <c r="C5052" s="39">
        <f t="array" ref="C5052">NPV(B5052,FCFF!$C$9:$I$9)+FCFF!$B$9+FCFF!$I$9*(1+Inputs!$B$6)/(B5052-Inputs!$B$6)/(1+B5052)^7</f>
        <v>-1519.906885</v>
      </c>
    </row>
    <row r="5053" ht="14.25" customHeight="1">
      <c r="A5053" s="7">
        <v>5040.0</v>
      </c>
      <c r="B5053" s="14">
        <f t="shared" si="1"/>
        <v>0.1257946065</v>
      </c>
      <c r="C5053" s="39">
        <f t="array" ref="C5053">NPV(B5053,FCFF!$C$9:$I$9)+FCFF!$B$9+FCFF!$I$9*(1+Inputs!$B$6)/(B5053-Inputs!$B$6)/(1+B5053)^7</f>
        <v>-1913.159176</v>
      </c>
    </row>
    <row r="5054" ht="14.25" customHeight="1">
      <c r="A5054" s="7">
        <v>5041.0</v>
      </c>
      <c r="B5054" s="14">
        <f t="shared" si="1"/>
        <v>0.102719191</v>
      </c>
      <c r="C5054" s="39">
        <f t="array" ref="C5054">NPV(B5054,FCFF!$C$9:$I$9)+FCFF!$B$9+FCFF!$I$9*(1+Inputs!$B$6)/(B5054-Inputs!$B$6)/(1+B5054)^7</f>
        <v>-1457.77832</v>
      </c>
    </row>
    <row r="5055" ht="14.25" customHeight="1">
      <c r="A5055" s="7">
        <v>5042.0</v>
      </c>
      <c r="B5055" s="14">
        <f t="shared" si="1"/>
        <v>0.09427846216</v>
      </c>
      <c r="C5055" s="39">
        <f t="array" ref="C5055">NPV(B5055,FCFF!$C$9:$I$9)+FCFF!$B$9+FCFF!$I$9*(1+Inputs!$B$6)/(B5055-Inputs!$B$6)/(1+B5055)^7</f>
        <v>-1207.257578</v>
      </c>
    </row>
    <row r="5056" ht="14.25" customHeight="1">
      <c r="A5056" s="7">
        <v>5043.0</v>
      </c>
      <c r="B5056" s="14">
        <f t="shared" si="1"/>
        <v>0.1081329513</v>
      </c>
      <c r="C5056" s="39">
        <f t="array" ref="C5056">NPV(B5056,FCFF!$C$9:$I$9)+FCFF!$B$9+FCFF!$I$9*(1+Inputs!$B$6)/(B5056-Inputs!$B$6)/(1+B5056)^7</f>
        <v>-1589.696967</v>
      </c>
    </row>
    <row r="5057" ht="14.25" customHeight="1">
      <c r="A5057" s="7">
        <v>5044.0</v>
      </c>
      <c r="B5057" s="14">
        <f t="shared" si="1"/>
        <v>0.1293078134</v>
      </c>
      <c r="C5057" s="39">
        <f t="array" ref="C5057">NPV(B5057,FCFF!$C$9:$I$9)+FCFF!$B$9+FCFF!$I$9*(1+Inputs!$B$6)/(B5057-Inputs!$B$6)/(1+B5057)^7</f>
        <v>-1963.033506</v>
      </c>
    </row>
    <row r="5058" ht="14.25" customHeight="1">
      <c r="A5058" s="7">
        <v>5045.0</v>
      </c>
      <c r="B5058" s="14">
        <f t="shared" si="1"/>
        <v>0.1218228887</v>
      </c>
      <c r="C5058" s="39">
        <f t="array" ref="C5058">NPV(B5058,FCFF!$C$9:$I$9)+FCFF!$B$9+FCFF!$I$9*(1+Inputs!$B$6)/(B5058-Inputs!$B$6)/(1+B5058)^7</f>
        <v>-1851.826987</v>
      </c>
    </row>
    <row r="5059" ht="14.25" customHeight="1">
      <c r="A5059" s="7">
        <v>5046.0</v>
      </c>
      <c r="B5059" s="14">
        <f t="shared" si="1"/>
        <v>0.1136388369</v>
      </c>
      <c r="C5059" s="39">
        <f t="array" ref="C5059">NPV(B5059,FCFF!$C$9:$I$9)+FCFF!$B$9+FCFF!$I$9*(1+Inputs!$B$6)/(B5059-Inputs!$B$6)/(1+B5059)^7</f>
        <v>-1705.89503</v>
      </c>
    </row>
    <row r="5060" ht="14.25" customHeight="1">
      <c r="A5060" s="7">
        <v>5047.0</v>
      </c>
      <c r="B5060" s="14">
        <f t="shared" si="1"/>
        <v>0.1237543361</v>
      </c>
      <c r="C5060" s="39">
        <f t="array" ref="C5060">NPV(B5060,FCFF!$C$9:$I$9)+FCFF!$B$9+FCFF!$I$9*(1+Inputs!$B$6)/(B5060-Inputs!$B$6)/(1+B5060)^7</f>
        <v>-1882.346518</v>
      </c>
    </row>
    <row r="5061" ht="14.25" customHeight="1">
      <c r="A5061" s="7">
        <v>5048.0</v>
      </c>
      <c r="B5061" s="14">
        <f t="shared" si="1"/>
        <v>0.1184366438</v>
      </c>
      <c r="C5061" s="39">
        <f t="array" ref="C5061">NPV(B5061,FCFF!$C$9:$I$9)+FCFF!$B$9+FCFF!$I$9*(1+Inputs!$B$6)/(B5061-Inputs!$B$6)/(1+B5061)^7</f>
        <v>-1794.895145</v>
      </c>
    </row>
    <row r="5062" ht="14.25" customHeight="1">
      <c r="A5062" s="7">
        <v>5049.0</v>
      </c>
      <c r="B5062" s="14">
        <f t="shared" si="1"/>
        <v>0.09487200854</v>
      </c>
      <c r="C5062" s="39">
        <f t="array" ref="C5062">NPV(B5062,FCFF!$C$9:$I$9)+FCFF!$B$9+FCFF!$I$9*(1+Inputs!$B$6)/(B5062-Inputs!$B$6)/(1+B5062)^7</f>
        <v>-1227.002786</v>
      </c>
    </row>
    <row r="5063" ht="14.25" customHeight="1">
      <c r="A5063" s="7">
        <v>5050.0</v>
      </c>
      <c r="B5063" s="14">
        <f t="shared" si="1"/>
        <v>0.1049534988</v>
      </c>
      <c r="C5063" s="39">
        <f t="array" ref="C5063">NPV(B5063,FCFF!$C$9:$I$9)+FCFF!$B$9+FCFF!$I$9*(1+Inputs!$B$6)/(B5063-Inputs!$B$6)/(1+B5063)^7</f>
        <v>-1514.578774</v>
      </c>
    </row>
    <row r="5064" ht="14.25" customHeight="1">
      <c r="A5064" s="7">
        <v>5051.0</v>
      </c>
      <c r="B5064" s="14">
        <f t="shared" si="1"/>
        <v>0.1094739992</v>
      </c>
      <c r="C5064" s="39">
        <f t="array" ref="C5064">NPV(B5064,FCFF!$C$9:$I$9)+FCFF!$B$9+FCFF!$I$9*(1+Inputs!$B$6)/(B5064-Inputs!$B$6)/(1+B5064)^7</f>
        <v>-1619.532612</v>
      </c>
    </row>
    <row r="5065" ht="14.25" customHeight="1">
      <c r="A5065" s="7">
        <v>5052.0</v>
      </c>
      <c r="B5065" s="14">
        <f t="shared" si="1"/>
        <v>0.09302415486</v>
      </c>
      <c r="C5065" s="39">
        <f t="array" ref="C5065">NPV(B5065,FCFF!$C$9:$I$9)+FCFF!$B$9+FCFF!$I$9*(1+Inputs!$B$6)/(B5065-Inputs!$B$6)/(1+B5065)^7</f>
        <v>-1164.319433</v>
      </c>
    </row>
    <row r="5066" ht="14.25" customHeight="1">
      <c r="A5066" s="7">
        <v>5053.0</v>
      </c>
      <c r="B5066" s="14">
        <f t="shared" si="1"/>
        <v>0.1139471147</v>
      </c>
      <c r="C5066" s="39">
        <f t="array" ref="C5066">NPV(B5066,FCFF!$C$9:$I$9)+FCFF!$B$9+FCFF!$I$9*(1+Inputs!$B$6)/(B5066-Inputs!$B$6)/(1+B5066)^7</f>
        <v>-1711.933943</v>
      </c>
    </row>
    <row r="5067" ht="14.25" customHeight="1">
      <c r="A5067" s="7">
        <v>5054.0</v>
      </c>
      <c r="B5067" s="14">
        <f t="shared" si="1"/>
        <v>0.1312814544</v>
      </c>
      <c r="C5067" s="39">
        <f t="array" ref="C5067">NPV(B5067,FCFF!$C$9:$I$9)+FCFF!$B$9+FCFF!$I$9*(1+Inputs!$B$6)/(B5067-Inputs!$B$6)/(1+B5067)^7</f>
        <v>-1989.412929</v>
      </c>
    </row>
    <row r="5068" ht="14.25" customHeight="1">
      <c r="A5068" s="7">
        <v>5055.0</v>
      </c>
      <c r="B5068" s="14">
        <f t="shared" si="1"/>
        <v>0.1287699522</v>
      </c>
      <c r="C5068" s="39">
        <f t="array" ref="C5068">NPV(B5068,FCFF!$C$9:$I$9)+FCFF!$B$9+FCFF!$I$9*(1+Inputs!$B$6)/(B5068-Inputs!$B$6)/(1+B5068)^7</f>
        <v>-1955.646087</v>
      </c>
    </row>
    <row r="5069" ht="14.25" customHeight="1">
      <c r="A5069" s="7">
        <v>5056.0</v>
      </c>
      <c r="B5069" s="14">
        <f t="shared" si="1"/>
        <v>0.1046601794</v>
      </c>
      <c r="C5069" s="39">
        <f t="array" ref="C5069">NPV(B5069,FCFF!$C$9:$I$9)+FCFF!$B$9+FCFF!$I$9*(1+Inputs!$B$6)/(B5069-Inputs!$B$6)/(1+B5069)^7</f>
        <v>-1507.319211</v>
      </c>
    </row>
    <row r="5070" ht="14.25" customHeight="1">
      <c r="A5070" s="7">
        <v>5057.0</v>
      </c>
      <c r="B5070" s="14">
        <f t="shared" si="1"/>
        <v>0.1224499277</v>
      </c>
      <c r="C5070" s="39">
        <f t="array" ref="C5070">NPV(B5070,FCFF!$C$9:$I$9)+FCFF!$B$9+FCFF!$I$9*(1+Inputs!$B$6)/(B5070-Inputs!$B$6)/(1+B5070)^7</f>
        <v>-1861.884087</v>
      </c>
    </row>
    <row r="5071" ht="14.25" customHeight="1">
      <c r="A5071" s="7">
        <v>5058.0</v>
      </c>
      <c r="B5071" s="14">
        <f t="shared" si="1"/>
        <v>0.09461385708</v>
      </c>
      <c r="C5071" s="39">
        <f t="array" ref="C5071">NPV(B5071,FCFF!$C$9:$I$9)+FCFF!$B$9+FCFF!$I$9*(1+Inputs!$B$6)/(B5071-Inputs!$B$6)/(1+B5071)^7</f>
        <v>-1218.459215</v>
      </c>
    </row>
    <row r="5072" ht="14.25" customHeight="1">
      <c r="A5072" s="7">
        <v>5059.0</v>
      </c>
      <c r="B5072" s="14">
        <f t="shared" si="1"/>
        <v>0.1042191653</v>
      </c>
      <c r="C5072" s="39">
        <f t="array" ref="C5072">NPV(B5072,FCFF!$C$9:$I$9)+FCFF!$B$9+FCFF!$I$9*(1+Inputs!$B$6)/(B5072-Inputs!$B$6)/(1+B5072)^7</f>
        <v>-1496.294233</v>
      </c>
    </row>
    <row r="5073" ht="14.25" customHeight="1">
      <c r="A5073" s="7">
        <v>5060.0</v>
      </c>
      <c r="B5073" s="14">
        <f t="shared" si="1"/>
        <v>0.1204631311</v>
      </c>
      <c r="C5073" s="39">
        <f t="array" ref="C5073">NPV(B5073,FCFF!$C$9:$I$9)+FCFF!$B$9+FCFF!$I$9*(1+Inputs!$B$6)/(B5073-Inputs!$B$6)/(1+B5073)^7</f>
        <v>-1829.508272</v>
      </c>
    </row>
    <row r="5074" ht="14.25" customHeight="1">
      <c r="A5074" s="7">
        <v>5061.0</v>
      </c>
      <c r="B5074" s="14">
        <f t="shared" si="1"/>
        <v>0.1111296386</v>
      </c>
      <c r="C5074" s="39">
        <f t="array" ref="C5074">NPV(B5074,FCFF!$C$9:$I$9)+FCFF!$B$9+FCFF!$I$9*(1+Inputs!$B$6)/(B5074-Inputs!$B$6)/(1+B5074)^7</f>
        <v>-1654.964613</v>
      </c>
    </row>
    <row r="5075" ht="14.25" customHeight="1">
      <c r="A5075" s="7">
        <v>5062.0</v>
      </c>
      <c r="B5075" s="14">
        <f t="shared" si="1"/>
        <v>0.1034957913</v>
      </c>
      <c r="C5075" s="39">
        <f t="array" ref="C5075">NPV(B5075,FCFF!$C$9:$I$9)+FCFF!$B$9+FCFF!$I$9*(1+Inputs!$B$6)/(B5075-Inputs!$B$6)/(1+B5075)^7</f>
        <v>-1477.918985</v>
      </c>
    </row>
    <row r="5076" ht="14.25" customHeight="1">
      <c r="A5076" s="7">
        <v>5063.0</v>
      </c>
      <c r="B5076" s="14">
        <f t="shared" si="1"/>
        <v>0.1070429598</v>
      </c>
      <c r="C5076" s="39">
        <f t="array" ref="C5076">NPV(B5076,FCFF!$C$9:$I$9)+FCFF!$B$9+FCFF!$I$9*(1+Inputs!$B$6)/(B5076-Inputs!$B$6)/(1+B5076)^7</f>
        <v>-1564.659844</v>
      </c>
    </row>
    <row r="5077" ht="14.25" customHeight="1">
      <c r="A5077" s="7">
        <v>5064.0</v>
      </c>
      <c r="B5077" s="14">
        <f t="shared" si="1"/>
        <v>0.09904279661</v>
      </c>
      <c r="C5077" s="39">
        <f t="array" ref="C5077">NPV(B5077,FCFF!$C$9:$I$9)+FCFF!$B$9+FCFF!$I$9*(1+Inputs!$B$6)/(B5077-Inputs!$B$6)/(1+B5077)^7</f>
        <v>-1356.213184</v>
      </c>
    </row>
    <row r="5078" ht="14.25" customHeight="1">
      <c r="A5078" s="7">
        <v>5065.0</v>
      </c>
      <c r="B5078" s="14">
        <f t="shared" si="1"/>
        <v>0.09641257418</v>
      </c>
      <c r="C5078" s="39">
        <f t="array" ref="C5078">NPV(B5078,FCFF!$C$9:$I$9)+FCFF!$B$9+FCFF!$I$9*(1+Inputs!$B$6)/(B5078-Inputs!$B$6)/(1+B5078)^7</f>
        <v>-1276.615411</v>
      </c>
    </row>
    <row r="5079" ht="14.25" customHeight="1">
      <c r="A5079" s="7">
        <v>5066.0</v>
      </c>
      <c r="B5079" s="14">
        <f t="shared" si="1"/>
        <v>0.1190820808</v>
      </c>
      <c r="C5079" s="39">
        <f t="array" ref="C5079">NPV(B5079,FCFF!$C$9:$I$9)+FCFF!$B$9+FCFF!$I$9*(1+Inputs!$B$6)/(B5079-Inputs!$B$6)/(1+B5079)^7</f>
        <v>-1806.100125</v>
      </c>
    </row>
    <row r="5080" ht="14.25" customHeight="1">
      <c r="A5080" s="7">
        <v>5067.0</v>
      </c>
      <c r="B5080" s="14">
        <f t="shared" si="1"/>
        <v>0.1133386868</v>
      </c>
      <c r="C5080" s="39">
        <f t="array" ref="C5080">NPV(B5080,FCFF!$C$9:$I$9)+FCFF!$B$9+FCFF!$I$9*(1+Inputs!$B$6)/(B5080-Inputs!$B$6)/(1+B5080)^7</f>
        <v>-1699.970587</v>
      </c>
    </row>
    <row r="5081" ht="14.25" customHeight="1">
      <c r="A5081" s="7">
        <v>5068.0</v>
      </c>
      <c r="B5081" s="14">
        <f t="shared" si="1"/>
        <v>0.1054177817</v>
      </c>
      <c r="C5081" s="39">
        <f t="array" ref="C5081">NPV(B5081,FCFF!$C$9:$I$9)+FCFF!$B$9+FCFF!$I$9*(1+Inputs!$B$6)/(B5081-Inputs!$B$6)/(1+B5081)^7</f>
        <v>-1525.951941</v>
      </c>
    </row>
    <row r="5082" ht="14.25" customHeight="1">
      <c r="A5082" s="7">
        <v>5069.0</v>
      </c>
      <c r="B5082" s="14">
        <f t="shared" si="1"/>
        <v>0.1128967819</v>
      </c>
      <c r="C5082" s="39">
        <f t="array" ref="C5082">NPV(B5082,FCFF!$C$9:$I$9)+FCFF!$B$9+FCFF!$I$9*(1+Inputs!$B$6)/(B5082-Inputs!$B$6)/(1+B5082)^7</f>
        <v>-1691.166835</v>
      </c>
    </row>
    <row r="5083" ht="14.25" customHeight="1">
      <c r="A5083" s="7">
        <v>5070.0</v>
      </c>
      <c r="B5083" s="14">
        <f t="shared" si="1"/>
        <v>0.1107172125</v>
      </c>
      <c r="C5083" s="39">
        <f t="array" ref="C5083">NPV(B5083,FCFF!$C$9:$I$9)+FCFF!$B$9+FCFF!$I$9*(1+Inputs!$B$6)/(B5083-Inputs!$B$6)/(1+B5083)^7</f>
        <v>-1646.278892</v>
      </c>
    </row>
    <row r="5084" ht="14.25" customHeight="1">
      <c r="A5084" s="7">
        <v>5071.0</v>
      </c>
      <c r="B5084" s="14">
        <f t="shared" si="1"/>
        <v>0.1220819127</v>
      </c>
      <c r="C5084" s="39">
        <f t="array" ref="C5084">NPV(B5084,FCFF!$C$9:$I$9)+FCFF!$B$9+FCFF!$I$9*(1+Inputs!$B$6)/(B5084-Inputs!$B$6)/(1+B5084)^7</f>
        <v>-1855.999155</v>
      </c>
    </row>
    <row r="5085" ht="14.25" customHeight="1">
      <c r="A5085" s="7">
        <v>5072.0</v>
      </c>
      <c r="B5085" s="14">
        <f t="shared" si="1"/>
        <v>0.1043566061</v>
      </c>
      <c r="C5085" s="39">
        <f t="array" ref="C5085">NPV(B5085,FCFF!$C$9:$I$9)+FCFF!$B$9+FCFF!$I$9*(1+Inputs!$B$6)/(B5085-Inputs!$B$6)/(1+B5085)^7</f>
        <v>-1499.744419</v>
      </c>
    </row>
    <row r="5086" ht="14.25" customHeight="1">
      <c r="A5086" s="7">
        <v>5073.0</v>
      </c>
      <c r="B5086" s="14">
        <f t="shared" si="1"/>
        <v>0.1248809329</v>
      </c>
      <c r="C5086" s="39">
        <f t="array" ref="C5086">NPV(B5086,FCFF!$C$9:$I$9)+FCFF!$B$9+FCFF!$I$9*(1+Inputs!$B$6)/(B5086-Inputs!$B$6)/(1+B5086)^7</f>
        <v>-1899.53619</v>
      </c>
    </row>
    <row r="5087" ht="14.25" customHeight="1">
      <c r="A5087" s="7">
        <v>5074.0</v>
      </c>
      <c r="B5087" s="14">
        <f t="shared" si="1"/>
        <v>0.1179497834</v>
      </c>
      <c r="C5087" s="39">
        <f t="array" ref="C5087">NPV(B5087,FCFF!$C$9:$I$9)+FCFF!$B$9+FCFF!$I$9*(1+Inputs!$B$6)/(B5087-Inputs!$B$6)/(1+B5087)^7</f>
        <v>-1786.328283</v>
      </c>
    </row>
    <row r="5088" ht="14.25" customHeight="1">
      <c r="A5088" s="7">
        <v>5075.0</v>
      </c>
      <c r="B5088" s="14">
        <f t="shared" si="1"/>
        <v>0.1211161723</v>
      </c>
      <c r="C5088" s="39">
        <f t="array" ref="C5088">NPV(B5088,FCFF!$C$9:$I$9)+FCFF!$B$9+FCFF!$I$9*(1+Inputs!$B$6)/(B5088-Inputs!$B$6)/(1+B5088)^7</f>
        <v>-1840.315398</v>
      </c>
    </row>
    <row r="5089" ht="14.25" customHeight="1">
      <c r="A5089" s="7">
        <v>5076.0</v>
      </c>
      <c r="B5089" s="14">
        <f t="shared" si="1"/>
        <v>0.1205567673</v>
      </c>
      <c r="C5089" s="39">
        <f t="array" ref="C5089">NPV(B5089,FCFF!$C$9:$I$9)+FCFF!$B$9+FCFF!$I$9*(1+Inputs!$B$6)/(B5089-Inputs!$B$6)/(1+B5089)^7</f>
        <v>-1831.068004</v>
      </c>
    </row>
    <row r="5090" ht="14.25" customHeight="1">
      <c r="A5090" s="7">
        <v>5077.0</v>
      </c>
      <c r="B5090" s="14">
        <f t="shared" si="1"/>
        <v>0.1210547243</v>
      </c>
      <c r="C5090" s="39">
        <f t="array" ref="C5090">NPV(B5090,FCFF!$C$9:$I$9)+FCFF!$B$9+FCFF!$I$9*(1+Inputs!$B$6)/(B5090-Inputs!$B$6)/(1+B5090)^7</f>
        <v>-1839.305509</v>
      </c>
    </row>
    <row r="5091" ht="14.25" customHeight="1">
      <c r="A5091" s="7">
        <v>5078.0</v>
      </c>
      <c r="B5091" s="14">
        <f t="shared" si="1"/>
        <v>0.1179621664</v>
      </c>
      <c r="C5091" s="39">
        <f t="array" ref="C5091">NPV(B5091,FCFF!$C$9:$I$9)+FCFF!$B$9+FCFF!$I$9*(1+Inputs!$B$6)/(B5091-Inputs!$B$6)/(1+B5091)^7</f>
        <v>-1786.547415</v>
      </c>
    </row>
    <row r="5092" ht="14.25" customHeight="1">
      <c r="A5092" s="7">
        <v>5079.0</v>
      </c>
      <c r="B5092" s="14">
        <f t="shared" si="1"/>
        <v>0.1247301262</v>
      </c>
      <c r="C5092" s="39">
        <f t="array" ref="C5092">NPV(B5092,FCFF!$C$9:$I$9)+FCFF!$B$9+FCFF!$I$9*(1+Inputs!$B$6)/(B5092-Inputs!$B$6)/(1+B5092)^7</f>
        <v>-1897.260541</v>
      </c>
    </row>
    <row r="5093" ht="14.25" customHeight="1">
      <c r="A5093" s="7">
        <v>5080.0</v>
      </c>
      <c r="B5093" s="14">
        <f t="shared" si="1"/>
        <v>0.09927137464</v>
      </c>
      <c r="C5093" s="39">
        <f t="array" ref="C5093">NPV(B5093,FCFF!$C$9:$I$9)+FCFF!$B$9+FCFF!$I$9*(1+Inputs!$B$6)/(B5093-Inputs!$B$6)/(1+B5093)^7</f>
        <v>-1362.844598</v>
      </c>
    </row>
    <row r="5094" ht="14.25" customHeight="1">
      <c r="A5094" s="7">
        <v>5081.0</v>
      </c>
      <c r="B5094" s="14">
        <f t="shared" si="1"/>
        <v>0.1019858028</v>
      </c>
      <c r="C5094" s="39">
        <f t="array" ref="C5094">NPV(B5094,FCFF!$C$9:$I$9)+FCFF!$B$9+FCFF!$I$9*(1+Inputs!$B$6)/(B5094-Inputs!$B$6)/(1+B5094)^7</f>
        <v>-1438.353844</v>
      </c>
    </row>
    <row r="5095" ht="14.25" customHeight="1">
      <c r="A5095" s="7">
        <v>5082.0</v>
      </c>
      <c r="B5095" s="14">
        <f t="shared" si="1"/>
        <v>0.1157164451</v>
      </c>
      <c r="C5095" s="39">
        <f t="array" ref="C5095">NPV(B5095,FCFF!$C$9:$I$9)+FCFF!$B$9+FCFF!$I$9*(1+Inputs!$B$6)/(B5095-Inputs!$B$6)/(1+B5095)^7</f>
        <v>-1745.717024</v>
      </c>
    </row>
    <row r="5096" ht="14.25" customHeight="1">
      <c r="A5096" s="7">
        <v>5083.0</v>
      </c>
      <c r="B5096" s="14">
        <f t="shared" si="1"/>
        <v>0.1100547935</v>
      </c>
      <c r="C5096" s="39">
        <f t="array" ref="C5096">NPV(B5096,FCFF!$C$9:$I$9)+FCFF!$B$9+FCFF!$I$9*(1+Inputs!$B$6)/(B5096-Inputs!$B$6)/(1+B5096)^7</f>
        <v>-1632.134518</v>
      </c>
    </row>
    <row r="5097" ht="14.25" customHeight="1">
      <c r="A5097" s="7">
        <v>5084.0</v>
      </c>
      <c r="B5097" s="14">
        <f t="shared" si="1"/>
        <v>0.1224382942</v>
      </c>
      <c r="C5097" s="39">
        <f t="array" ref="C5097">NPV(B5097,FCFF!$C$9:$I$9)+FCFF!$B$9+FCFF!$I$9*(1+Inputs!$B$6)/(B5097-Inputs!$B$6)/(1+B5097)^7</f>
        <v>-1861.698819</v>
      </c>
    </row>
    <row r="5098" ht="14.25" customHeight="1">
      <c r="A5098" s="7">
        <v>5085.0</v>
      </c>
      <c r="B5098" s="14">
        <f t="shared" si="1"/>
        <v>0.1217960234</v>
      </c>
      <c r="C5098" s="39">
        <f t="array" ref="C5098">NPV(B5098,FCFF!$C$9:$I$9)+FCFF!$B$9+FCFF!$I$9*(1+Inputs!$B$6)/(B5098-Inputs!$B$6)/(1+B5098)^7</f>
        <v>-1851.392827</v>
      </c>
    </row>
    <row r="5099" ht="14.25" customHeight="1">
      <c r="A5099" s="7">
        <v>5086.0</v>
      </c>
      <c r="B5099" s="14">
        <f t="shared" si="1"/>
        <v>0.1286879306</v>
      </c>
      <c r="C5099" s="39">
        <f t="array" ref="C5099">NPV(B5099,FCFF!$C$9:$I$9)+FCFF!$B$9+FCFF!$I$9*(1+Inputs!$B$6)/(B5099-Inputs!$B$6)/(1+B5099)^7</f>
        <v>-1954.511876</v>
      </c>
    </row>
    <row r="5100" ht="14.25" customHeight="1">
      <c r="A5100" s="7">
        <v>5087.0</v>
      </c>
      <c r="B5100" s="14">
        <f t="shared" si="1"/>
        <v>0.1093963414</v>
      </c>
      <c r="C5100" s="39">
        <f t="array" ref="C5100">NPV(B5100,FCFF!$C$9:$I$9)+FCFF!$B$9+FCFF!$I$9*(1+Inputs!$B$6)/(B5100-Inputs!$B$6)/(1+B5100)^7</f>
        <v>-1617.833196</v>
      </c>
    </row>
    <row r="5101" ht="14.25" customHeight="1">
      <c r="A5101" s="7">
        <v>5088.0</v>
      </c>
      <c r="B5101" s="14">
        <f t="shared" si="1"/>
        <v>0.1130620556</v>
      </c>
      <c r="C5101" s="39">
        <f t="array" ref="C5101">NPV(B5101,FCFF!$C$9:$I$9)+FCFF!$B$9+FCFF!$I$9*(1+Inputs!$B$6)/(B5101-Inputs!$B$6)/(1+B5101)^7</f>
        <v>-1694.470878</v>
      </c>
    </row>
    <row r="5102" ht="14.25" customHeight="1">
      <c r="A5102" s="7">
        <v>5089.0</v>
      </c>
      <c r="B5102" s="14">
        <f t="shared" si="1"/>
        <v>0.1234276832</v>
      </c>
      <c r="C5102" s="39">
        <f t="array" ref="C5102">NPV(B5102,FCFF!$C$9:$I$9)+FCFF!$B$9+FCFF!$I$9*(1+Inputs!$B$6)/(B5102-Inputs!$B$6)/(1+B5102)^7</f>
        <v>-1877.279493</v>
      </c>
    </row>
    <row r="5103" ht="14.25" customHeight="1">
      <c r="A5103" s="7">
        <v>5090.0</v>
      </c>
      <c r="B5103" s="14">
        <f t="shared" si="1"/>
        <v>0.1288779247</v>
      </c>
      <c r="C5103" s="39">
        <f t="array" ref="C5103">NPV(B5103,FCFF!$C$9:$I$9)+FCFF!$B$9+FCFF!$I$9*(1+Inputs!$B$6)/(B5103-Inputs!$B$6)/(1+B5103)^7</f>
        <v>-1957.136049</v>
      </c>
    </row>
    <row r="5104" ht="14.25" customHeight="1">
      <c r="A5104" s="7">
        <v>5091.0</v>
      </c>
      <c r="B5104" s="14">
        <f t="shared" si="1"/>
        <v>0.1317527214</v>
      </c>
      <c r="C5104" s="39">
        <f t="array" ref="C5104">NPV(B5104,FCFF!$C$9:$I$9)+FCFF!$B$9+FCFF!$I$9*(1+Inputs!$B$6)/(B5104-Inputs!$B$6)/(1+B5104)^7</f>
        <v>-1995.547402</v>
      </c>
    </row>
    <row r="5105" ht="14.25" customHeight="1">
      <c r="A5105" s="7">
        <v>5092.0</v>
      </c>
      <c r="B5105" s="14">
        <f t="shared" si="1"/>
        <v>0.1145440567</v>
      </c>
      <c r="C5105" s="39">
        <f t="array" ref="C5105">NPV(B5105,FCFF!$C$9:$I$9)+FCFF!$B$9+FCFF!$I$9*(1+Inputs!$B$6)/(B5105-Inputs!$B$6)/(1+B5105)^7</f>
        <v>-1723.496971</v>
      </c>
    </row>
    <row r="5106" ht="14.25" customHeight="1">
      <c r="A5106" s="7">
        <v>5093.0</v>
      </c>
      <c r="B5106" s="14">
        <f t="shared" si="1"/>
        <v>0.131158176</v>
      </c>
      <c r="C5106" s="39">
        <f t="array" ref="C5106">NPV(B5106,FCFF!$C$9:$I$9)+FCFF!$B$9+FCFF!$I$9*(1+Inputs!$B$6)/(B5106-Inputs!$B$6)/(1+B5106)^7</f>
        <v>-1987.797944</v>
      </c>
    </row>
    <row r="5107" ht="14.25" customHeight="1">
      <c r="A5107" s="7">
        <v>5094.0</v>
      </c>
      <c r="B5107" s="14">
        <f t="shared" si="1"/>
        <v>0.1318676942</v>
      </c>
      <c r="C5107" s="39">
        <f t="array" ref="C5107">NPV(B5107,FCFF!$C$9:$I$9)+FCFF!$B$9+FCFF!$I$9*(1+Inputs!$B$6)/(B5107-Inputs!$B$6)/(1+B5107)^7</f>
        <v>-1997.034618</v>
      </c>
    </row>
    <row r="5108" ht="14.25" customHeight="1">
      <c r="A5108" s="7">
        <v>5095.0</v>
      </c>
      <c r="B5108" s="14">
        <f t="shared" si="1"/>
        <v>0.1091452466</v>
      </c>
      <c r="C5108" s="39">
        <f t="array" ref="C5108">NPV(B5108,FCFF!$C$9:$I$9)+FCFF!$B$9+FCFF!$I$9*(1+Inputs!$B$6)/(B5108-Inputs!$B$6)/(1+B5108)^7</f>
        <v>-1612.314859</v>
      </c>
    </row>
    <row r="5109" ht="14.25" customHeight="1">
      <c r="A5109" s="7">
        <v>5096.0</v>
      </c>
      <c r="B5109" s="14">
        <f t="shared" si="1"/>
        <v>0.1018519612</v>
      </c>
      <c r="C5109" s="39">
        <f t="array" ref="C5109">NPV(B5109,FCFF!$C$9:$I$9)+FCFF!$B$9+FCFF!$I$9*(1+Inputs!$B$6)/(B5109-Inputs!$B$6)/(1+B5109)^7</f>
        <v>-1434.76561</v>
      </c>
    </row>
    <row r="5110" ht="14.25" customHeight="1">
      <c r="A5110" s="7">
        <v>5097.0</v>
      </c>
      <c r="B5110" s="14">
        <f t="shared" si="1"/>
        <v>0.1145293294</v>
      </c>
      <c r="C5110" s="39">
        <f t="array" ref="C5110">NPV(B5110,FCFF!$C$9:$I$9)+FCFF!$B$9+FCFF!$I$9*(1+Inputs!$B$6)/(B5110-Inputs!$B$6)/(1+B5110)^7</f>
        <v>-1723.213747</v>
      </c>
    </row>
    <row r="5111" ht="14.25" customHeight="1">
      <c r="A5111" s="7">
        <v>5098.0</v>
      </c>
      <c r="B5111" s="14">
        <f t="shared" si="1"/>
        <v>0.1259959224</v>
      </c>
      <c r="C5111" s="39">
        <f t="array" ref="C5111">NPV(B5111,FCFF!$C$9:$I$9)+FCFF!$B$9+FCFF!$I$9*(1+Inputs!$B$6)/(B5111-Inputs!$B$6)/(1+B5111)^7</f>
        <v>-1916.123411</v>
      </c>
    </row>
    <row r="5112" ht="14.25" customHeight="1">
      <c r="A5112" s="7">
        <v>5099.0</v>
      </c>
      <c r="B5112" s="14">
        <f t="shared" si="1"/>
        <v>0.1320290493</v>
      </c>
      <c r="C5112" s="39">
        <f t="array" ref="C5112">NPV(B5112,FCFF!$C$9:$I$9)+FCFF!$B$9+FCFF!$I$9*(1+Inputs!$B$6)/(B5112-Inputs!$B$6)/(1+B5112)^7</f>
        <v>-1999.115645</v>
      </c>
    </row>
    <row r="5113" ht="14.25" customHeight="1">
      <c r="A5113" s="7">
        <v>5100.0</v>
      </c>
      <c r="B5113" s="14">
        <f t="shared" si="1"/>
        <v>0.1078644483</v>
      </c>
      <c r="C5113" s="39">
        <f t="array" ref="C5113">NPV(B5113,FCFF!$C$9:$I$9)+FCFF!$B$9+FCFF!$I$9*(1+Inputs!$B$6)/(B5113-Inputs!$B$6)/(1+B5113)^7</f>
        <v>-1583.596247</v>
      </c>
    </row>
    <row r="5114" ht="14.25" customHeight="1">
      <c r="A5114" s="7">
        <v>5101.0</v>
      </c>
      <c r="B5114" s="14">
        <f t="shared" si="1"/>
        <v>0.1146154869</v>
      </c>
      <c r="C5114" s="39">
        <f t="array" ref="C5114">NPV(B5114,FCFF!$C$9:$I$9)+FCFF!$B$9+FCFF!$I$9*(1+Inputs!$B$6)/(B5114-Inputs!$B$6)/(1+B5114)^7</f>
        <v>-1724.869195</v>
      </c>
    </row>
    <row r="5115" ht="14.25" customHeight="1">
      <c r="A5115" s="7">
        <v>5102.0</v>
      </c>
      <c r="B5115" s="14">
        <f t="shared" si="1"/>
        <v>0.09431222564</v>
      </c>
      <c r="C5115" s="39">
        <f t="array" ref="C5115">NPV(B5115,FCFF!$C$9:$I$9)+FCFF!$B$9+FCFF!$I$9*(1+Inputs!$B$6)/(B5115-Inputs!$B$6)/(1+B5115)^7</f>
        <v>-1208.390466</v>
      </c>
    </row>
    <row r="5116" ht="14.25" customHeight="1">
      <c r="A5116" s="7">
        <v>5103.0</v>
      </c>
      <c r="B5116" s="14">
        <f t="shared" si="1"/>
        <v>0.1329291132</v>
      </c>
      <c r="C5116" s="39">
        <f t="array" ref="C5116">NPV(B5116,FCFF!$C$9:$I$9)+FCFF!$B$9+FCFF!$I$9*(1+Inputs!$B$6)/(B5116-Inputs!$B$6)/(1+B5116)^7</f>
        <v>-2010.593381</v>
      </c>
    </row>
    <row r="5117" ht="14.25" customHeight="1">
      <c r="A5117" s="7">
        <v>5104.0</v>
      </c>
      <c r="B5117" s="14">
        <f t="shared" si="1"/>
        <v>0.1109228243</v>
      </c>
      <c r="C5117" s="39">
        <f t="array" ref="C5117">NPV(B5117,FCFF!$C$9:$I$9)+FCFF!$B$9+FCFF!$I$9*(1+Inputs!$B$6)/(B5117-Inputs!$B$6)/(1+B5117)^7</f>
        <v>-1650.620546</v>
      </c>
    </row>
    <row r="5118" ht="14.25" customHeight="1">
      <c r="A5118" s="7">
        <v>5105.0</v>
      </c>
      <c r="B5118" s="14">
        <f t="shared" si="1"/>
        <v>0.1065622383</v>
      </c>
      <c r="C5118" s="39">
        <f t="array" ref="C5118">NPV(B5118,FCFF!$C$9:$I$9)+FCFF!$B$9+FCFF!$I$9*(1+Inputs!$B$6)/(B5118-Inputs!$B$6)/(1+B5118)^7</f>
        <v>-1553.385294</v>
      </c>
    </row>
    <row r="5119" ht="14.25" customHeight="1">
      <c r="A5119" s="7">
        <v>5106.0</v>
      </c>
      <c r="B5119" s="14">
        <f t="shared" si="1"/>
        <v>0.1177796536</v>
      </c>
      <c r="C5119" s="39">
        <f t="array" ref="C5119">NPV(B5119,FCFF!$C$9:$I$9)+FCFF!$B$9+FCFF!$I$9*(1+Inputs!$B$6)/(B5119-Inputs!$B$6)/(1+B5119)^7</f>
        <v>-1783.311042</v>
      </c>
    </row>
    <row r="5120" ht="14.25" customHeight="1">
      <c r="A5120" s="7">
        <v>5107.0</v>
      </c>
      <c r="B5120" s="14">
        <f t="shared" si="1"/>
        <v>0.09858145559</v>
      </c>
      <c r="C5120" s="39">
        <f t="array" ref="C5120">NPV(B5120,FCFF!$C$9:$I$9)+FCFF!$B$9+FCFF!$I$9*(1+Inputs!$B$6)/(B5120-Inputs!$B$6)/(1+B5120)^7</f>
        <v>-1342.693791</v>
      </c>
    </row>
    <row r="5121" ht="14.25" customHeight="1">
      <c r="A5121" s="7">
        <v>5108.0</v>
      </c>
      <c r="B5121" s="14">
        <f t="shared" si="1"/>
        <v>0.1085662952</v>
      </c>
      <c r="C5121" s="39">
        <f t="array" ref="C5121">NPV(B5121,FCFF!$C$9:$I$9)+FCFF!$B$9+FCFF!$I$9*(1+Inputs!$B$6)/(B5121-Inputs!$B$6)/(1+B5121)^7</f>
        <v>-1599.45267</v>
      </c>
    </row>
    <row r="5122" ht="14.25" customHeight="1">
      <c r="A5122" s="7">
        <v>5109.0</v>
      </c>
      <c r="B5122" s="14">
        <f t="shared" si="1"/>
        <v>0.1215854796</v>
      </c>
      <c r="C5122" s="39">
        <f t="array" ref="C5122">NPV(B5122,FCFF!$C$9:$I$9)+FCFF!$B$9+FCFF!$I$9*(1+Inputs!$B$6)/(B5122-Inputs!$B$6)/(1+B5122)^7</f>
        <v>-1847.980927</v>
      </c>
    </row>
    <row r="5123" ht="14.25" customHeight="1">
      <c r="A5123" s="7">
        <v>5110.0</v>
      </c>
      <c r="B5123" s="14">
        <f t="shared" si="1"/>
        <v>0.1002693591</v>
      </c>
      <c r="C5123" s="39">
        <f t="array" ref="C5123">NPV(B5123,FCFF!$C$9:$I$9)+FCFF!$B$9+FCFF!$I$9*(1+Inputs!$B$6)/(B5123-Inputs!$B$6)/(1+B5123)^7</f>
        <v>-1391.289713</v>
      </c>
    </row>
    <row r="5124" ht="14.25" customHeight="1">
      <c r="A5124" s="7">
        <v>5111.0</v>
      </c>
      <c r="B5124" s="14">
        <f t="shared" si="1"/>
        <v>0.1182417917</v>
      </c>
      <c r="C5124" s="39">
        <f t="array" ref="C5124">NPV(B5124,FCFF!$C$9:$I$9)+FCFF!$B$9+FCFF!$I$9*(1+Inputs!$B$6)/(B5124-Inputs!$B$6)/(1+B5124)^7</f>
        <v>-1791.47846</v>
      </c>
    </row>
    <row r="5125" ht="14.25" customHeight="1">
      <c r="A5125" s="7">
        <v>5112.0</v>
      </c>
      <c r="B5125" s="14">
        <f t="shared" si="1"/>
        <v>0.09762301525</v>
      </c>
      <c r="C5125" s="39">
        <f t="array" ref="C5125">NPV(B5125,FCFF!$C$9:$I$9)+FCFF!$B$9+FCFF!$I$9*(1+Inputs!$B$6)/(B5125-Inputs!$B$6)/(1+B5125)^7</f>
        <v>-1314.016059</v>
      </c>
    </row>
    <row r="5126" ht="14.25" customHeight="1">
      <c r="A5126" s="7">
        <v>5113.0</v>
      </c>
      <c r="B5126" s="14">
        <f t="shared" si="1"/>
        <v>0.1271283117</v>
      </c>
      <c r="C5126" s="39">
        <f t="array" ref="C5126">NPV(B5126,FCFF!$C$9:$I$9)+FCFF!$B$9+FCFF!$I$9*(1+Inputs!$B$6)/(B5126-Inputs!$B$6)/(1+B5126)^7</f>
        <v>-1932.550992</v>
      </c>
    </row>
    <row r="5127" ht="14.25" customHeight="1">
      <c r="A5127" s="7">
        <v>5114.0</v>
      </c>
      <c r="B5127" s="14">
        <f t="shared" si="1"/>
        <v>0.1042109806</v>
      </c>
      <c r="C5127" s="39">
        <f t="array" ref="C5127">NPV(B5127,FCFF!$C$9:$I$9)+FCFF!$B$9+FCFF!$I$9*(1+Inputs!$B$6)/(B5127-Inputs!$B$6)/(1+B5127)^7</f>
        <v>-1496.088362</v>
      </c>
    </row>
    <row r="5128" ht="14.25" customHeight="1">
      <c r="A5128" s="7">
        <v>5115.0</v>
      </c>
      <c r="B5128" s="14">
        <f t="shared" si="1"/>
        <v>0.1094568519</v>
      </c>
      <c r="C5128" s="39">
        <f t="array" ref="C5128">NPV(B5128,FCFF!$C$9:$I$9)+FCFF!$B$9+FCFF!$I$9*(1+Inputs!$B$6)/(B5128-Inputs!$B$6)/(1+B5128)^7</f>
        <v>-1619.157665</v>
      </c>
    </row>
    <row r="5129" ht="14.25" customHeight="1">
      <c r="A5129" s="7">
        <v>5116.0</v>
      </c>
      <c r="B5129" s="14">
        <f t="shared" si="1"/>
        <v>0.1322743587</v>
      </c>
      <c r="C5129" s="39">
        <f t="array" ref="C5129">NPV(B5129,FCFF!$C$9:$I$9)+FCFF!$B$9+FCFF!$I$9*(1+Inputs!$B$6)/(B5129-Inputs!$B$6)/(1+B5129)^7</f>
        <v>-2002.265728</v>
      </c>
    </row>
    <row r="5130" ht="14.25" customHeight="1">
      <c r="A5130" s="7">
        <v>5117.0</v>
      </c>
      <c r="B5130" s="14">
        <f t="shared" si="1"/>
        <v>0.1056311194</v>
      </c>
      <c r="C5130" s="39">
        <f t="array" ref="C5130">NPV(B5130,FCFF!$C$9:$I$9)+FCFF!$B$9+FCFF!$I$9*(1+Inputs!$B$6)/(B5130-Inputs!$B$6)/(1+B5130)^7</f>
        <v>-1531.130123</v>
      </c>
    </row>
    <row r="5131" ht="14.25" customHeight="1">
      <c r="A5131" s="7">
        <v>5118.0</v>
      </c>
      <c r="B5131" s="14">
        <f t="shared" si="1"/>
        <v>0.1103325765</v>
      </c>
      <c r="C5131" s="39">
        <f t="array" ref="C5131">NPV(B5131,FCFF!$C$9:$I$9)+FCFF!$B$9+FCFF!$I$9*(1+Inputs!$B$6)/(B5131-Inputs!$B$6)/(1+B5131)^7</f>
        <v>-1638.095267</v>
      </c>
    </row>
    <row r="5132" ht="14.25" customHeight="1">
      <c r="A5132" s="7">
        <v>5119.0</v>
      </c>
      <c r="B5132" s="14">
        <f t="shared" si="1"/>
        <v>0.1024763318</v>
      </c>
      <c r="C5132" s="39">
        <f t="array" ref="C5132">NPV(B5132,FCFF!$C$9:$I$9)+FCFF!$B$9+FCFF!$I$9*(1+Inputs!$B$6)/(B5132-Inputs!$B$6)/(1+B5132)^7</f>
        <v>-1451.390059</v>
      </c>
    </row>
    <row r="5133" ht="14.25" customHeight="1">
      <c r="A5133" s="7">
        <v>5120.0</v>
      </c>
      <c r="B5133" s="14">
        <f t="shared" si="1"/>
        <v>0.1194051409</v>
      </c>
      <c r="C5133" s="39">
        <f t="array" ref="C5133">NPV(B5133,FCFF!$C$9:$I$9)+FCFF!$B$9+FCFF!$I$9*(1+Inputs!$B$6)/(B5133-Inputs!$B$6)/(1+B5133)^7</f>
        <v>-1811.644397</v>
      </c>
    </row>
    <row r="5134" ht="14.25" customHeight="1">
      <c r="A5134" s="7">
        <v>5121.0</v>
      </c>
      <c r="B5134" s="14">
        <f t="shared" si="1"/>
        <v>0.1203779372</v>
      </c>
      <c r="C5134" s="39">
        <f t="array" ref="C5134">NPV(B5134,FCFF!$C$9:$I$9)+FCFF!$B$9+FCFF!$I$9*(1+Inputs!$B$6)/(B5134-Inputs!$B$6)/(1+B5134)^7</f>
        <v>-1828.086191</v>
      </c>
    </row>
    <row r="5135" ht="14.25" customHeight="1">
      <c r="A5135" s="7">
        <v>5122.0</v>
      </c>
      <c r="B5135" s="14">
        <f t="shared" si="1"/>
        <v>0.09574424658</v>
      </c>
      <c r="C5135" s="39">
        <f t="array" ref="C5135">NPV(B5135,FCFF!$C$9:$I$9)+FCFF!$B$9+FCFF!$I$9*(1+Inputs!$B$6)/(B5135-Inputs!$B$6)/(1+B5135)^7</f>
        <v>-1255.376596</v>
      </c>
    </row>
    <row r="5136" ht="14.25" customHeight="1">
      <c r="A5136" s="7">
        <v>5123.0</v>
      </c>
      <c r="B5136" s="14">
        <f t="shared" si="1"/>
        <v>0.1106162708</v>
      </c>
      <c r="C5136" s="39">
        <f t="array" ref="C5136">NPV(B5136,FCFF!$C$9:$I$9)+FCFF!$B$9+FCFF!$I$9*(1+Inputs!$B$6)/(B5136-Inputs!$B$6)/(1+B5136)^7</f>
        <v>-1644.139043</v>
      </c>
    </row>
    <row r="5137" ht="14.25" customHeight="1">
      <c r="A5137" s="7">
        <v>5124.0</v>
      </c>
      <c r="B5137" s="14">
        <f t="shared" si="1"/>
        <v>0.09449785662</v>
      </c>
      <c r="C5137" s="39">
        <f t="array" ref="C5137">NPV(B5137,FCFF!$C$9:$I$9)+FCFF!$B$9+FCFF!$I$9*(1+Inputs!$B$6)/(B5137-Inputs!$B$6)/(1+B5137)^7</f>
        <v>-1214.59806</v>
      </c>
    </row>
    <row r="5138" ht="14.25" customHeight="1">
      <c r="A5138" s="7">
        <v>5125.0</v>
      </c>
      <c r="B5138" s="14">
        <f t="shared" si="1"/>
        <v>0.1111400775</v>
      </c>
      <c r="C5138" s="39">
        <f t="array" ref="C5138">NPV(B5138,FCFF!$C$9:$I$9)+FCFF!$B$9+FCFF!$I$9*(1+Inputs!$B$6)/(B5138-Inputs!$B$6)/(1+B5138)^7</f>
        <v>-1655.18327</v>
      </c>
    </row>
    <row r="5139" ht="14.25" customHeight="1">
      <c r="A5139" s="7">
        <v>5126.0</v>
      </c>
      <c r="B5139" s="14">
        <f t="shared" si="1"/>
        <v>0.1016899184</v>
      </c>
      <c r="C5139" s="39">
        <f t="array" ref="C5139">NPV(B5139,FCFF!$C$9:$I$9)+FCFF!$B$9+FCFF!$I$9*(1+Inputs!$B$6)/(B5139-Inputs!$B$6)/(1+B5139)^7</f>
        <v>-1430.403179</v>
      </c>
    </row>
    <row r="5140" ht="14.25" customHeight="1">
      <c r="A5140" s="7">
        <v>5127.0</v>
      </c>
      <c r="B5140" s="14">
        <f t="shared" si="1"/>
        <v>0.1062674512</v>
      </c>
      <c r="C5140" s="39">
        <f t="array" ref="C5140">NPV(B5140,FCFF!$C$9:$I$9)+FCFF!$B$9+FCFF!$I$9*(1+Inputs!$B$6)/(B5140-Inputs!$B$6)/(1+B5140)^7</f>
        <v>-1546.399546</v>
      </c>
    </row>
    <row r="5141" ht="14.25" customHeight="1">
      <c r="A5141" s="7">
        <v>5128.0</v>
      </c>
      <c r="B5141" s="14">
        <f t="shared" si="1"/>
        <v>0.1215242994</v>
      </c>
      <c r="C5141" s="39">
        <f t="array" ref="C5141">NPV(B5141,FCFF!$C$9:$I$9)+FCFF!$B$9+FCFF!$I$9*(1+Inputs!$B$6)/(B5141-Inputs!$B$6)/(1+B5141)^7</f>
        <v>-1846.986362</v>
      </c>
    </row>
    <row r="5142" ht="14.25" customHeight="1">
      <c r="A5142" s="7">
        <v>5129.0</v>
      </c>
      <c r="B5142" s="14">
        <f t="shared" si="1"/>
        <v>0.1228457549</v>
      </c>
      <c r="C5142" s="39">
        <f t="array" ref="C5142">NPV(B5142,FCFF!$C$9:$I$9)+FCFF!$B$9+FCFF!$I$9*(1+Inputs!$B$6)/(B5142-Inputs!$B$6)/(1+B5142)^7</f>
        <v>-1868.158307</v>
      </c>
    </row>
    <row r="5143" ht="14.25" customHeight="1">
      <c r="A5143" s="7">
        <v>5130.0</v>
      </c>
      <c r="B5143" s="14">
        <f t="shared" si="1"/>
        <v>0.1156120696</v>
      </c>
      <c r="C5143" s="39">
        <f t="array" ref="C5143">NPV(B5143,FCFF!$C$9:$I$9)+FCFF!$B$9+FCFF!$I$9*(1+Inputs!$B$6)/(B5143-Inputs!$B$6)/(1+B5143)^7</f>
        <v>-1743.764637</v>
      </c>
    </row>
    <row r="5144" ht="14.25" customHeight="1">
      <c r="A5144" s="7">
        <v>5131.0</v>
      </c>
      <c r="B5144" s="14">
        <f t="shared" si="1"/>
        <v>0.1008752443</v>
      </c>
      <c r="C5144" s="39">
        <f t="array" ref="C5144">NPV(B5144,FCFF!$C$9:$I$9)+FCFF!$B$9+FCFF!$I$9*(1+Inputs!$B$6)/(B5144-Inputs!$B$6)/(1+B5144)^7</f>
        <v>-1408.165547</v>
      </c>
    </row>
    <row r="5145" ht="14.25" customHeight="1">
      <c r="A5145" s="7">
        <v>5132.0</v>
      </c>
      <c r="B5145" s="14">
        <f t="shared" si="1"/>
        <v>0.1167332522</v>
      </c>
      <c r="C5145" s="39">
        <f t="array" ref="C5145">NPV(B5145,FCFF!$C$9:$I$9)+FCFF!$B$9+FCFF!$I$9*(1+Inputs!$B$6)/(B5145-Inputs!$B$6)/(1+B5145)^7</f>
        <v>-1764.479174</v>
      </c>
    </row>
    <row r="5146" ht="14.25" customHeight="1">
      <c r="A5146" s="7">
        <v>5133.0</v>
      </c>
      <c r="B5146" s="14">
        <f t="shared" si="1"/>
        <v>0.1172623014</v>
      </c>
      <c r="C5146" s="39">
        <f t="array" ref="C5146">NPV(B5146,FCFF!$C$9:$I$9)+FCFF!$B$9+FCFF!$I$9*(1+Inputs!$B$6)/(B5146-Inputs!$B$6)/(1+B5146)^7</f>
        <v>-1774.059726</v>
      </c>
    </row>
    <row r="5147" ht="14.25" customHeight="1">
      <c r="A5147" s="7">
        <v>5134.0</v>
      </c>
      <c r="B5147" s="14">
        <f t="shared" si="1"/>
        <v>0.1217444688</v>
      </c>
      <c r="C5147" s="39">
        <f t="array" ref="C5147">NPV(B5147,FCFF!$C$9:$I$9)+FCFF!$B$9+FCFF!$I$9*(1+Inputs!$B$6)/(B5147-Inputs!$B$6)/(1+B5147)^7</f>
        <v>-1850.558915</v>
      </c>
    </row>
    <row r="5148" ht="14.25" customHeight="1">
      <c r="A5148" s="7">
        <v>5135.0</v>
      </c>
      <c r="B5148" s="14">
        <f t="shared" si="1"/>
        <v>0.1121001283</v>
      </c>
      <c r="C5148" s="39">
        <f t="array" ref="C5148">NPV(B5148,FCFF!$C$9:$I$9)+FCFF!$B$9+FCFF!$I$9*(1+Inputs!$B$6)/(B5148-Inputs!$B$6)/(1+B5148)^7</f>
        <v>-1675.046603</v>
      </c>
    </row>
    <row r="5149" ht="14.25" customHeight="1">
      <c r="A5149" s="7">
        <v>5136.0</v>
      </c>
      <c r="B5149" s="14">
        <f t="shared" si="1"/>
        <v>0.1289282232</v>
      </c>
      <c r="C5149" s="39">
        <f t="array" ref="C5149">NPV(B5149,FCFF!$C$9:$I$9)+FCFF!$B$9+FCFF!$I$9*(1+Inputs!$B$6)/(B5149-Inputs!$B$6)/(1+B5149)^7</f>
        <v>-1957.828939</v>
      </c>
    </row>
    <row r="5150" ht="14.25" customHeight="1">
      <c r="A5150" s="7">
        <v>5137.0</v>
      </c>
      <c r="B5150" s="14">
        <f t="shared" si="1"/>
        <v>0.1306853425</v>
      </c>
      <c r="C5150" s="39">
        <f t="array" ref="C5150">NPV(B5150,FCFF!$C$9:$I$9)+FCFF!$B$9+FCFF!$I$9*(1+Inputs!$B$6)/(B5150-Inputs!$B$6)/(1+B5150)^7</f>
        <v>-1981.563768</v>
      </c>
    </row>
    <row r="5151" ht="14.25" customHeight="1">
      <c r="A5151" s="7">
        <v>5138.0</v>
      </c>
      <c r="B5151" s="14">
        <f t="shared" si="1"/>
        <v>0.1002683443</v>
      </c>
      <c r="C5151" s="39">
        <f t="array" ref="C5151">NPV(B5151,FCFF!$C$9:$I$9)+FCFF!$B$9+FCFF!$I$9*(1+Inputs!$B$6)/(B5151-Inputs!$B$6)/(1+B5151)^7</f>
        <v>-1391.261203</v>
      </c>
    </row>
    <row r="5152" ht="14.25" customHeight="1">
      <c r="A5152" s="7">
        <v>5139.0</v>
      </c>
      <c r="B5152" s="14">
        <f t="shared" si="1"/>
        <v>0.1325009162</v>
      </c>
      <c r="C5152" s="39">
        <f t="array" ref="C5152">NPV(B5152,FCFF!$C$9:$I$9)+FCFF!$B$9+FCFF!$I$9*(1+Inputs!$B$6)/(B5152-Inputs!$B$6)/(1+B5152)^7</f>
        <v>-2005.1604</v>
      </c>
    </row>
    <row r="5153" ht="14.25" customHeight="1">
      <c r="A5153" s="7">
        <v>5140.0</v>
      </c>
      <c r="B5153" s="14">
        <f t="shared" si="1"/>
        <v>0.1177745657</v>
      </c>
      <c r="C5153" s="39">
        <f t="array" ref="C5153">NPV(B5153,FCFF!$C$9:$I$9)+FCFF!$B$9+FCFF!$I$9*(1+Inputs!$B$6)/(B5153-Inputs!$B$6)/(1+B5153)^7</f>
        <v>-1783.220619</v>
      </c>
    </row>
    <row r="5154" ht="14.25" customHeight="1">
      <c r="A5154" s="7">
        <v>5141.0</v>
      </c>
      <c r="B5154" s="14">
        <f t="shared" si="1"/>
        <v>0.1198871354</v>
      </c>
      <c r="C5154" s="39">
        <f t="array" ref="C5154">NPV(B5154,FCFF!$C$9:$I$9)+FCFF!$B$9+FCFF!$I$9*(1+Inputs!$B$6)/(B5154-Inputs!$B$6)/(1+B5154)^7</f>
        <v>-1819.83795</v>
      </c>
    </row>
    <row r="5155" ht="14.25" customHeight="1">
      <c r="A5155" s="7">
        <v>5142.0</v>
      </c>
      <c r="B5155" s="14">
        <f t="shared" si="1"/>
        <v>0.1171376841</v>
      </c>
      <c r="C5155" s="39">
        <f t="array" ref="C5155">NPV(B5155,FCFF!$C$9:$I$9)+FCFF!$B$9+FCFF!$I$9*(1+Inputs!$B$6)/(B5155-Inputs!$B$6)/(1+B5155)^7</f>
        <v>-1771.814039</v>
      </c>
    </row>
    <row r="5156" ht="14.25" customHeight="1">
      <c r="A5156" s="7">
        <v>5143.0</v>
      </c>
      <c r="B5156" s="14">
        <f t="shared" si="1"/>
        <v>0.1314655539</v>
      </c>
      <c r="C5156" s="39">
        <f t="array" ref="C5156">NPV(B5156,FCFF!$C$9:$I$9)+FCFF!$B$9+FCFF!$I$9*(1+Inputs!$B$6)/(B5156-Inputs!$B$6)/(1+B5156)^7</f>
        <v>-1991.816736</v>
      </c>
    </row>
    <row r="5157" ht="14.25" customHeight="1">
      <c r="A5157" s="7">
        <v>5144.0</v>
      </c>
      <c r="B5157" s="14">
        <f t="shared" si="1"/>
        <v>0.0968705656</v>
      </c>
      <c r="C5157" s="39">
        <f t="array" ref="C5157">NPV(B5157,FCFF!$C$9:$I$9)+FCFF!$B$9+FCFF!$I$9*(1+Inputs!$B$6)/(B5157-Inputs!$B$6)/(1+B5157)^7</f>
        <v>-1290.925582</v>
      </c>
    </row>
    <row r="5158" ht="14.25" customHeight="1">
      <c r="A5158" s="7">
        <v>5145.0</v>
      </c>
      <c r="B5158" s="14">
        <f t="shared" si="1"/>
        <v>0.1040840815</v>
      </c>
      <c r="C5158" s="39">
        <f t="array" ref="C5158">NPV(B5158,FCFF!$C$9:$I$9)+FCFF!$B$9+FCFF!$I$9*(1+Inputs!$B$6)/(B5158-Inputs!$B$6)/(1+B5158)^7</f>
        <v>-1492.890522</v>
      </c>
    </row>
    <row r="5159" ht="14.25" customHeight="1">
      <c r="A5159" s="7">
        <v>5146.0</v>
      </c>
      <c r="B5159" s="14">
        <f t="shared" si="1"/>
        <v>0.1049997007</v>
      </c>
      <c r="C5159" s="39">
        <f t="array" ref="C5159">NPV(B5159,FCFF!$C$9:$I$9)+FCFF!$B$9+FCFF!$I$9*(1+Inputs!$B$6)/(B5159-Inputs!$B$6)/(1+B5159)^7</f>
        <v>-1515.716982</v>
      </c>
    </row>
    <row r="5160" ht="14.25" customHeight="1">
      <c r="A5160" s="7">
        <v>5147.0</v>
      </c>
      <c r="B5160" s="14">
        <f t="shared" si="1"/>
        <v>0.1057471459</v>
      </c>
      <c r="C5160" s="39">
        <f t="array" ref="C5160">NPV(B5160,FCFF!$C$9:$I$9)+FCFF!$B$9+FCFF!$I$9*(1+Inputs!$B$6)/(B5160-Inputs!$B$6)/(1+B5160)^7</f>
        <v>-1533.933843</v>
      </c>
    </row>
    <row r="5161" ht="14.25" customHeight="1">
      <c r="A5161" s="7">
        <v>5148.0</v>
      </c>
      <c r="B5161" s="14">
        <f t="shared" si="1"/>
        <v>0.1297624556</v>
      </c>
      <c r="C5161" s="39">
        <f t="array" ref="C5161">NPV(B5161,FCFF!$C$9:$I$9)+FCFF!$B$9+FCFF!$I$9*(1+Inputs!$B$6)/(B5161-Inputs!$B$6)/(1+B5161)^7</f>
        <v>-1969.210659</v>
      </c>
    </row>
    <row r="5162" ht="14.25" customHeight="1">
      <c r="A5162" s="7">
        <v>5149.0</v>
      </c>
      <c r="B5162" s="14">
        <f t="shared" si="1"/>
        <v>0.1224412352</v>
      </c>
      <c r="C5162" s="39">
        <f t="array" ref="C5162">NPV(B5162,FCFF!$C$9:$I$9)+FCFF!$B$9+FCFF!$I$9*(1+Inputs!$B$6)/(B5162-Inputs!$B$6)/(1+B5162)^7</f>
        <v>-1861.745661</v>
      </c>
    </row>
    <row r="5163" ht="14.25" customHeight="1">
      <c r="A5163" s="7">
        <v>5150.0</v>
      </c>
      <c r="B5163" s="14">
        <f t="shared" si="1"/>
        <v>0.1302067953</v>
      </c>
      <c r="C5163" s="39">
        <f t="array" ref="C5163">NPV(B5163,FCFF!$C$9:$I$9)+FCFF!$B$9+FCFF!$I$9*(1+Inputs!$B$6)/(B5163-Inputs!$B$6)/(1+B5163)^7</f>
        <v>-1975.189115</v>
      </c>
    </row>
    <row r="5164" ht="14.25" customHeight="1">
      <c r="A5164" s="7">
        <v>5151.0</v>
      </c>
      <c r="B5164" s="14">
        <f t="shared" si="1"/>
        <v>0.1238456964</v>
      </c>
      <c r="C5164" s="39">
        <f t="array" ref="C5164">NPV(B5164,FCFF!$C$9:$I$9)+FCFF!$B$9+FCFF!$I$9*(1+Inputs!$B$6)/(B5164-Inputs!$B$6)/(1+B5164)^7</f>
        <v>-1883.756952</v>
      </c>
    </row>
    <row r="5165" ht="14.25" customHeight="1">
      <c r="A5165" s="7">
        <v>5152.0</v>
      </c>
      <c r="B5165" s="14">
        <f t="shared" si="1"/>
        <v>0.1247785863</v>
      </c>
      <c r="C5165" s="39">
        <f t="array" ref="C5165">NPV(B5165,FCFF!$C$9:$I$9)+FCFF!$B$9+FCFF!$I$9*(1+Inputs!$B$6)/(B5165-Inputs!$B$6)/(1+B5165)^7</f>
        <v>-1897.992642</v>
      </c>
    </row>
    <row r="5166" ht="14.25" customHeight="1">
      <c r="A5166" s="7">
        <v>5153.0</v>
      </c>
      <c r="B5166" s="14">
        <f t="shared" si="1"/>
        <v>0.1246394424</v>
      </c>
      <c r="C5166" s="39">
        <f t="array" ref="C5166">NPV(B5166,FCFF!$C$9:$I$9)+FCFF!$B$9+FCFF!$I$9*(1+Inputs!$B$6)/(B5166-Inputs!$B$6)/(1+B5166)^7</f>
        <v>-1895.888396</v>
      </c>
    </row>
    <row r="5167" ht="14.25" customHeight="1">
      <c r="A5167" s="7">
        <v>5154.0</v>
      </c>
      <c r="B5167" s="14">
        <f t="shared" si="1"/>
        <v>0.1117366679</v>
      </c>
      <c r="C5167" s="39">
        <f t="array" ref="C5167">NPV(B5167,FCFF!$C$9:$I$9)+FCFF!$B$9+FCFF!$I$9*(1+Inputs!$B$6)/(B5167-Inputs!$B$6)/(1+B5167)^7</f>
        <v>-1667.583569</v>
      </c>
    </row>
    <row r="5168" ht="14.25" customHeight="1">
      <c r="A5168" s="7">
        <v>5155.0</v>
      </c>
      <c r="B5168" s="14">
        <f t="shared" si="1"/>
        <v>0.105608849</v>
      </c>
      <c r="C5168" s="39">
        <f t="array" ref="C5168">NPV(B5168,FCFF!$C$9:$I$9)+FCFF!$B$9+FCFF!$I$9*(1+Inputs!$B$6)/(B5168-Inputs!$B$6)/(1+B5168)^7</f>
        <v>-1530.590966</v>
      </c>
    </row>
    <row r="5169" ht="14.25" customHeight="1">
      <c r="A5169" s="7">
        <v>5156.0</v>
      </c>
      <c r="B5169" s="14">
        <f t="shared" si="1"/>
        <v>0.108503315</v>
      </c>
      <c r="C5169" s="39">
        <f t="array" ref="C5169">NPV(B5169,FCFF!$C$9:$I$9)+FCFF!$B$9+FCFF!$I$9*(1+Inputs!$B$6)/(B5169-Inputs!$B$6)/(1+B5169)^7</f>
        <v>-1598.041703</v>
      </c>
    </row>
    <row r="5170" ht="14.25" customHeight="1">
      <c r="A5170" s="7">
        <v>5157.0</v>
      </c>
      <c r="B5170" s="14">
        <f t="shared" si="1"/>
        <v>0.1162885476</v>
      </c>
      <c r="C5170" s="39">
        <f t="array" ref="C5170">NPV(B5170,FCFF!$C$9:$I$9)+FCFF!$B$9+FCFF!$I$9*(1+Inputs!$B$6)/(B5170-Inputs!$B$6)/(1+B5170)^7</f>
        <v>-1756.330542</v>
      </c>
    </row>
    <row r="5171" ht="14.25" customHeight="1">
      <c r="A5171" s="7">
        <v>5158.0</v>
      </c>
      <c r="B5171" s="14">
        <f t="shared" si="1"/>
        <v>0.1049075457</v>
      </c>
      <c r="C5171" s="39">
        <f t="array" ref="C5171">NPV(B5171,FCFF!$C$9:$I$9)+FCFF!$B$9+FCFF!$I$9*(1+Inputs!$B$6)/(B5171-Inputs!$B$6)/(1+B5171)^7</f>
        <v>-1513.445277</v>
      </c>
    </row>
    <row r="5172" ht="14.25" customHeight="1">
      <c r="A5172" s="7">
        <v>5159.0</v>
      </c>
      <c r="B5172" s="14">
        <f t="shared" si="1"/>
        <v>0.1008077326</v>
      </c>
      <c r="C5172" s="39">
        <f t="array" ref="C5172">NPV(B5172,FCFF!$C$9:$I$9)+FCFF!$B$9+FCFF!$I$9*(1+Inputs!$B$6)/(B5172-Inputs!$B$6)/(1+B5172)^7</f>
        <v>-1406.299546</v>
      </c>
    </row>
    <row r="5173" ht="14.25" customHeight="1">
      <c r="A5173" s="7">
        <v>5160.0</v>
      </c>
      <c r="B5173" s="14">
        <f t="shared" si="1"/>
        <v>0.1079064801</v>
      </c>
      <c r="C5173" s="39">
        <f t="array" ref="C5173">NPV(B5173,FCFF!$C$9:$I$9)+FCFF!$B$9+FCFF!$I$9*(1+Inputs!$B$6)/(B5173-Inputs!$B$6)/(1+B5173)^7</f>
        <v>-1584.554115</v>
      </c>
    </row>
    <row r="5174" ht="14.25" customHeight="1">
      <c r="A5174" s="7">
        <v>5161.0</v>
      </c>
      <c r="B5174" s="14">
        <f t="shared" si="1"/>
        <v>0.1314779538</v>
      </c>
      <c r="C5174" s="39">
        <f t="array" ref="C5174">NPV(B5174,FCFF!$C$9:$I$9)+FCFF!$B$9+FCFF!$I$9*(1+Inputs!$B$6)/(B5174-Inputs!$B$6)/(1+B5174)^7</f>
        <v>-1991.978301</v>
      </c>
    </row>
    <row r="5175" ht="14.25" customHeight="1">
      <c r="A5175" s="7">
        <v>5162.0</v>
      </c>
      <c r="B5175" s="14">
        <f t="shared" si="1"/>
        <v>0.1060957938</v>
      </c>
      <c r="C5175" s="39">
        <f t="array" ref="C5175">NPV(B5175,FCFF!$C$9:$I$9)+FCFF!$B$9+FCFF!$I$9*(1+Inputs!$B$6)/(B5175-Inputs!$B$6)/(1+B5175)^7</f>
        <v>-1542.306166</v>
      </c>
    </row>
    <row r="5176" ht="14.25" customHeight="1">
      <c r="A5176" s="7">
        <v>5163.0</v>
      </c>
      <c r="B5176" s="14">
        <f t="shared" si="1"/>
        <v>0.1190768282</v>
      </c>
      <c r="C5176" s="39">
        <f t="array" ref="C5176">NPV(B5176,FCFF!$C$9:$I$9)+FCFF!$B$9+FCFF!$I$9*(1+Inputs!$B$6)/(B5176-Inputs!$B$6)/(1+B5176)^7</f>
        <v>-1806.009629</v>
      </c>
    </row>
    <row r="5177" ht="14.25" customHeight="1">
      <c r="A5177" s="7">
        <v>5164.0</v>
      </c>
      <c r="B5177" s="14">
        <f t="shared" si="1"/>
        <v>0.09758964399</v>
      </c>
      <c r="C5177" s="39">
        <f t="array" ref="C5177">NPV(B5177,FCFF!$C$9:$I$9)+FCFF!$B$9+FCFF!$I$9*(1+Inputs!$B$6)/(B5177-Inputs!$B$6)/(1+B5177)^7</f>
        <v>-1313.002882</v>
      </c>
    </row>
    <row r="5178" ht="14.25" customHeight="1">
      <c r="A5178" s="7">
        <v>5165.0</v>
      </c>
      <c r="B5178" s="14">
        <f t="shared" si="1"/>
        <v>0.1015135751</v>
      </c>
      <c r="C5178" s="39">
        <f t="array" ref="C5178">NPV(B5178,FCFF!$C$9:$I$9)+FCFF!$B$9+FCFF!$I$9*(1+Inputs!$B$6)/(B5178-Inputs!$B$6)/(1+B5178)^7</f>
        <v>-1425.633049</v>
      </c>
    </row>
    <row r="5179" ht="14.25" customHeight="1">
      <c r="A5179" s="7">
        <v>5166.0</v>
      </c>
      <c r="B5179" s="14">
        <f t="shared" si="1"/>
        <v>0.1142335088</v>
      </c>
      <c r="C5179" s="39">
        <f t="array" ref="C5179">NPV(B5179,FCFF!$C$9:$I$9)+FCFF!$B$9+FCFF!$I$9*(1+Inputs!$B$6)/(B5179-Inputs!$B$6)/(1+B5179)^7</f>
        <v>-1717.50287</v>
      </c>
    </row>
    <row r="5180" ht="14.25" customHeight="1">
      <c r="A5180" s="7">
        <v>5167.0</v>
      </c>
      <c r="B5180" s="14">
        <f t="shared" si="1"/>
        <v>0.1184895863</v>
      </c>
      <c r="C5180" s="39">
        <f t="array" ref="C5180">NPV(B5180,FCFF!$C$9:$I$9)+FCFF!$B$9+FCFF!$I$9*(1+Inputs!$B$6)/(B5180-Inputs!$B$6)/(1+B5180)^7</f>
        <v>-1795.820737</v>
      </c>
    </row>
    <row r="5181" ht="14.25" customHeight="1">
      <c r="A5181" s="7">
        <v>5168.0</v>
      </c>
      <c r="B5181" s="14">
        <f t="shared" si="1"/>
        <v>0.1113055973</v>
      </c>
      <c r="C5181" s="39">
        <f t="array" ref="C5181">NPV(B5181,FCFF!$C$9:$I$9)+FCFF!$B$9+FCFF!$I$9*(1+Inputs!$B$6)/(B5181-Inputs!$B$6)/(1+B5181)^7</f>
        <v>-1658.64255</v>
      </c>
    </row>
    <row r="5182" ht="14.25" customHeight="1">
      <c r="A5182" s="7">
        <v>5169.0</v>
      </c>
      <c r="B5182" s="14">
        <f t="shared" si="1"/>
        <v>0.111898093</v>
      </c>
      <c r="C5182" s="39">
        <f t="array" ref="C5182">NPV(B5182,FCFF!$C$9:$I$9)+FCFF!$B$9+FCFF!$I$9*(1+Inputs!$B$6)/(B5182-Inputs!$B$6)/(1+B5182)^7</f>
        <v>-1670.906641</v>
      </c>
    </row>
    <row r="5183" ht="14.25" customHeight="1">
      <c r="A5183" s="7">
        <v>5170.0</v>
      </c>
      <c r="B5183" s="14">
        <f t="shared" si="1"/>
        <v>0.1006839791</v>
      </c>
      <c r="C5183" s="39">
        <f t="array" ref="C5183">NPV(B5183,FCFF!$C$9:$I$9)+FCFF!$B$9+FCFF!$I$9*(1+Inputs!$B$6)/(B5183-Inputs!$B$6)/(1+B5183)^7</f>
        <v>-1402.869704</v>
      </c>
    </row>
    <row r="5184" ht="14.25" customHeight="1">
      <c r="A5184" s="7">
        <v>5171.0</v>
      </c>
      <c r="B5184" s="14">
        <f t="shared" si="1"/>
        <v>0.1011743376</v>
      </c>
      <c r="C5184" s="39">
        <f t="array" ref="C5184">NPV(B5184,FCFF!$C$9:$I$9)+FCFF!$B$9+FCFF!$I$9*(1+Inputs!$B$6)/(B5184-Inputs!$B$6)/(1+B5184)^7</f>
        <v>-1416.389425</v>
      </c>
    </row>
    <row r="5185" ht="14.25" customHeight="1">
      <c r="A5185" s="7">
        <v>5172.0</v>
      </c>
      <c r="B5185" s="14">
        <f t="shared" si="1"/>
        <v>0.09585293403</v>
      </c>
      <c r="C5185" s="39">
        <f t="array" ref="C5185">NPV(B5185,FCFF!$C$9:$I$9)+FCFF!$B$9+FCFF!$I$9*(1+Inputs!$B$6)/(B5185-Inputs!$B$6)/(1+B5185)^7</f>
        <v>-1258.859811</v>
      </c>
    </row>
    <row r="5186" ht="14.25" customHeight="1">
      <c r="A5186" s="7">
        <v>5173.0</v>
      </c>
      <c r="B5186" s="14">
        <f t="shared" si="1"/>
        <v>0.1288692013</v>
      </c>
      <c r="C5186" s="39">
        <f t="array" ref="C5186">NPV(B5186,FCFF!$C$9:$I$9)+FCFF!$B$9+FCFF!$I$9*(1+Inputs!$B$6)/(B5186-Inputs!$B$6)/(1+B5186)^7</f>
        <v>-1957.015801</v>
      </c>
    </row>
    <row r="5187" ht="14.25" customHeight="1">
      <c r="A5187" s="7">
        <v>5174.0</v>
      </c>
      <c r="B5187" s="14">
        <f t="shared" si="1"/>
        <v>0.1111632432</v>
      </c>
      <c r="C5187" s="39">
        <f t="array" ref="C5187">NPV(B5187,FCFF!$C$9:$I$9)+FCFF!$B$9+FCFF!$I$9*(1+Inputs!$B$6)/(B5187-Inputs!$B$6)/(1+B5187)^7</f>
        <v>-1655.668302</v>
      </c>
    </row>
    <row r="5188" ht="14.25" customHeight="1">
      <c r="A5188" s="7">
        <v>5175.0</v>
      </c>
      <c r="B5188" s="14">
        <f t="shared" si="1"/>
        <v>0.1117578394</v>
      </c>
      <c r="C5188" s="39">
        <f t="array" ref="C5188">NPV(B5188,FCFF!$C$9:$I$9)+FCFF!$B$9+FCFF!$I$9*(1+Inputs!$B$6)/(B5188-Inputs!$B$6)/(1+B5188)^7</f>
        <v>-1668.020179</v>
      </c>
    </row>
    <row r="5189" ht="14.25" customHeight="1">
      <c r="A5189" s="7">
        <v>5176.0</v>
      </c>
      <c r="B5189" s="14">
        <f t="shared" si="1"/>
        <v>0.1206428117</v>
      </c>
      <c r="C5189" s="39">
        <f t="array" ref="C5189">NPV(B5189,FCFF!$C$9:$I$9)+FCFF!$B$9+FCFF!$I$9*(1+Inputs!$B$6)/(B5189-Inputs!$B$6)/(1+B5189)^7</f>
        <v>-1832.498265</v>
      </c>
    </row>
    <row r="5190" ht="14.25" customHeight="1">
      <c r="A5190" s="7">
        <v>5177.0</v>
      </c>
      <c r="B5190" s="14">
        <f t="shared" si="1"/>
        <v>0.1123183496</v>
      </c>
      <c r="C5190" s="39">
        <f t="array" ref="C5190">NPV(B5190,FCFF!$C$9:$I$9)+FCFF!$B$9+FCFF!$I$9*(1+Inputs!$B$6)/(B5190-Inputs!$B$6)/(1+B5190)^7</f>
        <v>-1679.494538</v>
      </c>
    </row>
    <row r="5191" ht="14.25" customHeight="1">
      <c r="A5191" s="7">
        <v>5178.0</v>
      </c>
      <c r="B5191" s="14">
        <f t="shared" si="1"/>
        <v>0.1116962579</v>
      </c>
      <c r="C5191" s="39">
        <f t="array" ref="C5191">NPV(B5191,FCFF!$C$9:$I$9)+FCFF!$B$9+FCFF!$I$9*(1+Inputs!$B$6)/(B5191-Inputs!$B$6)/(1+B5191)^7</f>
        <v>-1666.749564</v>
      </c>
    </row>
    <row r="5192" ht="14.25" customHeight="1">
      <c r="A5192" s="7">
        <v>5179.0</v>
      </c>
      <c r="B5192" s="14">
        <f t="shared" si="1"/>
        <v>0.1280566431</v>
      </c>
      <c r="C5192" s="39">
        <f t="array" ref="C5192">NPV(B5192,FCFF!$C$9:$I$9)+FCFF!$B$9+FCFF!$I$9*(1+Inputs!$B$6)/(B5192-Inputs!$B$6)/(1+B5192)^7</f>
        <v>-1945.713622</v>
      </c>
    </row>
    <row r="5193" ht="14.25" customHeight="1">
      <c r="A5193" s="7">
        <v>5180.0</v>
      </c>
      <c r="B5193" s="14">
        <f t="shared" si="1"/>
        <v>0.107680331</v>
      </c>
      <c r="C5193" s="39">
        <f t="array" ref="C5193">NPV(B5193,FCFF!$C$9:$I$9)+FCFF!$B$9+FCFF!$I$9*(1+Inputs!$B$6)/(B5193-Inputs!$B$6)/(1+B5193)^7</f>
        <v>-1579.387836</v>
      </c>
    </row>
    <row r="5194" ht="14.25" customHeight="1">
      <c r="A5194" s="7">
        <v>5181.0</v>
      </c>
      <c r="B5194" s="14">
        <f t="shared" si="1"/>
        <v>0.1136703141</v>
      </c>
      <c r="C5194" s="39">
        <f t="array" ref="C5194">NPV(B5194,FCFF!$C$9:$I$9)+FCFF!$B$9+FCFF!$I$9*(1+Inputs!$B$6)/(B5194-Inputs!$B$6)/(1+B5194)^7</f>
        <v>-1706.51377</v>
      </c>
    </row>
    <row r="5195" ht="14.25" customHeight="1">
      <c r="A5195" s="7">
        <v>5182.0</v>
      </c>
      <c r="B5195" s="14">
        <f t="shared" si="1"/>
        <v>0.1151665207</v>
      </c>
      <c r="C5195" s="39">
        <f t="array" ref="C5195">NPV(B5195,FCFF!$C$9:$I$9)+FCFF!$B$9+FCFF!$I$9*(1+Inputs!$B$6)/(B5195-Inputs!$B$6)/(1+B5195)^7</f>
        <v>-1735.374099</v>
      </c>
    </row>
    <row r="5196" ht="14.25" customHeight="1">
      <c r="A5196" s="7">
        <v>5183.0</v>
      </c>
      <c r="B5196" s="14">
        <f t="shared" si="1"/>
        <v>0.09331924536</v>
      </c>
      <c r="C5196" s="39">
        <f t="array" ref="C5196">NPV(B5196,FCFF!$C$9:$I$9)+FCFF!$B$9+FCFF!$I$9*(1+Inputs!$B$6)/(B5196-Inputs!$B$6)/(1+B5196)^7</f>
        <v>-1174.572509</v>
      </c>
    </row>
    <row r="5197" ht="14.25" customHeight="1">
      <c r="A5197" s="7">
        <v>5184.0</v>
      </c>
      <c r="B5197" s="14">
        <f t="shared" si="1"/>
        <v>0.114398283</v>
      </c>
      <c r="C5197" s="39">
        <f t="array" ref="C5197">NPV(B5197,FCFF!$C$9:$I$9)+FCFF!$B$9+FCFF!$I$9*(1+Inputs!$B$6)/(B5197-Inputs!$B$6)/(1+B5197)^7</f>
        <v>-1720.689028</v>
      </c>
    </row>
    <row r="5198" ht="14.25" customHeight="1">
      <c r="A5198" s="7">
        <v>5185.0</v>
      </c>
      <c r="B5198" s="14">
        <f t="shared" si="1"/>
        <v>0.1253117217</v>
      </c>
      <c r="C5198" s="39">
        <f t="array" ref="C5198">NPV(B5198,FCFF!$C$9:$I$9)+FCFF!$B$9+FCFF!$I$9*(1+Inputs!$B$6)/(B5198-Inputs!$B$6)/(1+B5198)^7</f>
        <v>-1905.994215</v>
      </c>
    </row>
    <row r="5199" ht="14.25" customHeight="1">
      <c r="A5199" s="7">
        <v>5186.0</v>
      </c>
      <c r="B5199" s="14">
        <f t="shared" si="1"/>
        <v>0.105838294</v>
      </c>
      <c r="C5199" s="39">
        <f t="array" ref="C5199">NPV(B5199,FCFF!$C$9:$I$9)+FCFF!$B$9+FCFF!$I$9*(1+Inputs!$B$6)/(B5199-Inputs!$B$6)/(1+B5199)^7</f>
        <v>-1536.13024</v>
      </c>
    </row>
    <row r="5200" ht="14.25" customHeight="1">
      <c r="A5200" s="7">
        <v>5187.0</v>
      </c>
      <c r="B5200" s="14">
        <f t="shared" si="1"/>
        <v>0.1054548144</v>
      </c>
      <c r="C5200" s="39">
        <f t="array" ref="C5200">NPV(B5200,FCFF!$C$9:$I$9)+FCFF!$B$9+FCFF!$I$9*(1+Inputs!$B$6)/(B5200-Inputs!$B$6)/(1+B5200)^7</f>
        <v>-1526.852951</v>
      </c>
    </row>
    <row r="5201" ht="14.25" customHeight="1">
      <c r="A5201" s="7">
        <v>5188.0</v>
      </c>
      <c r="B5201" s="14">
        <f t="shared" si="1"/>
        <v>0.105726309</v>
      </c>
      <c r="C5201" s="39">
        <f t="array" ref="C5201">NPV(B5201,FCFF!$C$9:$I$9)+FCFF!$B$9+FCFF!$I$9*(1+Inputs!$B$6)/(B5201-Inputs!$B$6)/(1+B5201)^7</f>
        <v>-1533.430976</v>
      </c>
    </row>
    <row r="5202" ht="14.25" customHeight="1">
      <c r="A5202" s="7">
        <v>5189.0</v>
      </c>
      <c r="B5202" s="14">
        <f t="shared" si="1"/>
        <v>0.1024144811</v>
      </c>
      <c r="C5202" s="39">
        <f t="array" ref="C5202">NPV(B5202,FCFF!$C$9:$I$9)+FCFF!$B$9+FCFF!$I$9*(1+Inputs!$B$6)/(B5202-Inputs!$B$6)/(1+B5202)^7</f>
        <v>-1449.756177</v>
      </c>
    </row>
    <row r="5203" ht="14.25" customHeight="1">
      <c r="A5203" s="7">
        <v>5190.0</v>
      </c>
      <c r="B5203" s="14">
        <f t="shared" si="1"/>
        <v>0.1163008962</v>
      </c>
      <c r="C5203" s="39">
        <f t="array" ref="C5203">NPV(B5203,FCFF!$C$9:$I$9)+FCFF!$B$9+FCFF!$I$9*(1+Inputs!$B$6)/(B5203-Inputs!$B$6)/(1+B5203)^7</f>
        <v>-1756.558004</v>
      </c>
    </row>
    <row r="5204" ht="14.25" customHeight="1">
      <c r="A5204" s="7">
        <v>5191.0</v>
      </c>
      <c r="B5204" s="14">
        <f t="shared" si="1"/>
        <v>0.1310671137</v>
      </c>
      <c r="C5204" s="39">
        <f t="array" ref="C5204">NPV(B5204,FCFF!$C$9:$I$9)+FCFF!$B$9+FCFF!$I$9*(1+Inputs!$B$6)/(B5204-Inputs!$B$6)/(1+B5204)^7</f>
        <v>-1986.602247</v>
      </c>
    </row>
    <row r="5205" ht="14.25" customHeight="1">
      <c r="A5205" s="7">
        <v>5192.0</v>
      </c>
      <c r="B5205" s="14">
        <f t="shared" si="1"/>
        <v>0.1319738607</v>
      </c>
      <c r="C5205" s="39">
        <f t="array" ref="C5205">NPV(B5205,FCFF!$C$9:$I$9)+FCFF!$B$9+FCFF!$I$9*(1+Inputs!$B$6)/(B5205-Inputs!$B$6)/(1+B5205)^7</f>
        <v>-1998.404675</v>
      </c>
    </row>
    <row r="5206" ht="14.25" customHeight="1">
      <c r="A5206" s="7">
        <v>5193.0</v>
      </c>
      <c r="B5206" s="14">
        <f t="shared" si="1"/>
        <v>0.1185078805</v>
      </c>
      <c r="C5206" s="39">
        <f t="array" ref="C5206">NPV(B5206,FCFF!$C$9:$I$9)+FCFF!$B$9+FCFF!$I$9*(1+Inputs!$B$6)/(B5206-Inputs!$B$6)/(1+B5206)^7</f>
        <v>-1796.140304</v>
      </c>
    </row>
    <row r="5207" ht="14.25" customHeight="1">
      <c r="A5207" s="7">
        <v>5194.0</v>
      </c>
      <c r="B5207" s="14">
        <f t="shared" si="1"/>
        <v>0.1046048312</v>
      </c>
      <c r="C5207" s="39">
        <f t="array" ref="C5207">NPV(B5207,FCFF!$C$9:$I$9)+FCFF!$B$9+FCFF!$I$9*(1+Inputs!$B$6)/(B5207-Inputs!$B$6)/(1+B5207)^7</f>
        <v>-1505.942836</v>
      </c>
    </row>
    <row r="5208" ht="14.25" customHeight="1">
      <c r="A5208" s="7">
        <v>5195.0</v>
      </c>
      <c r="B5208" s="14">
        <f t="shared" si="1"/>
        <v>0.1107450061</v>
      </c>
      <c r="C5208" s="39">
        <f t="array" ref="C5208">NPV(B5208,FCFF!$C$9:$I$9)+FCFF!$B$9+FCFF!$I$9*(1+Inputs!$B$6)/(B5208-Inputs!$B$6)/(1+B5208)^7</f>
        <v>-1646.867114</v>
      </c>
    </row>
    <row r="5209" ht="14.25" customHeight="1">
      <c r="A5209" s="7">
        <v>5196.0</v>
      </c>
      <c r="B5209" s="14">
        <f t="shared" si="1"/>
        <v>0.1255506181</v>
      </c>
      <c r="C5209" s="39">
        <f t="array" ref="C5209">NPV(B5209,FCFF!$C$9:$I$9)+FCFF!$B$9+FCFF!$I$9*(1+Inputs!$B$6)/(B5209-Inputs!$B$6)/(1+B5209)^7</f>
        <v>-1909.548634</v>
      </c>
    </row>
    <row r="5210" ht="14.25" customHeight="1">
      <c r="A5210" s="7">
        <v>5197.0</v>
      </c>
      <c r="B5210" s="14">
        <f t="shared" si="1"/>
        <v>0.1229109207</v>
      </c>
      <c r="C5210" s="39">
        <f t="array" ref="C5210">NPV(B5210,FCFF!$C$9:$I$9)+FCFF!$B$9+FCFF!$I$9*(1+Inputs!$B$6)/(B5210-Inputs!$B$6)/(1+B5210)^7</f>
        <v>-1869.185783</v>
      </c>
    </row>
    <row r="5211" ht="14.25" customHeight="1">
      <c r="A5211" s="7">
        <v>5198.0</v>
      </c>
      <c r="B5211" s="14">
        <f t="shared" si="1"/>
        <v>0.1089298512</v>
      </c>
      <c r="C5211" s="39">
        <f t="array" ref="C5211">NPV(B5211,FCFF!$C$9:$I$9)+FCFF!$B$9+FCFF!$I$9*(1+Inputs!$B$6)/(B5211-Inputs!$B$6)/(1+B5211)^7</f>
        <v>-1607.552257</v>
      </c>
    </row>
    <row r="5212" ht="14.25" customHeight="1">
      <c r="A5212" s="7">
        <v>5199.0</v>
      </c>
      <c r="B5212" s="14">
        <f t="shared" si="1"/>
        <v>0.1269438059</v>
      </c>
      <c r="C5212" s="39">
        <f t="array" ref="C5212">NPV(B5212,FCFF!$C$9:$I$9)+FCFF!$B$9+FCFF!$I$9*(1+Inputs!$B$6)/(B5212-Inputs!$B$6)/(1+B5212)^7</f>
        <v>-1929.90253</v>
      </c>
    </row>
    <row r="5213" ht="14.25" customHeight="1">
      <c r="A5213" s="7">
        <v>5200.0</v>
      </c>
      <c r="B5213" s="14">
        <f t="shared" si="1"/>
        <v>0.1022433863</v>
      </c>
      <c r="C5213" s="39">
        <f t="array" ref="C5213">NPV(B5213,FCFF!$C$9:$I$9)+FCFF!$B$9+FCFF!$I$9*(1+Inputs!$B$6)/(B5213-Inputs!$B$6)/(1+B5213)^7</f>
        <v>-1445.221684</v>
      </c>
    </row>
    <row r="5214" ht="14.25" customHeight="1">
      <c r="A5214" s="7">
        <v>5201.0</v>
      </c>
      <c r="B5214" s="14">
        <f t="shared" si="1"/>
        <v>0.1211442683</v>
      </c>
      <c r="C5214" s="39">
        <f t="array" ref="C5214">NPV(B5214,FCFF!$C$9:$I$9)+FCFF!$B$9+FCFF!$I$9*(1+Inputs!$B$6)/(B5214-Inputs!$B$6)/(1+B5214)^7</f>
        <v>-1840.77667</v>
      </c>
    </row>
    <row r="5215" ht="14.25" customHeight="1">
      <c r="A5215" s="7">
        <v>5202.0</v>
      </c>
      <c r="B5215" s="14">
        <f t="shared" si="1"/>
        <v>0.1229453469</v>
      </c>
      <c r="C5215" s="39">
        <f t="array" ref="C5215">NPV(B5215,FCFF!$C$9:$I$9)+FCFF!$B$9+FCFF!$I$9*(1+Inputs!$B$6)/(B5215-Inputs!$B$6)/(1+B5215)^7</f>
        <v>-1869.727963</v>
      </c>
    </row>
    <row r="5216" ht="14.25" customHeight="1">
      <c r="A5216" s="7">
        <v>5203.0</v>
      </c>
      <c r="B5216" s="14">
        <f t="shared" si="1"/>
        <v>0.09692448143</v>
      </c>
      <c r="C5216" s="39">
        <f t="array" ref="C5216">NPV(B5216,FCFF!$C$9:$I$9)+FCFF!$B$9+FCFF!$I$9*(1+Inputs!$B$6)/(B5216-Inputs!$B$6)/(1+B5216)^7</f>
        <v>-1292.597351</v>
      </c>
    </row>
    <row r="5217" ht="14.25" customHeight="1">
      <c r="A5217" s="7">
        <v>5204.0</v>
      </c>
      <c r="B5217" s="14">
        <f t="shared" si="1"/>
        <v>0.1217137519</v>
      </c>
      <c r="C5217" s="39">
        <f t="array" ref="C5217">NPV(B5217,FCFF!$C$9:$I$9)+FCFF!$B$9+FCFF!$I$9*(1+Inputs!$B$6)/(B5217-Inputs!$B$6)/(1+B5217)^7</f>
        <v>-1850.061585</v>
      </c>
    </row>
    <row r="5218" ht="14.25" customHeight="1">
      <c r="A5218" s="7">
        <v>5205.0</v>
      </c>
      <c r="B5218" s="14">
        <f t="shared" si="1"/>
        <v>0.1186990321</v>
      </c>
      <c r="C5218" s="39">
        <f t="array" ref="C5218">NPV(B5218,FCFF!$C$9:$I$9)+FCFF!$B$9+FCFF!$I$9*(1+Inputs!$B$6)/(B5218-Inputs!$B$6)/(1+B5218)^7</f>
        <v>-1799.471047</v>
      </c>
    </row>
    <row r="5219" ht="14.25" customHeight="1">
      <c r="A5219" s="7">
        <v>5206.0</v>
      </c>
      <c r="B5219" s="14">
        <f t="shared" si="1"/>
        <v>0.1170937764</v>
      </c>
      <c r="C5219" s="39">
        <f t="array" ref="C5219">NPV(B5219,FCFF!$C$9:$I$9)+FCFF!$B$9+FCFF!$I$9*(1+Inputs!$B$6)/(B5219-Inputs!$B$6)/(1+B5219)^7</f>
        <v>-1771.021184</v>
      </c>
    </row>
    <row r="5220" ht="14.25" customHeight="1">
      <c r="A5220" s="7">
        <v>5207.0</v>
      </c>
      <c r="B5220" s="14">
        <f t="shared" si="1"/>
        <v>0.1106005943</v>
      </c>
      <c r="C5220" s="39">
        <f t="array" ref="C5220">NPV(B5220,FCFF!$C$9:$I$9)+FCFF!$B$9+FCFF!$I$9*(1+Inputs!$B$6)/(B5220-Inputs!$B$6)/(1+B5220)^7</f>
        <v>-1643.806223</v>
      </c>
    </row>
    <row r="5221" ht="14.25" customHeight="1">
      <c r="A5221" s="7">
        <v>5208.0</v>
      </c>
      <c r="B5221" s="14">
        <f t="shared" si="1"/>
        <v>0.1270761388</v>
      </c>
      <c r="C5221" s="39">
        <f t="array" ref="C5221">NPV(B5221,FCFF!$C$9:$I$9)+FCFF!$B$9+FCFF!$I$9*(1+Inputs!$B$6)/(B5221-Inputs!$B$6)/(1+B5221)^7</f>
        <v>-1931.803184</v>
      </c>
    </row>
    <row r="5222" ht="14.25" customHeight="1">
      <c r="A5222" s="7">
        <v>5209.0</v>
      </c>
      <c r="B5222" s="14">
        <f t="shared" si="1"/>
        <v>0.09404736558</v>
      </c>
      <c r="C5222" s="39">
        <f t="array" ref="C5222">NPV(B5222,FCFF!$C$9:$I$9)+FCFF!$B$9+FCFF!$I$9*(1+Inputs!$B$6)/(B5222-Inputs!$B$6)/(1+B5222)^7</f>
        <v>-1199.471662</v>
      </c>
    </row>
    <row r="5223" ht="14.25" customHeight="1">
      <c r="A5223" s="7">
        <v>5210.0</v>
      </c>
      <c r="B5223" s="14">
        <f t="shared" si="1"/>
        <v>0.1093481705</v>
      </c>
      <c r="C5223" s="39">
        <f t="array" ref="C5223">NPV(B5223,FCFF!$C$9:$I$9)+FCFF!$B$9+FCFF!$I$9*(1+Inputs!$B$6)/(B5223-Inputs!$B$6)/(1+B5223)^7</f>
        <v>-1616.77733</v>
      </c>
    </row>
    <row r="5224" ht="14.25" customHeight="1">
      <c r="A5224" s="7">
        <v>5211.0</v>
      </c>
      <c r="B5224" s="14">
        <f t="shared" si="1"/>
        <v>0.09677561967</v>
      </c>
      <c r="C5224" s="39">
        <f t="array" ref="C5224">NPV(B5224,FCFF!$C$9:$I$9)+FCFF!$B$9+FCFF!$I$9*(1+Inputs!$B$6)/(B5224-Inputs!$B$6)/(1+B5224)^7</f>
        <v>-1287.975041</v>
      </c>
    </row>
    <row r="5225" ht="14.25" customHeight="1">
      <c r="A5225" s="7">
        <v>5212.0</v>
      </c>
      <c r="B5225" s="14">
        <f t="shared" si="1"/>
        <v>0.1048611829</v>
      </c>
      <c r="C5225" s="39">
        <f t="array" ref="C5225">NPV(B5225,FCFF!$C$9:$I$9)+FCFF!$B$9+FCFF!$I$9*(1+Inputs!$B$6)/(B5225-Inputs!$B$6)/(1+B5225)^7</f>
        <v>-1512.300236</v>
      </c>
    </row>
    <row r="5226" ht="14.25" customHeight="1">
      <c r="A5226" s="7">
        <v>5213.0</v>
      </c>
      <c r="B5226" s="14">
        <f t="shared" si="1"/>
        <v>0.1185377196</v>
      </c>
      <c r="C5226" s="39">
        <f t="array" ref="C5226">NPV(B5226,FCFF!$C$9:$I$9)+FCFF!$B$9+FCFF!$I$9*(1+Inputs!$B$6)/(B5226-Inputs!$B$6)/(1+B5226)^7</f>
        <v>-1796.661239</v>
      </c>
    </row>
    <row r="5227" ht="14.25" customHeight="1">
      <c r="A5227" s="7">
        <v>5214.0</v>
      </c>
      <c r="B5227" s="14">
        <f t="shared" si="1"/>
        <v>0.1235650315</v>
      </c>
      <c r="C5227" s="39">
        <f t="array" ref="C5227">NPV(B5227,FCFF!$C$9:$I$9)+FCFF!$B$9+FCFF!$I$9*(1+Inputs!$B$6)/(B5227-Inputs!$B$6)/(1+B5227)^7</f>
        <v>-1879.414639</v>
      </c>
    </row>
    <row r="5228" ht="14.25" customHeight="1">
      <c r="A5228" s="7">
        <v>5215.0</v>
      </c>
      <c r="B5228" s="14">
        <f t="shared" si="1"/>
        <v>0.1311361326</v>
      </c>
      <c r="C5228" s="39">
        <f t="array" ref="C5228">NPV(B5228,FCFF!$C$9:$I$9)+FCFF!$B$9+FCFF!$I$9*(1+Inputs!$B$6)/(B5228-Inputs!$B$6)/(1+B5228)^7</f>
        <v>-1987.508717</v>
      </c>
    </row>
    <row r="5229" ht="14.25" customHeight="1">
      <c r="A5229" s="7">
        <v>5216.0</v>
      </c>
      <c r="B5229" s="14">
        <f t="shared" si="1"/>
        <v>0.1243646738</v>
      </c>
      <c r="C5229" s="39">
        <f t="array" ref="C5229">NPV(B5229,FCFF!$C$9:$I$9)+FCFF!$B$9+FCFF!$I$9*(1+Inputs!$B$6)/(B5229-Inputs!$B$6)/(1+B5229)^7</f>
        <v>-1891.713603</v>
      </c>
    </row>
    <row r="5230" ht="14.25" customHeight="1">
      <c r="A5230" s="7">
        <v>5217.0</v>
      </c>
      <c r="B5230" s="14">
        <f t="shared" si="1"/>
        <v>0.1188253865</v>
      </c>
      <c r="C5230" s="39">
        <f t="array" ref="C5230">NPV(B5230,FCFF!$C$9:$I$9)+FCFF!$B$9+FCFF!$I$9*(1+Inputs!$B$6)/(B5230-Inputs!$B$6)/(1+B5230)^7</f>
        <v>-1801.664421</v>
      </c>
    </row>
    <row r="5231" ht="14.25" customHeight="1">
      <c r="A5231" s="7">
        <v>5218.0</v>
      </c>
      <c r="B5231" s="14">
        <f t="shared" si="1"/>
        <v>0.1043743012</v>
      </c>
      <c r="C5231" s="39">
        <f t="array" ref="C5231">NPV(B5231,FCFF!$C$9:$I$9)+FCFF!$B$9+FCFF!$I$9*(1+Inputs!$B$6)/(B5231-Inputs!$B$6)/(1+B5231)^7</f>
        <v>-1500.187677</v>
      </c>
    </row>
    <row r="5232" ht="14.25" customHeight="1">
      <c r="A5232" s="7">
        <v>5219.0</v>
      </c>
      <c r="B5232" s="14">
        <f t="shared" si="1"/>
        <v>0.1154991624</v>
      </c>
      <c r="C5232" s="39">
        <f t="array" ref="C5232">NPV(B5232,FCFF!$C$9:$I$9)+FCFF!$B$9+FCFF!$I$9*(1+Inputs!$B$6)/(B5232-Inputs!$B$6)/(1+B5232)^7</f>
        <v>-1741.647039</v>
      </c>
    </row>
    <row r="5233" ht="14.25" customHeight="1">
      <c r="A5233" s="7">
        <v>5220.0</v>
      </c>
      <c r="B5233" s="14">
        <f t="shared" si="1"/>
        <v>0.1293276195</v>
      </c>
      <c r="C5233" s="39">
        <f t="array" ref="C5233">NPV(B5233,FCFF!$C$9:$I$9)+FCFF!$B$9+FCFF!$I$9*(1+Inputs!$B$6)/(B5233-Inputs!$B$6)/(1+B5233)^7</f>
        <v>-1963.303886</v>
      </c>
    </row>
    <row r="5234" ht="14.25" customHeight="1">
      <c r="A5234" s="7">
        <v>5221.0</v>
      </c>
      <c r="B5234" s="14">
        <f t="shared" si="1"/>
        <v>0.1217467697</v>
      </c>
      <c r="C5234" s="39">
        <f t="array" ref="C5234">NPV(B5234,FCFF!$C$9:$I$9)+FCFF!$B$9+FCFF!$I$9*(1+Inputs!$B$6)/(B5234-Inputs!$B$6)/(1+B5234)^7</f>
        <v>-1850.596153</v>
      </c>
    </row>
    <row r="5235" ht="14.25" customHeight="1">
      <c r="A5235" s="7">
        <v>5222.0</v>
      </c>
      <c r="B5235" s="14">
        <f t="shared" si="1"/>
        <v>0.1046183371</v>
      </c>
      <c r="C5235" s="39">
        <f t="array" ref="C5235">NPV(B5235,FCFF!$C$9:$I$9)+FCFF!$B$9+FCFF!$I$9*(1+Inputs!$B$6)/(B5235-Inputs!$B$6)/(1+B5235)^7</f>
        <v>-1506.278887</v>
      </c>
    </row>
    <row r="5236" ht="14.25" customHeight="1">
      <c r="A5236" s="7">
        <v>5223.0</v>
      </c>
      <c r="B5236" s="14">
        <f t="shared" si="1"/>
        <v>0.1201947918</v>
      </c>
      <c r="C5236" s="39">
        <f t="array" ref="C5236">NPV(B5236,FCFF!$C$9:$I$9)+FCFF!$B$9+FCFF!$I$9*(1+Inputs!$B$6)/(B5236-Inputs!$B$6)/(1+B5236)^7</f>
        <v>-1825.019433</v>
      </c>
    </row>
    <row r="5237" ht="14.25" customHeight="1">
      <c r="A5237" s="7">
        <v>5224.0</v>
      </c>
      <c r="B5237" s="14">
        <f t="shared" si="1"/>
        <v>0.1050883049</v>
      </c>
      <c r="C5237" s="39">
        <f t="array" ref="C5237">NPV(B5237,FCFF!$C$9:$I$9)+FCFF!$B$9+FCFF!$I$9*(1+Inputs!$B$6)/(B5237-Inputs!$B$6)/(1+B5237)^7</f>
        <v>-1517.895792</v>
      </c>
    </row>
    <row r="5238" ht="14.25" customHeight="1">
      <c r="A5238" s="7">
        <v>5225.0</v>
      </c>
      <c r="B5238" s="14">
        <f t="shared" si="1"/>
        <v>0.1320536525</v>
      </c>
      <c r="C5238" s="39">
        <f t="array" ref="C5238">NPV(B5238,FCFF!$C$9:$I$9)+FCFF!$B$9+FCFF!$I$9*(1+Inputs!$B$6)/(B5238-Inputs!$B$6)/(1+B5238)^7</f>
        <v>-1999.432327</v>
      </c>
    </row>
    <row r="5239" ht="14.25" customHeight="1">
      <c r="A5239" s="7">
        <v>5226.0</v>
      </c>
      <c r="B5239" s="14">
        <f t="shared" si="1"/>
        <v>0.1246721884</v>
      </c>
      <c r="C5239" s="39">
        <f t="array" ref="C5239">NPV(B5239,FCFF!$C$9:$I$9)+FCFF!$B$9+FCFF!$I$9*(1+Inputs!$B$6)/(B5239-Inputs!$B$6)/(1+B5239)^7</f>
        <v>-1896.384204</v>
      </c>
    </row>
    <row r="5240" ht="14.25" customHeight="1">
      <c r="A5240" s="7">
        <v>5227.0</v>
      </c>
      <c r="B5240" s="14">
        <f t="shared" si="1"/>
        <v>0.1100979519</v>
      </c>
      <c r="C5240" s="39">
        <f t="array" ref="C5240">NPV(B5240,FCFF!$C$9:$I$9)+FCFF!$B$9+FCFF!$I$9*(1+Inputs!$B$6)/(B5240-Inputs!$B$6)/(1+B5240)^7</f>
        <v>-1633.063425</v>
      </c>
    </row>
    <row r="5241" ht="14.25" customHeight="1">
      <c r="A5241" s="7">
        <v>5228.0</v>
      </c>
      <c r="B5241" s="14">
        <f t="shared" si="1"/>
        <v>0.1107925272</v>
      </c>
      <c r="C5241" s="39">
        <f t="array" ref="C5241">NPV(B5241,FCFF!$C$9:$I$9)+FCFF!$B$9+FCFF!$I$9*(1+Inputs!$B$6)/(B5241-Inputs!$B$6)/(1+B5241)^7</f>
        <v>-1647.871875</v>
      </c>
    </row>
    <row r="5242" ht="14.25" customHeight="1">
      <c r="A5242" s="7">
        <v>5229.0</v>
      </c>
      <c r="B5242" s="14">
        <f t="shared" si="1"/>
        <v>0.1101815298</v>
      </c>
      <c r="C5242" s="39">
        <f t="array" ref="C5242">NPV(B5242,FCFF!$C$9:$I$9)+FCFF!$B$9+FCFF!$I$9*(1+Inputs!$B$6)/(B5242-Inputs!$B$6)/(1+B5242)^7</f>
        <v>-1634.859354</v>
      </c>
    </row>
    <row r="5243" ht="14.25" customHeight="1">
      <c r="A5243" s="7">
        <v>5230.0</v>
      </c>
      <c r="B5243" s="14">
        <f t="shared" si="1"/>
        <v>0.1025477522</v>
      </c>
      <c r="C5243" s="39">
        <f t="array" ref="C5243">NPV(B5243,FCFF!$C$9:$I$9)+FCFF!$B$9+FCFF!$I$9*(1+Inputs!$B$6)/(B5243-Inputs!$B$6)/(1+B5243)^7</f>
        <v>-1453.273227</v>
      </c>
    </row>
    <row r="5244" ht="14.25" customHeight="1">
      <c r="A5244" s="7">
        <v>5231.0</v>
      </c>
      <c r="B5244" s="14">
        <f t="shared" si="1"/>
        <v>0.1097061083</v>
      </c>
      <c r="C5244" s="39">
        <f t="array" ref="C5244">NPV(B5244,FCFF!$C$9:$I$9)+FCFF!$B$9+FCFF!$I$9*(1+Inputs!$B$6)/(B5244-Inputs!$B$6)/(1+B5244)^7</f>
        <v>-1624.591585</v>
      </c>
    </row>
    <row r="5245" ht="14.25" customHeight="1">
      <c r="A5245" s="7">
        <v>5232.0</v>
      </c>
      <c r="B5245" s="14">
        <f t="shared" si="1"/>
        <v>0.1289434895</v>
      </c>
      <c r="C5245" s="39">
        <f t="array" ref="C5245">NPV(B5245,FCFF!$C$9:$I$9)+FCFF!$B$9+FCFF!$I$9*(1+Inputs!$B$6)/(B5245-Inputs!$B$6)/(1+B5245)^7</f>
        <v>-1958.03909</v>
      </c>
    </row>
    <row r="5246" ht="14.25" customHeight="1">
      <c r="A5246" s="7">
        <v>5233.0</v>
      </c>
      <c r="B5246" s="14">
        <f t="shared" si="1"/>
        <v>0.1202338883</v>
      </c>
      <c r="C5246" s="39">
        <f t="array" ref="C5246">NPV(B5246,FCFF!$C$9:$I$9)+FCFF!$B$9+FCFF!$I$9*(1+Inputs!$B$6)/(B5246-Inputs!$B$6)/(1+B5246)^7</f>
        <v>-1825.675209</v>
      </c>
    </row>
    <row r="5247" ht="14.25" customHeight="1">
      <c r="A5247" s="7">
        <v>5234.0</v>
      </c>
      <c r="B5247" s="14">
        <f t="shared" si="1"/>
        <v>0.1295047143</v>
      </c>
      <c r="C5247" s="39">
        <f t="array" ref="C5247">NPV(B5247,FCFF!$C$9:$I$9)+FCFF!$B$9+FCFF!$I$9*(1+Inputs!$B$6)/(B5247-Inputs!$B$6)/(1+B5247)^7</f>
        <v>-1965.716279</v>
      </c>
    </row>
    <row r="5248" ht="14.25" customHeight="1">
      <c r="A5248" s="7">
        <v>5235.0</v>
      </c>
      <c r="B5248" s="14">
        <f t="shared" si="1"/>
        <v>0.1037924039</v>
      </c>
      <c r="C5248" s="39">
        <f t="array" ref="C5248">NPV(B5248,FCFF!$C$9:$I$9)+FCFF!$B$9+FCFF!$I$9*(1+Inputs!$B$6)/(B5248-Inputs!$B$6)/(1+B5248)^7</f>
        <v>-1485.497878</v>
      </c>
    </row>
    <row r="5249" ht="14.25" customHeight="1">
      <c r="A5249" s="7">
        <v>5236.0</v>
      </c>
      <c r="B5249" s="14">
        <f t="shared" si="1"/>
        <v>0.1035181807</v>
      </c>
      <c r="C5249" s="39">
        <f t="array" ref="C5249">NPV(B5249,FCFF!$C$9:$I$9)+FCFF!$B$9+FCFF!$I$9*(1+Inputs!$B$6)/(B5249-Inputs!$B$6)/(1+B5249)^7</f>
        <v>-1478.493236</v>
      </c>
    </row>
    <row r="5250" ht="14.25" customHeight="1">
      <c r="A5250" s="7">
        <v>5237.0</v>
      </c>
      <c r="B5250" s="14">
        <f t="shared" si="1"/>
        <v>0.1276221367</v>
      </c>
      <c r="C5250" s="39">
        <f t="array" ref="C5250">NPV(B5250,FCFF!$C$9:$I$9)+FCFF!$B$9+FCFF!$I$9*(1+Inputs!$B$6)/(B5250-Inputs!$B$6)/(1+B5250)^7</f>
        <v>-1939.586461</v>
      </c>
    </row>
    <row r="5251" ht="14.25" customHeight="1">
      <c r="A5251" s="7">
        <v>5238.0</v>
      </c>
      <c r="B5251" s="14">
        <f t="shared" si="1"/>
        <v>0.1179614823</v>
      </c>
      <c r="C5251" s="39">
        <f t="array" ref="C5251">NPV(B5251,FCFF!$C$9:$I$9)+FCFF!$B$9+FCFF!$I$9*(1+Inputs!$B$6)/(B5251-Inputs!$B$6)/(1+B5251)^7</f>
        <v>-1786.53531</v>
      </c>
    </row>
    <row r="5252" ht="14.25" customHeight="1">
      <c r="A5252" s="7">
        <v>5239.0</v>
      </c>
      <c r="B5252" s="14">
        <f t="shared" si="1"/>
        <v>0.1175465976</v>
      </c>
      <c r="C5252" s="39">
        <f t="array" ref="C5252">NPV(B5252,FCFF!$C$9:$I$9)+FCFF!$B$9+FCFF!$I$9*(1+Inputs!$B$6)/(B5252-Inputs!$B$6)/(1+B5252)^7</f>
        <v>-1779.157765</v>
      </c>
    </row>
    <row r="5253" ht="14.25" customHeight="1">
      <c r="A5253" s="7">
        <v>5240.0</v>
      </c>
      <c r="B5253" s="14">
        <f t="shared" si="1"/>
        <v>0.1130723438</v>
      </c>
      <c r="C5253" s="39">
        <f t="array" ref="C5253">NPV(B5253,FCFF!$C$9:$I$9)+FCFF!$B$9+FCFF!$I$9*(1+Inputs!$B$6)/(B5253-Inputs!$B$6)/(1+B5253)^7</f>
        <v>-1694.6761</v>
      </c>
    </row>
    <row r="5254" ht="14.25" customHeight="1">
      <c r="A5254" s="7">
        <v>5241.0</v>
      </c>
      <c r="B5254" s="14">
        <f t="shared" si="1"/>
        <v>0.1013086932</v>
      </c>
      <c r="C5254" s="39">
        <f t="array" ref="C5254">NPV(B5254,FCFF!$C$9:$I$9)+FCFF!$B$9+FCFF!$I$9*(1+Inputs!$B$6)/(B5254-Inputs!$B$6)/(1+B5254)^7</f>
        <v>-1420.061002</v>
      </c>
    </row>
    <row r="5255" ht="14.25" customHeight="1">
      <c r="A5255" s="7">
        <v>5242.0</v>
      </c>
      <c r="B5255" s="14">
        <f t="shared" si="1"/>
        <v>0.11681964</v>
      </c>
      <c r="C5255" s="39">
        <f t="array" ref="C5255">NPV(B5255,FCFF!$C$9:$I$9)+FCFF!$B$9+FCFF!$I$9*(1+Inputs!$B$6)/(B5255-Inputs!$B$6)/(1+B5255)^7</f>
        <v>-1766.051954</v>
      </c>
    </row>
    <row r="5256" ht="14.25" customHeight="1">
      <c r="A5256" s="7">
        <v>5243.0</v>
      </c>
      <c r="B5256" s="14">
        <f t="shared" si="1"/>
        <v>0.09374896918</v>
      </c>
      <c r="C5256" s="39">
        <f t="array" ref="C5256">NPV(B5256,FCFF!$C$9:$I$9)+FCFF!$B$9+FCFF!$I$9*(1+Inputs!$B$6)/(B5256-Inputs!$B$6)/(1+B5256)^7</f>
        <v>-1189.335628</v>
      </c>
    </row>
    <row r="5257" ht="14.25" customHeight="1">
      <c r="A5257" s="7">
        <v>5244.0</v>
      </c>
      <c r="B5257" s="14">
        <f t="shared" si="1"/>
        <v>0.1167014699</v>
      </c>
      <c r="C5257" s="39">
        <f t="array" ref="C5257">NPV(B5257,FCFF!$C$9:$I$9)+FCFF!$B$9+FCFF!$I$9*(1+Inputs!$B$6)/(B5257-Inputs!$B$6)/(1+B5257)^7</f>
        <v>-1763.899718</v>
      </c>
    </row>
    <row r="5258" ht="14.25" customHeight="1">
      <c r="A5258" s="7">
        <v>5245.0</v>
      </c>
      <c r="B5258" s="14">
        <f t="shared" si="1"/>
        <v>0.09735854774</v>
      </c>
      <c r="C5258" s="39">
        <f t="array" ref="C5258">NPV(B5258,FCFF!$C$9:$I$9)+FCFF!$B$9+FCFF!$I$9*(1+Inputs!$B$6)/(B5258-Inputs!$B$6)/(1+B5258)^7</f>
        <v>-1305.959078</v>
      </c>
    </row>
    <row r="5259" ht="14.25" customHeight="1">
      <c r="A5259" s="7">
        <v>5246.0</v>
      </c>
      <c r="B5259" s="14">
        <f t="shared" si="1"/>
        <v>0.09388576487</v>
      </c>
      <c r="C5259" s="39">
        <f t="array" ref="C5259">NPV(B5259,FCFF!$C$9:$I$9)+FCFF!$B$9+FCFF!$I$9*(1+Inputs!$B$6)/(B5259-Inputs!$B$6)/(1+B5259)^7</f>
        <v>-1193.993991</v>
      </c>
    </row>
    <row r="5260" ht="14.25" customHeight="1">
      <c r="A5260" s="7">
        <v>5247.0</v>
      </c>
      <c r="B5260" s="14">
        <f t="shared" si="1"/>
        <v>0.1044051754</v>
      </c>
      <c r="C5260" s="39">
        <f t="array" ref="C5260">NPV(B5260,FCFF!$C$9:$I$9)+FCFF!$B$9+FCFF!$I$9*(1+Inputs!$B$6)/(B5260-Inputs!$B$6)/(1+B5260)^7</f>
        <v>-1500.960554</v>
      </c>
    </row>
    <row r="5261" ht="14.25" customHeight="1">
      <c r="A5261" s="7">
        <v>5248.0</v>
      </c>
      <c r="B5261" s="14">
        <f t="shared" si="1"/>
        <v>0.1184205661</v>
      </c>
      <c r="C5261" s="39">
        <f t="array" ref="C5261">NPV(B5261,FCFF!$C$9:$I$9)+FCFF!$B$9+FCFF!$I$9*(1+Inputs!$B$6)/(B5261-Inputs!$B$6)/(1+B5261)^7</f>
        <v>-1794.613827</v>
      </c>
    </row>
    <row r="5262" ht="14.25" customHeight="1">
      <c r="A5262" s="7">
        <v>5249.0</v>
      </c>
      <c r="B5262" s="14">
        <f t="shared" si="1"/>
        <v>0.1085124434</v>
      </c>
      <c r="C5262" s="39">
        <f t="array" ref="C5262">NPV(B5262,FCFF!$C$9:$I$9)+FCFF!$B$9+FCFF!$I$9*(1+Inputs!$B$6)/(B5262-Inputs!$B$6)/(1+B5262)^7</f>
        <v>-1598.246353</v>
      </c>
    </row>
    <row r="5263" ht="14.25" customHeight="1">
      <c r="A5263" s="7">
        <v>5250.0</v>
      </c>
      <c r="B5263" s="14">
        <f t="shared" si="1"/>
        <v>0.1258947496</v>
      </c>
      <c r="C5263" s="39">
        <f t="array" ref="C5263">NPV(B5263,FCFF!$C$9:$I$9)+FCFF!$B$9+FCFF!$I$9*(1+Inputs!$B$6)/(B5263-Inputs!$B$6)/(1+B5263)^7</f>
        <v>-1914.635385</v>
      </c>
    </row>
    <row r="5264" ht="14.25" customHeight="1">
      <c r="A5264" s="7">
        <v>5251.0</v>
      </c>
      <c r="B5264" s="14">
        <f t="shared" si="1"/>
        <v>0.1004028343</v>
      </c>
      <c r="C5264" s="39">
        <f t="array" ref="C5264">NPV(B5264,FCFF!$C$9:$I$9)+FCFF!$B$9+FCFF!$I$9*(1+Inputs!$B$6)/(B5264-Inputs!$B$6)/(1+B5264)^7</f>
        <v>-1395.032567</v>
      </c>
    </row>
    <row r="5265" ht="14.25" customHeight="1">
      <c r="A5265" s="7">
        <v>5252.0</v>
      </c>
      <c r="B5265" s="14">
        <f t="shared" si="1"/>
        <v>0.1194707409</v>
      </c>
      <c r="C5265" s="39">
        <f t="array" ref="C5265">NPV(B5265,FCFF!$C$9:$I$9)+FCFF!$B$9+FCFF!$I$9*(1+Inputs!$B$6)/(B5265-Inputs!$B$6)/(1+B5265)^7</f>
        <v>-1812.76504</v>
      </c>
    </row>
    <row r="5266" ht="14.25" customHeight="1">
      <c r="A5266" s="7">
        <v>5253.0</v>
      </c>
      <c r="B5266" s="14">
        <f t="shared" si="1"/>
        <v>0.09875261764</v>
      </c>
      <c r="C5266" s="39">
        <f t="array" ref="C5266">NPV(B5266,FCFF!$C$9:$I$9)+FCFF!$B$9+FCFF!$I$9*(1+Inputs!$B$6)/(B5266-Inputs!$B$6)/(1+B5266)^7</f>
        <v>-1347.730859</v>
      </c>
    </row>
    <row r="5267" ht="14.25" customHeight="1">
      <c r="A5267" s="7">
        <v>5254.0</v>
      </c>
      <c r="B5267" s="14">
        <f t="shared" si="1"/>
        <v>0.1137090963</v>
      </c>
      <c r="C5267" s="39">
        <f t="array" ref="C5267">NPV(B5267,FCFF!$C$9:$I$9)+FCFF!$B$9+FCFF!$I$9*(1+Inputs!$B$6)/(B5267-Inputs!$B$6)/(1+B5267)^7</f>
        <v>-1707.275435</v>
      </c>
    </row>
    <row r="5268" ht="14.25" customHeight="1">
      <c r="A5268" s="7">
        <v>5255.0</v>
      </c>
      <c r="B5268" s="14">
        <f t="shared" si="1"/>
        <v>0.09513345301</v>
      </c>
      <c r="C5268" s="39">
        <f t="array" ref="C5268">NPV(B5268,FCFF!$C$9:$I$9)+FCFF!$B$9+FCFF!$I$9*(1+Inputs!$B$6)/(B5268-Inputs!$B$6)/(1+B5268)^7</f>
        <v>-1235.586808</v>
      </c>
    </row>
    <row r="5269" ht="14.25" customHeight="1">
      <c r="A5269" s="7">
        <v>5256.0</v>
      </c>
      <c r="B5269" s="14">
        <f t="shared" si="1"/>
        <v>0.1082559971</v>
      </c>
      <c r="C5269" s="39">
        <f t="array" ref="C5269">NPV(B5269,FCFF!$C$9:$I$9)+FCFF!$B$9+FCFF!$I$9*(1+Inputs!$B$6)/(B5269-Inputs!$B$6)/(1+B5269)^7</f>
        <v>-1592.478345</v>
      </c>
    </row>
    <row r="5270" ht="14.25" customHeight="1">
      <c r="A5270" s="7">
        <v>5257.0</v>
      </c>
      <c r="B5270" s="14">
        <f t="shared" si="1"/>
        <v>0.1223398627</v>
      </c>
      <c r="C5270" s="39">
        <f t="array" ref="C5270">NPV(B5270,FCFF!$C$9:$I$9)+FCFF!$B$9+FCFF!$I$9*(1+Inputs!$B$6)/(B5270-Inputs!$B$6)/(1+B5270)^7</f>
        <v>-1860.12927</v>
      </c>
    </row>
    <row r="5271" ht="14.25" customHeight="1">
      <c r="A5271" s="7">
        <v>5258.0</v>
      </c>
      <c r="B5271" s="14">
        <f t="shared" si="1"/>
        <v>0.09358896168</v>
      </c>
      <c r="C5271" s="39">
        <f t="array" ref="C5271">NPV(B5271,FCFF!$C$9:$I$9)+FCFF!$B$9+FCFF!$I$9*(1+Inputs!$B$6)/(B5271-Inputs!$B$6)/(1+B5271)^7</f>
        <v>-1183.861652</v>
      </c>
    </row>
    <row r="5272" ht="14.25" customHeight="1">
      <c r="A5272" s="7">
        <v>5259.0</v>
      </c>
      <c r="B5272" s="14">
        <f t="shared" si="1"/>
        <v>0.1166561117</v>
      </c>
      <c r="C5272" s="39">
        <f t="array" ref="C5272">NPV(B5272,FCFF!$C$9:$I$9)+FCFF!$B$9+FCFF!$I$9*(1+Inputs!$B$6)/(B5272-Inputs!$B$6)/(1+B5272)^7</f>
        <v>-1763.071969</v>
      </c>
    </row>
    <row r="5273" ht="14.25" customHeight="1">
      <c r="A5273" s="7">
        <v>5260.0</v>
      </c>
      <c r="B5273" s="14">
        <f t="shared" si="1"/>
        <v>0.09405889257</v>
      </c>
      <c r="C5273" s="39">
        <f t="array" ref="C5273">NPV(B5273,FCFF!$C$9:$I$9)+FCFF!$B$9+FCFF!$I$9*(1+Inputs!$B$6)/(B5273-Inputs!$B$6)/(1+B5273)^7</f>
        <v>-1199.861339</v>
      </c>
    </row>
    <row r="5274" ht="14.25" customHeight="1">
      <c r="A5274" s="7">
        <v>5261.0</v>
      </c>
      <c r="B5274" s="14">
        <f t="shared" si="1"/>
        <v>0.1135584826</v>
      </c>
      <c r="C5274" s="39">
        <f t="array" ref="C5274">NPV(B5274,FCFF!$C$9:$I$9)+FCFF!$B$9+FCFF!$I$9*(1+Inputs!$B$6)/(B5274-Inputs!$B$6)/(1+B5274)^7</f>
        <v>-1704.313322</v>
      </c>
    </row>
    <row r="5275" ht="14.25" customHeight="1">
      <c r="A5275" s="7">
        <v>5262.0</v>
      </c>
      <c r="B5275" s="14">
        <f t="shared" si="1"/>
        <v>0.1049980322</v>
      </c>
      <c r="C5275" s="39">
        <f t="array" ref="C5275">NPV(B5275,FCFF!$C$9:$I$9)+FCFF!$B$9+FCFF!$I$9*(1+Inputs!$B$6)/(B5275-Inputs!$B$6)/(1+B5275)^7</f>
        <v>-1515.675902</v>
      </c>
    </row>
    <row r="5276" ht="14.25" customHeight="1">
      <c r="A5276" s="7">
        <v>5263.0</v>
      </c>
      <c r="B5276" s="14">
        <f t="shared" si="1"/>
        <v>0.1278621306</v>
      </c>
      <c r="C5276" s="39">
        <f t="array" ref="C5276">NPV(B5276,FCFF!$C$9:$I$9)+FCFF!$B$9+FCFF!$I$9*(1+Inputs!$B$6)/(B5276-Inputs!$B$6)/(1+B5276)^7</f>
        <v>-1942.977979</v>
      </c>
    </row>
    <row r="5277" ht="14.25" customHeight="1">
      <c r="A5277" s="7">
        <v>5264.0</v>
      </c>
      <c r="B5277" s="14">
        <f t="shared" si="1"/>
        <v>0.1033790763</v>
      </c>
      <c r="C5277" s="39">
        <f t="array" ref="C5277">NPV(B5277,FCFF!$C$9:$I$9)+FCFF!$B$9+FCFF!$I$9*(1+Inputs!$B$6)/(B5277-Inputs!$B$6)/(1+B5277)^7</f>
        <v>-1474.919678</v>
      </c>
    </row>
    <row r="5278" ht="14.25" customHeight="1">
      <c r="A5278" s="7">
        <v>5265.0</v>
      </c>
      <c r="B5278" s="14">
        <f t="shared" si="1"/>
        <v>0.1064135261</v>
      </c>
      <c r="C5278" s="39">
        <f t="array" ref="C5278">NPV(B5278,FCFF!$C$9:$I$9)+FCFF!$B$9+FCFF!$I$9*(1+Inputs!$B$6)/(B5278-Inputs!$B$6)/(1+B5278)^7</f>
        <v>-1549.868065</v>
      </c>
    </row>
    <row r="5279" ht="14.25" customHeight="1">
      <c r="A5279" s="7">
        <v>5266.0</v>
      </c>
      <c r="B5279" s="14">
        <f t="shared" si="1"/>
        <v>0.1212306387</v>
      </c>
      <c r="C5279" s="39">
        <f t="array" ref="C5279">NPV(B5279,FCFF!$C$9:$I$9)+FCFF!$B$9+FCFF!$I$9*(1+Inputs!$B$6)/(B5279-Inputs!$B$6)/(1+B5279)^7</f>
        <v>-1842.192783</v>
      </c>
    </row>
    <row r="5280" ht="14.25" customHeight="1">
      <c r="A5280" s="7">
        <v>5267.0</v>
      </c>
      <c r="B5280" s="14">
        <f t="shared" si="1"/>
        <v>0.1252327634</v>
      </c>
      <c r="C5280" s="39">
        <f t="array" ref="C5280">NPV(B5280,FCFF!$C$9:$I$9)+FCFF!$B$9+FCFF!$I$9*(1+Inputs!$B$6)/(B5280-Inputs!$B$6)/(1+B5280)^7</f>
        <v>-1904.815228</v>
      </c>
    </row>
    <row r="5281" ht="14.25" customHeight="1">
      <c r="A5281" s="7">
        <v>5268.0</v>
      </c>
      <c r="B5281" s="14">
        <f t="shared" si="1"/>
        <v>0.1266840041</v>
      </c>
      <c r="C5281" s="39">
        <f t="array" ref="C5281">NPV(B5281,FCFF!$C$9:$I$9)+FCFF!$B$9+FCFF!$I$9*(1+Inputs!$B$6)/(B5281-Inputs!$B$6)/(1+B5281)^7</f>
        <v>-1926.154781</v>
      </c>
    </row>
    <row r="5282" ht="14.25" customHeight="1">
      <c r="A5282" s="7">
        <v>5269.0</v>
      </c>
      <c r="B5282" s="14">
        <f t="shared" si="1"/>
        <v>0.102782493</v>
      </c>
      <c r="C5282" s="39">
        <f t="array" ref="C5282">NPV(B5282,FCFF!$C$9:$I$9)+FCFF!$B$9+FCFF!$I$9*(1+Inputs!$B$6)/(B5282-Inputs!$B$6)/(1+B5282)^7</f>
        <v>-1459.436343</v>
      </c>
    </row>
    <row r="5283" ht="14.25" customHeight="1">
      <c r="A5283" s="7">
        <v>5270.0</v>
      </c>
      <c r="B5283" s="14">
        <f t="shared" si="1"/>
        <v>0.111215821</v>
      </c>
      <c r="C5283" s="39">
        <f t="array" ref="C5283">NPV(B5283,FCFF!$C$9:$I$9)+FCFF!$B$9+FCFF!$I$9*(1+Inputs!$B$6)/(B5283-Inputs!$B$6)/(1+B5283)^7</f>
        <v>-1656.768083</v>
      </c>
    </row>
    <row r="5284" ht="14.25" customHeight="1">
      <c r="A5284" s="7">
        <v>5271.0</v>
      </c>
      <c r="B5284" s="14">
        <f t="shared" si="1"/>
        <v>0.1041647681</v>
      </c>
      <c r="C5284" s="39">
        <f t="array" ref="C5284">NPV(B5284,FCFF!$C$9:$I$9)+FCFF!$B$9+FCFF!$I$9*(1+Inputs!$B$6)/(B5284-Inputs!$B$6)/(1+B5284)^7</f>
        <v>-1494.925104</v>
      </c>
    </row>
    <row r="5285" ht="14.25" customHeight="1">
      <c r="A5285" s="7">
        <v>5272.0</v>
      </c>
      <c r="B5285" s="14">
        <f t="shared" si="1"/>
        <v>0.1085564464</v>
      </c>
      <c r="C5285" s="39">
        <f t="array" ref="C5285">NPV(B5285,FCFF!$C$9:$I$9)+FCFF!$B$9+FCFF!$I$9*(1+Inputs!$B$6)/(B5285-Inputs!$B$6)/(1+B5285)^7</f>
        <v>-1599.232179</v>
      </c>
    </row>
    <row r="5286" ht="14.25" customHeight="1">
      <c r="A5286" s="7">
        <v>5273.0</v>
      </c>
      <c r="B5286" s="14">
        <f t="shared" si="1"/>
        <v>0.1130315321</v>
      </c>
      <c r="C5286" s="39">
        <f t="array" ref="C5286">NPV(B5286,FCFF!$C$9:$I$9)+FCFF!$B$9+FCFF!$I$9*(1+Inputs!$B$6)/(B5286-Inputs!$B$6)/(1+B5286)^7</f>
        <v>-1693.861702</v>
      </c>
    </row>
    <row r="5287" ht="14.25" customHeight="1">
      <c r="A5287" s="7">
        <v>5274.0</v>
      </c>
      <c r="B5287" s="14">
        <f t="shared" si="1"/>
        <v>0.1191743597</v>
      </c>
      <c r="C5287" s="39">
        <f t="array" ref="C5287">NPV(B5287,FCFF!$C$9:$I$9)+FCFF!$B$9+FCFF!$I$9*(1+Inputs!$B$6)/(B5287-Inputs!$B$6)/(1+B5287)^7</f>
        <v>-1807.688123</v>
      </c>
    </row>
    <row r="5288" ht="14.25" customHeight="1">
      <c r="A5288" s="7">
        <v>5275.0</v>
      </c>
      <c r="B5288" s="14">
        <f t="shared" si="1"/>
        <v>0.1224715219</v>
      </c>
      <c r="C5288" s="39">
        <f t="array" ref="C5288">NPV(B5288,FCFF!$C$9:$I$9)+FCFF!$B$9+FCFF!$I$9*(1+Inputs!$B$6)/(B5288-Inputs!$B$6)/(1+B5288)^7</f>
        <v>-1862.22785</v>
      </c>
    </row>
    <row r="5289" ht="14.25" customHeight="1">
      <c r="A5289" s="7">
        <v>5276.0</v>
      </c>
      <c r="B5289" s="14">
        <f t="shared" si="1"/>
        <v>0.09566872873</v>
      </c>
      <c r="C5289" s="39">
        <f t="array" ref="C5289">NPV(B5289,FCFF!$C$9:$I$9)+FCFF!$B$9+FCFF!$I$9*(1+Inputs!$B$6)/(B5289-Inputs!$B$6)/(1+B5289)^7</f>
        <v>-1252.949644</v>
      </c>
    </row>
    <row r="5290" ht="14.25" customHeight="1">
      <c r="A5290" s="7">
        <v>5277.0</v>
      </c>
      <c r="B5290" s="14">
        <f t="shared" si="1"/>
        <v>0.1248639419</v>
      </c>
      <c r="C5290" s="39">
        <f t="array" ref="C5290">NPV(B5290,FCFF!$C$9:$I$9)+FCFF!$B$9+FCFF!$I$9*(1+Inputs!$B$6)/(B5290-Inputs!$B$6)/(1+B5290)^7</f>
        <v>-1899.280185</v>
      </c>
    </row>
    <row r="5291" ht="14.25" customHeight="1">
      <c r="A5291" s="7">
        <v>5278.0</v>
      </c>
      <c r="B5291" s="14">
        <f t="shared" si="1"/>
        <v>0.1233751275</v>
      </c>
      <c r="C5291" s="39">
        <f t="array" ref="C5291">NPV(B5291,FCFF!$C$9:$I$9)+FCFF!$B$9+FCFF!$I$9*(1+Inputs!$B$6)/(B5291-Inputs!$B$6)/(1+B5291)^7</f>
        <v>-1876.460715</v>
      </c>
    </row>
    <row r="5292" ht="14.25" customHeight="1">
      <c r="A5292" s="7">
        <v>5279.0</v>
      </c>
      <c r="B5292" s="14">
        <f t="shared" si="1"/>
        <v>0.1035501605</v>
      </c>
      <c r="C5292" s="39">
        <f t="array" ref="C5292">NPV(B5292,FCFF!$C$9:$I$9)+FCFF!$B$9+FCFF!$I$9*(1+Inputs!$B$6)/(B5292-Inputs!$B$6)/(1+B5292)^7</f>
        <v>-1479.312847</v>
      </c>
    </row>
    <row r="5293" ht="14.25" customHeight="1">
      <c r="A5293" s="7">
        <v>5280.0</v>
      </c>
      <c r="B5293" s="14">
        <f t="shared" si="1"/>
        <v>0.1147089447</v>
      </c>
      <c r="C5293" s="39">
        <f t="array" ref="C5293">NPV(B5293,FCFF!$C$9:$I$9)+FCFF!$B$9+FCFF!$I$9*(1+Inputs!$B$6)/(B5293-Inputs!$B$6)/(1+B5293)^7</f>
        <v>-1726.660934</v>
      </c>
    </row>
    <row r="5294" ht="14.25" customHeight="1">
      <c r="A5294" s="7">
        <v>5281.0</v>
      </c>
      <c r="B5294" s="14">
        <f t="shared" si="1"/>
        <v>0.114176611</v>
      </c>
      <c r="C5294" s="39">
        <f t="array" ref="C5294">NPV(B5294,FCFF!$C$9:$I$9)+FCFF!$B$9+FCFF!$I$9*(1+Inputs!$B$6)/(B5294-Inputs!$B$6)/(1+B5294)^7</f>
        <v>-1716.399641</v>
      </c>
    </row>
    <row r="5295" ht="14.25" customHeight="1">
      <c r="A5295" s="7">
        <v>5282.0</v>
      </c>
      <c r="B5295" s="14">
        <f t="shared" si="1"/>
        <v>0.126057396</v>
      </c>
      <c r="C5295" s="39">
        <f t="array" ref="C5295">NPV(B5295,FCFF!$C$9:$I$9)+FCFF!$B$9+FCFF!$I$9*(1+Inputs!$B$6)/(B5295-Inputs!$B$6)/(1+B5295)^7</f>
        <v>-1917.025907</v>
      </c>
    </row>
    <row r="5296" ht="14.25" customHeight="1">
      <c r="A5296" s="7">
        <v>5283.0</v>
      </c>
      <c r="B5296" s="14">
        <f t="shared" si="1"/>
        <v>0.0968380361</v>
      </c>
      <c r="C5296" s="39">
        <f t="array" ref="C5296">NPV(B5296,FCFF!$C$9:$I$9)+FCFF!$B$9+FCFF!$I$9*(1+Inputs!$B$6)/(B5296-Inputs!$B$6)/(1+B5296)^7</f>
        <v>-1289.915637</v>
      </c>
    </row>
    <row r="5297" ht="14.25" customHeight="1">
      <c r="A5297" s="7">
        <v>5284.0</v>
      </c>
      <c r="B5297" s="14">
        <f t="shared" si="1"/>
        <v>0.1263296986</v>
      </c>
      <c r="C5297" s="39">
        <f t="array" ref="C5297">NPV(B5297,FCFF!$C$9:$I$9)+FCFF!$B$9+FCFF!$I$9*(1+Inputs!$B$6)/(B5297-Inputs!$B$6)/(1+B5297)^7</f>
        <v>-1921.008698</v>
      </c>
    </row>
    <row r="5298" ht="14.25" customHeight="1">
      <c r="A5298" s="7">
        <v>5285.0</v>
      </c>
      <c r="B5298" s="14">
        <f t="shared" si="1"/>
        <v>0.09595785344</v>
      </c>
      <c r="C5298" s="39">
        <f t="array" ref="C5298">NPV(B5298,FCFF!$C$9:$I$9)+FCFF!$B$9+FCFF!$I$9*(1+Inputs!$B$6)/(B5298-Inputs!$B$6)/(1+B5298)^7</f>
        <v>-1262.211428</v>
      </c>
    </row>
    <row r="5299" ht="14.25" customHeight="1">
      <c r="A5299" s="7">
        <v>5286.0</v>
      </c>
      <c r="B5299" s="14">
        <f t="shared" si="1"/>
        <v>0.113656076</v>
      </c>
      <c r="C5299" s="39">
        <f t="array" ref="C5299">NPV(B5299,FCFF!$C$9:$I$9)+FCFF!$B$9+FCFF!$I$9*(1+Inputs!$B$6)/(B5299-Inputs!$B$6)/(1+B5299)^7</f>
        <v>-1706.233955</v>
      </c>
    </row>
    <row r="5300" ht="14.25" customHeight="1">
      <c r="A5300" s="7">
        <v>5287.0</v>
      </c>
      <c r="B5300" s="14">
        <f t="shared" si="1"/>
        <v>0.09556458226</v>
      </c>
      <c r="C5300" s="39">
        <f t="array" ref="C5300">NPV(B5300,FCFF!$C$9:$I$9)+FCFF!$B$9+FCFF!$I$9*(1+Inputs!$B$6)/(B5300-Inputs!$B$6)/(1+B5300)^7</f>
        <v>-1249.593516</v>
      </c>
    </row>
    <row r="5301" ht="14.25" customHeight="1">
      <c r="A5301" s="7">
        <v>5288.0</v>
      </c>
      <c r="B5301" s="14">
        <f t="shared" si="1"/>
        <v>0.131385246</v>
      </c>
      <c r="C5301" s="39">
        <f t="array" ref="C5301">NPV(B5301,FCFF!$C$9:$I$9)+FCFF!$B$9+FCFF!$I$9*(1+Inputs!$B$6)/(B5301-Inputs!$B$6)/(1+B5301)^7</f>
        <v>-1990.769316</v>
      </c>
    </row>
    <row r="5302" ht="14.25" customHeight="1">
      <c r="A5302" s="7">
        <v>5289.0</v>
      </c>
      <c r="B5302" s="14">
        <f t="shared" si="1"/>
        <v>0.1037678928</v>
      </c>
      <c r="C5302" s="39">
        <f t="array" ref="C5302">NPV(B5302,FCFF!$C$9:$I$9)+FCFF!$B$9+FCFF!$I$9*(1+Inputs!$B$6)/(B5302-Inputs!$B$6)/(1+B5302)^7</f>
        <v>-1484.873931</v>
      </c>
    </row>
    <row r="5303" ht="14.25" customHeight="1">
      <c r="A5303" s="7">
        <v>5290.0</v>
      </c>
      <c r="B5303" s="14">
        <f t="shared" si="1"/>
        <v>0.1297871475</v>
      </c>
      <c r="C5303" s="39">
        <f t="array" ref="C5303">NPV(B5303,FCFF!$C$9:$I$9)+FCFF!$B$9+FCFF!$I$9*(1+Inputs!$B$6)/(B5303-Inputs!$B$6)/(1+B5303)^7</f>
        <v>-1969.544397</v>
      </c>
    </row>
    <row r="5304" ht="14.25" customHeight="1">
      <c r="A5304" s="7">
        <v>5291.0</v>
      </c>
      <c r="B5304" s="14">
        <f t="shared" si="1"/>
        <v>0.1204375226</v>
      </c>
      <c r="C5304" s="39">
        <f t="array" ref="C5304">NPV(B5304,FCFF!$C$9:$I$9)+FCFF!$B$9+FCFF!$I$9*(1+Inputs!$B$6)/(B5304-Inputs!$B$6)/(1+B5304)^7</f>
        <v>-1829.081107</v>
      </c>
    </row>
    <row r="5305" ht="14.25" customHeight="1">
      <c r="A5305" s="7">
        <v>5292.0</v>
      </c>
      <c r="B5305" s="14">
        <f t="shared" si="1"/>
        <v>0.1121682145</v>
      </c>
      <c r="C5305" s="39">
        <f t="array" ref="C5305">NPV(B5305,FCFF!$C$9:$I$9)+FCFF!$B$9+FCFF!$I$9*(1+Inputs!$B$6)/(B5305-Inputs!$B$6)/(1+B5305)^7</f>
        <v>-1676.437014</v>
      </c>
    </row>
    <row r="5306" ht="14.25" customHeight="1">
      <c r="A5306" s="7">
        <v>5293.0</v>
      </c>
      <c r="B5306" s="14">
        <f t="shared" si="1"/>
        <v>0.1231010634</v>
      </c>
      <c r="C5306" s="39">
        <f t="array" ref="C5306">NPV(B5306,FCFF!$C$9:$I$9)+FCFF!$B$9+FCFF!$I$9*(1+Inputs!$B$6)/(B5306-Inputs!$B$6)/(1+B5306)^7</f>
        <v>-1872.17501</v>
      </c>
    </row>
    <row r="5307" ht="14.25" customHeight="1">
      <c r="A5307" s="7">
        <v>5294.0</v>
      </c>
      <c r="B5307" s="14">
        <f t="shared" si="1"/>
        <v>0.1230208865</v>
      </c>
      <c r="C5307" s="39">
        <f t="array" ref="C5307">NPV(B5307,FCFF!$C$9:$I$9)+FCFF!$B$9+FCFF!$I$9*(1+Inputs!$B$6)/(B5307-Inputs!$B$6)/(1+B5307)^7</f>
        <v>-1870.916141</v>
      </c>
    </row>
    <row r="5308" ht="14.25" customHeight="1">
      <c r="A5308" s="7">
        <v>5295.0</v>
      </c>
      <c r="B5308" s="14">
        <f t="shared" si="1"/>
        <v>0.1127851378</v>
      </c>
      <c r="C5308" s="39">
        <f t="array" ref="C5308">NPV(B5308,FCFF!$C$9:$I$9)+FCFF!$B$9+FCFF!$I$9*(1+Inputs!$B$6)/(B5308-Inputs!$B$6)/(1+B5308)^7</f>
        <v>-1688.927153</v>
      </c>
    </row>
    <row r="5309" ht="14.25" customHeight="1">
      <c r="A5309" s="7">
        <v>5296.0</v>
      </c>
      <c r="B5309" s="14">
        <f t="shared" si="1"/>
        <v>0.0940523993</v>
      </c>
      <c r="C5309" s="39">
        <f t="array" ref="C5309">NPV(B5309,FCFF!$C$9:$I$9)+FCFF!$B$9+FCFF!$I$9*(1+Inputs!$B$6)/(B5309-Inputs!$B$6)/(1+B5309)^7</f>
        <v>-1199.641847</v>
      </c>
    </row>
    <row r="5310" ht="14.25" customHeight="1">
      <c r="A5310" s="7">
        <v>5297.0</v>
      </c>
      <c r="B5310" s="14">
        <f t="shared" si="1"/>
        <v>0.106936622</v>
      </c>
      <c r="C5310" s="39">
        <f t="array" ref="C5310">NPV(B5310,FCFF!$C$9:$I$9)+FCFF!$B$9+FCFF!$I$9*(1+Inputs!$B$6)/(B5310-Inputs!$B$6)/(1+B5310)^7</f>
        <v>-1562.178293</v>
      </c>
    </row>
    <row r="5311" ht="14.25" customHeight="1">
      <c r="A5311" s="7">
        <v>5298.0</v>
      </c>
      <c r="B5311" s="14">
        <f t="shared" si="1"/>
        <v>0.1072907803</v>
      </c>
      <c r="C5311" s="39">
        <f t="array" ref="C5311">NPV(B5311,FCFF!$C$9:$I$9)+FCFF!$B$9+FCFF!$I$9*(1+Inputs!$B$6)/(B5311-Inputs!$B$6)/(1+B5311)^7</f>
        <v>-1570.415938</v>
      </c>
    </row>
    <row r="5312" ht="14.25" customHeight="1">
      <c r="A5312" s="7">
        <v>5299.0</v>
      </c>
      <c r="B5312" s="14">
        <f t="shared" si="1"/>
        <v>0.1218091379</v>
      </c>
      <c r="C5312" s="39">
        <f t="array" ref="C5312">NPV(B5312,FCFF!$C$9:$I$9)+FCFF!$B$9+FCFF!$I$9*(1+Inputs!$B$6)/(B5312-Inputs!$B$6)/(1+B5312)^7</f>
        <v>-1851.604799</v>
      </c>
    </row>
    <row r="5313" ht="14.25" customHeight="1">
      <c r="A5313" s="7">
        <v>5300.0</v>
      </c>
      <c r="B5313" s="14">
        <f t="shared" si="1"/>
        <v>0.1318934414</v>
      </c>
      <c r="C5313" s="39">
        <f t="array" ref="C5313">NPV(B5313,FCFF!$C$9:$I$9)+FCFF!$B$9+FCFF!$I$9*(1+Inputs!$B$6)/(B5313-Inputs!$B$6)/(1+B5313)^7</f>
        <v>-1997.367166</v>
      </c>
    </row>
    <row r="5314" ht="14.25" customHeight="1">
      <c r="A5314" s="7">
        <v>5301.0</v>
      </c>
      <c r="B5314" s="14">
        <f t="shared" si="1"/>
        <v>0.1110428577</v>
      </c>
      <c r="C5314" s="39">
        <f t="array" ref="C5314">NPV(B5314,FCFF!$C$9:$I$9)+FCFF!$B$9+FCFF!$I$9*(1+Inputs!$B$6)/(B5314-Inputs!$B$6)/(1+B5314)^7</f>
        <v>-1653.144603</v>
      </c>
    </row>
    <row r="5315" ht="14.25" customHeight="1">
      <c r="A5315" s="7">
        <v>5302.0</v>
      </c>
      <c r="B5315" s="14">
        <f t="shared" si="1"/>
        <v>0.1048563367</v>
      </c>
      <c r="C5315" s="39">
        <f t="array" ref="C5315">NPV(B5315,FCFF!$C$9:$I$9)+FCFF!$B$9+FCFF!$I$9*(1+Inputs!$B$6)/(B5315-Inputs!$B$6)/(1+B5315)^7</f>
        <v>-1512.180464</v>
      </c>
    </row>
    <row r="5316" ht="14.25" customHeight="1">
      <c r="A5316" s="7">
        <v>5303.0</v>
      </c>
      <c r="B5316" s="14">
        <f t="shared" si="1"/>
        <v>0.1179854851</v>
      </c>
      <c r="C5316" s="39">
        <f t="array" ref="C5316">NPV(B5316,FCFF!$C$9:$I$9)+FCFF!$B$9+FCFF!$I$9*(1+Inputs!$B$6)/(B5316-Inputs!$B$6)/(1+B5316)^7</f>
        <v>-1786.95989</v>
      </c>
    </row>
    <row r="5317" ht="14.25" customHeight="1">
      <c r="A5317" s="7">
        <v>5304.0</v>
      </c>
      <c r="B5317" s="14">
        <f t="shared" si="1"/>
        <v>0.1007345034</v>
      </c>
      <c r="C5317" s="39">
        <f t="array" ref="C5317">NPV(B5317,FCFF!$C$9:$I$9)+FCFF!$B$9+FCFF!$I$9*(1+Inputs!$B$6)/(B5317-Inputs!$B$6)/(1+B5317)^7</f>
        <v>-1404.271453</v>
      </c>
    </row>
    <row r="5318" ht="14.25" customHeight="1">
      <c r="A5318" s="7">
        <v>5305.0</v>
      </c>
      <c r="B5318" s="14">
        <f t="shared" si="1"/>
        <v>0.1021070263</v>
      </c>
      <c r="C5318" s="39">
        <f t="array" ref="C5318">NPV(B5318,FCFF!$C$9:$I$9)+FCFF!$B$9+FCFF!$I$9*(1+Inputs!$B$6)/(B5318-Inputs!$B$6)/(1+B5318)^7</f>
        <v>-1441.592161</v>
      </c>
    </row>
    <row r="5319" ht="14.25" customHeight="1">
      <c r="A5319" s="7">
        <v>5306.0</v>
      </c>
      <c r="B5319" s="14">
        <f t="shared" si="1"/>
        <v>0.1300583313</v>
      </c>
      <c r="C5319" s="39">
        <f t="array" ref="C5319">NPV(B5319,FCFF!$C$9:$I$9)+FCFF!$B$9+FCFF!$I$9*(1+Inputs!$B$6)/(B5319-Inputs!$B$6)/(1+B5319)^7</f>
        <v>-1973.197986</v>
      </c>
    </row>
    <row r="5320" ht="14.25" customHeight="1">
      <c r="A5320" s="7">
        <v>5307.0</v>
      </c>
      <c r="B5320" s="14">
        <f t="shared" si="1"/>
        <v>0.1182833494</v>
      </c>
      <c r="C5320" s="39">
        <f t="array" ref="C5320">NPV(B5320,FCFF!$C$9:$I$9)+FCFF!$B$9+FCFF!$I$9*(1+Inputs!$B$6)/(B5320-Inputs!$B$6)/(1+B5320)^7</f>
        <v>-1792.2085</v>
      </c>
    </row>
    <row r="5321" ht="14.25" customHeight="1">
      <c r="A5321" s="7">
        <v>5308.0</v>
      </c>
      <c r="B5321" s="14">
        <f t="shared" si="1"/>
        <v>0.12180938</v>
      </c>
      <c r="C5321" s="39">
        <f t="array" ref="C5321">NPV(B5321,FCFF!$C$9:$I$9)+FCFF!$B$9+FCFF!$I$9*(1+Inputs!$B$6)/(B5321-Inputs!$B$6)/(1+B5321)^7</f>
        <v>-1851.608711</v>
      </c>
    </row>
    <row r="5322" ht="14.25" customHeight="1">
      <c r="A5322" s="7">
        <v>5309.0</v>
      </c>
      <c r="B5322" s="14">
        <f t="shared" si="1"/>
        <v>0.1135214046</v>
      </c>
      <c r="C5322" s="39">
        <f t="array" ref="C5322">NPV(B5322,FCFF!$C$9:$I$9)+FCFF!$B$9+FCFF!$I$9*(1+Inputs!$B$6)/(B5322-Inputs!$B$6)/(1+B5322)^7</f>
        <v>-1703.582402</v>
      </c>
    </row>
    <row r="5323" ht="14.25" customHeight="1">
      <c r="A5323" s="7">
        <v>5310.0</v>
      </c>
      <c r="B5323" s="14">
        <f t="shared" si="1"/>
        <v>0.116675308</v>
      </c>
      <c r="C5323" s="39">
        <f t="array" ref="C5323">NPV(B5323,FCFF!$C$9:$I$9)+FCFF!$B$9+FCFF!$I$9*(1+Inputs!$B$6)/(B5323-Inputs!$B$6)/(1+B5323)^7</f>
        <v>-1763.422396</v>
      </c>
    </row>
    <row r="5324" ht="14.25" customHeight="1">
      <c r="A5324" s="7">
        <v>5311.0</v>
      </c>
      <c r="B5324" s="14">
        <f t="shared" si="1"/>
        <v>0.1287551593</v>
      </c>
      <c r="C5324" s="39">
        <f t="array" ref="C5324">NPV(B5324,FCFF!$C$9:$I$9)+FCFF!$B$9+FCFF!$I$9*(1+Inputs!$B$6)/(B5324-Inputs!$B$6)/(1+B5324)^7</f>
        <v>-1955.441678</v>
      </c>
    </row>
    <row r="5325" ht="14.25" customHeight="1">
      <c r="A5325" s="7">
        <v>5312.0</v>
      </c>
      <c r="B5325" s="14">
        <f t="shared" si="1"/>
        <v>0.1225307834</v>
      </c>
      <c r="C5325" s="39">
        <f t="array" ref="C5325">NPV(B5325,FCFF!$C$9:$I$9)+FCFF!$B$9+FCFF!$I$9*(1+Inputs!$B$6)/(B5325-Inputs!$B$6)/(1+B5325)^7</f>
        <v>-1863.170373</v>
      </c>
    </row>
    <row r="5326" ht="14.25" customHeight="1">
      <c r="A5326" s="7">
        <v>5313.0</v>
      </c>
      <c r="B5326" s="14">
        <f t="shared" si="1"/>
        <v>0.1116636284</v>
      </c>
      <c r="C5326" s="39">
        <f t="array" ref="C5326">NPV(B5326,FCFF!$C$9:$I$9)+FCFF!$B$9+FCFF!$I$9*(1+Inputs!$B$6)/(B5326-Inputs!$B$6)/(1+B5326)^7</f>
        <v>-1666.075511</v>
      </c>
    </row>
    <row r="5327" ht="14.25" customHeight="1">
      <c r="A5327" s="7">
        <v>5314.0</v>
      </c>
      <c r="B5327" s="14">
        <f t="shared" si="1"/>
        <v>0.1125105072</v>
      </c>
      <c r="C5327" s="39">
        <f t="array" ref="C5327">NPV(B5327,FCFF!$C$9:$I$9)+FCFF!$B$9+FCFF!$I$9*(1+Inputs!$B$6)/(B5327-Inputs!$B$6)/(1+B5327)^7</f>
        <v>-1683.390992</v>
      </c>
    </row>
    <row r="5328" ht="14.25" customHeight="1">
      <c r="A5328" s="7">
        <v>5315.0</v>
      </c>
      <c r="B5328" s="14">
        <f t="shared" si="1"/>
        <v>0.09618354488</v>
      </c>
      <c r="C5328" s="39">
        <f t="array" ref="C5328">NPV(B5328,FCFF!$C$9:$I$9)+FCFF!$B$9+FCFF!$I$9*(1+Inputs!$B$6)/(B5328-Inputs!$B$6)/(1+B5328)^7</f>
        <v>-1269.385203</v>
      </c>
    </row>
    <row r="5329" ht="14.25" customHeight="1">
      <c r="A5329" s="7">
        <v>5316.0</v>
      </c>
      <c r="B5329" s="14">
        <f t="shared" si="1"/>
        <v>0.09309685927</v>
      </c>
      <c r="C5329" s="39">
        <f t="array" ref="C5329">NPV(B5329,FCFF!$C$9:$I$9)+FCFF!$B$9+FCFF!$I$9*(1+Inputs!$B$6)/(B5329-Inputs!$B$6)/(1+B5329)^7</f>
        <v>-1166.854384</v>
      </c>
    </row>
    <row r="5330" ht="14.25" customHeight="1">
      <c r="A5330" s="7">
        <v>5317.0</v>
      </c>
      <c r="B5330" s="14">
        <f t="shared" si="1"/>
        <v>0.1097672431</v>
      </c>
      <c r="C5330" s="39">
        <f t="array" ref="C5330">NPV(B5330,FCFF!$C$9:$I$9)+FCFF!$B$9+FCFF!$I$9*(1+Inputs!$B$6)/(B5330-Inputs!$B$6)/(1+B5330)^7</f>
        <v>-1625.919006</v>
      </c>
    </row>
    <row r="5331" ht="14.25" customHeight="1">
      <c r="A5331" s="7">
        <v>5318.0</v>
      </c>
      <c r="B5331" s="14">
        <f t="shared" si="1"/>
        <v>0.101908661</v>
      </c>
      <c r="C5331" s="39">
        <f t="array" ref="C5331">NPV(B5331,FCFF!$C$9:$I$9)+FCFF!$B$9+FCFF!$I$9*(1+Inputs!$B$6)/(B5331-Inputs!$B$6)/(1+B5331)^7</f>
        <v>-1436.287357</v>
      </c>
    </row>
    <row r="5332" ht="14.25" customHeight="1">
      <c r="A5332" s="7">
        <v>5319.0</v>
      </c>
      <c r="B5332" s="14">
        <f t="shared" si="1"/>
        <v>0.1328537773</v>
      </c>
      <c r="C5332" s="39">
        <f t="array" ref="C5332">NPV(B5332,FCFF!$C$9:$I$9)+FCFF!$B$9+FCFF!$I$9*(1+Inputs!$B$6)/(B5332-Inputs!$B$6)/(1+B5332)^7</f>
        <v>-2009.641098</v>
      </c>
    </row>
    <row r="5333" ht="14.25" customHeight="1">
      <c r="A5333" s="7">
        <v>5320.0</v>
      </c>
      <c r="B5333" s="14">
        <f t="shared" si="1"/>
        <v>0.102544309</v>
      </c>
      <c r="C5333" s="39">
        <f t="array" ref="C5333">NPV(B5333,FCFF!$C$9:$I$9)+FCFF!$B$9+FCFF!$I$9*(1+Inputs!$B$6)/(B5333-Inputs!$B$6)/(1+B5333)^7</f>
        <v>-1453.182526</v>
      </c>
    </row>
    <row r="5334" ht="14.25" customHeight="1">
      <c r="A5334" s="7">
        <v>5321.0</v>
      </c>
      <c r="B5334" s="14">
        <f t="shared" si="1"/>
        <v>0.1269862258</v>
      </c>
      <c r="C5334" s="39">
        <f t="array" ref="C5334">NPV(B5334,FCFF!$C$9:$I$9)+FCFF!$B$9+FCFF!$I$9*(1+Inputs!$B$6)/(B5334-Inputs!$B$6)/(1+B5334)^7</f>
        <v>-1930.512402</v>
      </c>
    </row>
    <row r="5335" ht="14.25" customHeight="1">
      <c r="A5335" s="7">
        <v>5322.0</v>
      </c>
      <c r="B5335" s="14">
        <f t="shared" si="1"/>
        <v>0.1102224516</v>
      </c>
      <c r="C5335" s="39">
        <f t="array" ref="C5335">NPV(B5335,FCFF!$C$9:$I$9)+FCFF!$B$9+FCFF!$I$9*(1+Inputs!$B$6)/(B5335-Inputs!$B$6)/(1+B5335)^7</f>
        <v>-1635.737277</v>
      </c>
    </row>
    <row r="5336" ht="14.25" customHeight="1">
      <c r="A5336" s="7">
        <v>5323.0</v>
      </c>
      <c r="B5336" s="14">
        <f t="shared" si="1"/>
        <v>0.09715312388</v>
      </c>
      <c r="C5336" s="39">
        <f t="array" ref="C5336">NPV(B5336,FCFF!$C$9:$I$9)+FCFF!$B$9+FCFF!$I$9*(1+Inputs!$B$6)/(B5336-Inputs!$B$6)/(1+B5336)^7</f>
        <v>-1299.657087</v>
      </c>
    </row>
    <row r="5337" ht="14.25" customHeight="1">
      <c r="A5337" s="7">
        <v>5324.0</v>
      </c>
      <c r="B5337" s="14">
        <f t="shared" si="1"/>
        <v>0.1135217921</v>
      </c>
      <c r="C5337" s="39">
        <f t="array" ref="C5337">NPV(B5337,FCFF!$C$9:$I$9)+FCFF!$B$9+FCFF!$I$9*(1+Inputs!$B$6)/(B5337-Inputs!$B$6)/(1+B5337)^7</f>
        <v>-1703.590045</v>
      </c>
    </row>
    <row r="5338" ht="14.25" customHeight="1">
      <c r="A5338" s="7">
        <v>5325.0</v>
      </c>
      <c r="B5338" s="14">
        <f t="shared" si="1"/>
        <v>0.0970150705</v>
      </c>
      <c r="C5338" s="39">
        <f t="array" ref="C5338">NPV(B5338,FCFF!$C$9:$I$9)+FCFF!$B$9+FCFF!$I$9*(1+Inputs!$B$6)/(B5338-Inputs!$B$6)/(1+B5338)^7</f>
        <v>-1295.400202</v>
      </c>
    </row>
    <row r="5339" ht="14.25" customHeight="1">
      <c r="A5339" s="7">
        <v>5326.0</v>
      </c>
      <c r="B5339" s="14">
        <f t="shared" si="1"/>
        <v>0.1138187013</v>
      </c>
      <c r="C5339" s="39">
        <f t="array" ref="C5339">NPV(B5339,FCFF!$C$9:$I$9)+FCFF!$B$9+FCFF!$I$9*(1+Inputs!$B$6)/(B5339-Inputs!$B$6)/(1+B5339)^7</f>
        <v>-1709.424056</v>
      </c>
    </row>
    <row r="5340" ht="14.25" customHeight="1">
      <c r="A5340" s="7">
        <v>5327.0</v>
      </c>
      <c r="B5340" s="14">
        <f t="shared" si="1"/>
        <v>0.09758133711</v>
      </c>
      <c r="C5340" s="39">
        <f t="array" ref="C5340">NPV(B5340,FCFF!$C$9:$I$9)+FCFF!$B$9+FCFF!$I$9*(1+Inputs!$B$6)/(B5340-Inputs!$B$6)/(1+B5340)^7</f>
        <v>-1312.750524</v>
      </c>
    </row>
    <row r="5341" ht="14.25" customHeight="1">
      <c r="A5341" s="7">
        <v>5328.0</v>
      </c>
      <c r="B5341" s="14">
        <f t="shared" si="1"/>
        <v>0.1277526072</v>
      </c>
      <c r="C5341" s="39">
        <f t="array" ref="C5341">NPV(B5341,FCFF!$C$9:$I$9)+FCFF!$B$9+FCFF!$I$9*(1+Inputs!$B$6)/(B5341-Inputs!$B$6)/(1+B5341)^7</f>
        <v>-1941.432458</v>
      </c>
    </row>
    <row r="5342" ht="14.25" customHeight="1">
      <c r="A5342" s="7">
        <v>5329.0</v>
      </c>
      <c r="B5342" s="14">
        <f t="shared" si="1"/>
        <v>0.1036337944</v>
      </c>
      <c r="C5342" s="39">
        <f t="array" ref="C5342">NPV(B5342,FCFF!$C$9:$I$9)+FCFF!$B$9+FCFF!$I$9*(1+Inputs!$B$6)/(B5342-Inputs!$B$6)/(1+B5342)^7</f>
        <v>-1481.452888</v>
      </c>
    </row>
    <row r="5343" ht="14.25" customHeight="1">
      <c r="A5343" s="7">
        <v>5330.0</v>
      </c>
      <c r="B5343" s="14">
        <f t="shared" si="1"/>
        <v>0.1250347134</v>
      </c>
      <c r="C5343" s="39">
        <f t="array" ref="C5343">NPV(B5343,FCFF!$C$9:$I$9)+FCFF!$B$9+FCFF!$I$9*(1+Inputs!$B$6)/(B5343-Inputs!$B$6)/(1+B5343)^7</f>
        <v>-1901.848743</v>
      </c>
    </row>
    <row r="5344" ht="14.25" customHeight="1">
      <c r="A5344" s="7">
        <v>5331.0</v>
      </c>
      <c r="B5344" s="14">
        <f t="shared" si="1"/>
        <v>0.1188893325</v>
      </c>
      <c r="C5344" s="39">
        <f t="array" ref="C5344">NPV(B5344,FCFF!$C$9:$I$9)+FCFF!$B$9+FCFF!$I$9*(1+Inputs!$B$6)/(B5344-Inputs!$B$6)/(1+B5344)^7</f>
        <v>-1802.771945</v>
      </c>
    </row>
    <row r="5345" ht="14.25" customHeight="1">
      <c r="A5345" s="7">
        <v>5332.0</v>
      </c>
      <c r="B5345" s="14">
        <f t="shared" si="1"/>
        <v>0.1231009579</v>
      </c>
      <c r="C5345" s="39">
        <f t="array" ref="C5345">NPV(B5345,FCFF!$C$9:$I$9)+FCFF!$B$9+FCFF!$I$9*(1+Inputs!$B$6)/(B5345-Inputs!$B$6)/(1+B5345)^7</f>
        <v>-1872.173356</v>
      </c>
    </row>
    <row r="5346" ht="14.25" customHeight="1">
      <c r="A5346" s="7">
        <v>5333.0</v>
      </c>
      <c r="B5346" s="14">
        <f t="shared" si="1"/>
        <v>0.1198050824</v>
      </c>
      <c r="C5346" s="39">
        <f t="array" ref="C5346">NPV(B5346,FCFF!$C$9:$I$9)+FCFF!$B$9+FCFF!$I$9*(1+Inputs!$B$6)/(B5346-Inputs!$B$6)/(1+B5346)^7</f>
        <v>-1818.449681</v>
      </c>
    </row>
    <row r="5347" ht="14.25" customHeight="1">
      <c r="A5347" s="7">
        <v>5334.0</v>
      </c>
      <c r="B5347" s="14">
        <f t="shared" si="1"/>
        <v>0.1235654638</v>
      </c>
      <c r="C5347" s="39">
        <f t="array" ref="C5347">NPV(B5347,FCFF!$C$9:$I$9)+FCFF!$B$9+FCFF!$I$9*(1+Inputs!$B$6)/(B5347-Inputs!$B$6)/(1+B5347)^7</f>
        <v>-1879.421348</v>
      </c>
    </row>
    <row r="5348" ht="14.25" customHeight="1">
      <c r="A5348" s="7">
        <v>5335.0</v>
      </c>
      <c r="B5348" s="14">
        <f t="shared" si="1"/>
        <v>0.1064458939</v>
      </c>
      <c r="C5348" s="39">
        <f t="array" ref="C5348">NPV(B5348,FCFF!$C$9:$I$9)+FCFF!$B$9+FCFF!$I$9*(1+Inputs!$B$6)/(B5348-Inputs!$B$6)/(1+B5348)^7</f>
        <v>-1550.634796</v>
      </c>
    </row>
    <row r="5349" ht="14.25" customHeight="1">
      <c r="A5349" s="7">
        <v>5336.0</v>
      </c>
      <c r="B5349" s="14">
        <f t="shared" si="1"/>
        <v>0.1283514201</v>
      </c>
      <c r="C5349" s="39">
        <f t="array" ref="C5349">NPV(B5349,FCFF!$C$9:$I$9)+FCFF!$B$9+FCFF!$I$9*(1+Inputs!$B$6)/(B5349-Inputs!$B$6)/(1+B5349)^7</f>
        <v>-1949.837123</v>
      </c>
    </row>
    <row r="5350" ht="14.25" customHeight="1">
      <c r="A5350" s="7">
        <v>5337.0</v>
      </c>
      <c r="B5350" s="14">
        <f t="shared" si="1"/>
        <v>0.1124585732</v>
      </c>
      <c r="C5350" s="39">
        <f t="array" ref="C5350">NPV(B5350,FCFF!$C$9:$I$9)+FCFF!$B$9+FCFF!$I$9*(1+Inputs!$B$6)/(B5350-Inputs!$B$6)/(1+B5350)^7</f>
        <v>-1682.339767</v>
      </c>
    </row>
    <row r="5351" ht="14.25" customHeight="1">
      <c r="A5351" s="7">
        <v>5338.0</v>
      </c>
      <c r="B5351" s="14">
        <f t="shared" si="1"/>
        <v>0.104082671</v>
      </c>
      <c r="C5351" s="39">
        <f t="array" ref="C5351">NPV(B5351,FCFF!$C$9:$I$9)+FCFF!$B$9+FCFF!$I$9*(1+Inputs!$B$6)/(B5351-Inputs!$B$6)/(1+B5351)^7</f>
        <v>-1492.854916</v>
      </c>
    </row>
    <row r="5352" ht="14.25" customHeight="1">
      <c r="A5352" s="7">
        <v>5339.0</v>
      </c>
      <c r="B5352" s="14">
        <f t="shared" si="1"/>
        <v>0.128565085</v>
      </c>
      <c r="C5352" s="39">
        <f t="array" ref="C5352">NPV(B5352,FCFF!$C$9:$I$9)+FCFF!$B$9+FCFF!$I$9*(1+Inputs!$B$6)/(B5352-Inputs!$B$6)/(1+B5352)^7</f>
        <v>-1952.809323</v>
      </c>
    </row>
    <row r="5353" ht="14.25" customHeight="1">
      <c r="A5353" s="7">
        <v>5340.0</v>
      </c>
      <c r="B5353" s="14">
        <f t="shared" si="1"/>
        <v>0.1032565496</v>
      </c>
      <c r="C5353" s="39">
        <f t="array" ref="C5353">NPV(B5353,FCFF!$C$9:$I$9)+FCFF!$B$9+FCFF!$I$9*(1+Inputs!$B$6)/(B5353-Inputs!$B$6)/(1+B5353)^7</f>
        <v>-1471.760581</v>
      </c>
    </row>
    <row r="5354" ht="14.25" customHeight="1">
      <c r="A5354" s="7">
        <v>5341.0</v>
      </c>
      <c r="B5354" s="14">
        <f t="shared" si="1"/>
        <v>0.1068551074</v>
      </c>
      <c r="C5354" s="39">
        <f t="array" ref="C5354">NPV(B5354,FCFF!$C$9:$I$9)+FCFF!$B$9+FCFF!$I$9*(1+Inputs!$B$6)/(B5354-Inputs!$B$6)/(1+B5354)^7</f>
        <v>-1560.271266</v>
      </c>
    </row>
    <row r="5355" ht="14.25" customHeight="1">
      <c r="A5355" s="7">
        <v>5342.0</v>
      </c>
      <c r="B5355" s="14">
        <f t="shared" si="1"/>
        <v>0.1244570909</v>
      </c>
      <c r="C5355" s="39">
        <f t="array" ref="C5355">NPV(B5355,FCFF!$C$9:$I$9)+FCFF!$B$9+FCFF!$I$9*(1+Inputs!$B$6)/(B5355-Inputs!$B$6)/(1+B5355)^7</f>
        <v>-1893.120678</v>
      </c>
    </row>
    <row r="5356" ht="14.25" customHeight="1">
      <c r="A5356" s="7">
        <v>5343.0</v>
      </c>
      <c r="B5356" s="14">
        <f t="shared" si="1"/>
        <v>0.106409841</v>
      </c>
      <c r="C5356" s="39">
        <f t="array" ref="C5356">NPV(B5356,FCFF!$C$9:$I$9)+FCFF!$B$9+FCFF!$I$9*(1+Inputs!$B$6)/(B5356-Inputs!$B$6)/(1+B5356)^7</f>
        <v>-1549.780731</v>
      </c>
    </row>
    <row r="5357" ht="14.25" customHeight="1">
      <c r="A5357" s="7">
        <v>5344.0</v>
      </c>
      <c r="B5357" s="14">
        <f t="shared" si="1"/>
        <v>0.1291028582</v>
      </c>
      <c r="C5357" s="39">
        <f t="array" ref="C5357">NPV(B5357,FCFF!$C$9:$I$9)+FCFF!$B$9+FCFF!$I$9*(1+Inputs!$B$6)/(B5357-Inputs!$B$6)/(1+B5357)^7</f>
        <v>-1960.228724</v>
      </c>
    </row>
    <row r="5358" ht="14.25" customHeight="1">
      <c r="A5358" s="7">
        <v>5345.0</v>
      </c>
      <c r="B5358" s="14">
        <f t="shared" si="1"/>
        <v>0.1024315728</v>
      </c>
      <c r="C5358" s="39">
        <f t="array" ref="C5358">NPV(B5358,FCFF!$C$9:$I$9)+FCFF!$B$9+FCFF!$I$9*(1+Inputs!$B$6)/(B5358-Inputs!$B$6)/(1+B5358)^7</f>
        <v>-1450.207963</v>
      </c>
    </row>
    <row r="5359" ht="14.25" customHeight="1">
      <c r="A5359" s="7">
        <v>5346.0</v>
      </c>
      <c r="B5359" s="14">
        <f t="shared" si="1"/>
        <v>0.1097756695</v>
      </c>
      <c r="C5359" s="39">
        <f t="array" ref="C5359">NPV(B5359,FCFF!$C$9:$I$9)+FCFF!$B$9+FCFF!$I$9*(1+Inputs!$B$6)/(B5359-Inputs!$B$6)/(1+B5359)^7</f>
        <v>-1626.101804</v>
      </c>
    </row>
    <row r="5360" ht="14.25" customHeight="1">
      <c r="A5360" s="7">
        <v>5347.0</v>
      </c>
      <c r="B5360" s="14">
        <f t="shared" si="1"/>
        <v>0.09722002412</v>
      </c>
      <c r="C5360" s="39">
        <f t="array" ref="C5360">NPV(B5360,FCFF!$C$9:$I$9)+FCFF!$B$9+FCFF!$I$9*(1+Inputs!$B$6)/(B5360-Inputs!$B$6)/(1+B5360)^7</f>
        <v>-1301.713678</v>
      </c>
    </row>
    <row r="5361" ht="14.25" customHeight="1">
      <c r="A5361" s="7">
        <v>5348.0</v>
      </c>
      <c r="B5361" s="14">
        <f t="shared" si="1"/>
        <v>0.1289907409</v>
      </c>
      <c r="C5361" s="39">
        <f t="array" ref="C5361">NPV(B5361,FCFF!$C$9:$I$9)+FCFF!$B$9+FCFF!$I$9*(1+Inputs!$B$6)/(B5361-Inputs!$B$6)/(1+B5361)^7</f>
        <v>-1958.689093</v>
      </c>
    </row>
    <row r="5362" ht="14.25" customHeight="1">
      <c r="A5362" s="7">
        <v>5349.0</v>
      </c>
      <c r="B5362" s="14">
        <f t="shared" si="1"/>
        <v>0.1162847997</v>
      </c>
      <c r="C5362" s="39">
        <f t="array" ref="C5362">NPV(B5362,FCFF!$C$9:$I$9)+FCFF!$B$9+FCFF!$I$9*(1+Inputs!$B$6)/(B5362-Inputs!$B$6)/(1+B5362)^7</f>
        <v>-1756.261492</v>
      </c>
    </row>
    <row r="5363" ht="14.25" customHeight="1">
      <c r="A5363" s="7">
        <v>5350.0</v>
      </c>
      <c r="B5363" s="14">
        <f t="shared" si="1"/>
        <v>0.09441553864</v>
      </c>
      <c r="C5363" s="39">
        <f t="array" ref="C5363">NPV(B5363,FCFF!$C$9:$I$9)+FCFF!$B$9+FCFF!$I$9*(1+Inputs!$B$6)/(B5363-Inputs!$B$6)/(1+B5363)^7</f>
        <v>-1211.849683</v>
      </c>
    </row>
    <row r="5364" ht="14.25" customHeight="1">
      <c r="A5364" s="7">
        <v>5351.0</v>
      </c>
      <c r="B5364" s="14">
        <f t="shared" si="1"/>
        <v>0.1189960616</v>
      </c>
      <c r="C5364" s="39">
        <f t="array" ref="C5364">NPV(B5364,FCFF!$C$9:$I$9)+FCFF!$B$9+FCFF!$I$9*(1+Inputs!$B$6)/(B5364-Inputs!$B$6)/(1+B5364)^7</f>
        <v>-1804.616714</v>
      </c>
    </row>
    <row r="5365" ht="14.25" customHeight="1">
      <c r="A5365" s="7">
        <v>5352.0</v>
      </c>
      <c r="B5365" s="14">
        <f t="shared" si="1"/>
        <v>0.1272191941</v>
      </c>
      <c r="C5365" s="39">
        <f t="array" ref="C5365">NPV(B5365,FCFF!$C$9:$I$9)+FCFF!$B$9+FCFF!$I$9*(1+Inputs!$B$6)/(B5365-Inputs!$B$6)/(1+B5365)^7</f>
        <v>-1933.85157</v>
      </c>
    </row>
    <row r="5366" ht="14.25" customHeight="1">
      <c r="A5366" s="7">
        <v>5353.0</v>
      </c>
      <c r="B5366" s="14">
        <f t="shared" si="1"/>
        <v>0.100960757</v>
      </c>
      <c r="C5366" s="39">
        <f t="array" ref="C5366">NPV(B5366,FCFF!$C$9:$I$9)+FCFF!$B$9+FCFF!$I$9*(1+Inputs!$B$6)/(B5366-Inputs!$B$6)/(1+B5366)^7</f>
        <v>-1410.523948</v>
      </c>
    </row>
    <row r="5367" ht="14.25" customHeight="1">
      <c r="A5367" s="7">
        <v>5354.0</v>
      </c>
      <c r="B5367" s="14">
        <f t="shared" si="1"/>
        <v>0.1277571082</v>
      </c>
      <c r="C5367" s="39">
        <f t="array" ref="C5367">NPV(B5367,FCFF!$C$9:$I$9)+FCFF!$B$9+FCFF!$I$9*(1+Inputs!$B$6)/(B5367-Inputs!$B$6)/(1+B5367)^7</f>
        <v>-1941.496047</v>
      </c>
    </row>
    <row r="5368" ht="14.25" customHeight="1">
      <c r="A5368" s="7">
        <v>5355.0</v>
      </c>
      <c r="B5368" s="14">
        <f t="shared" si="1"/>
        <v>0.09340206731</v>
      </c>
      <c r="C5368" s="39">
        <f t="array" ref="C5368">NPV(B5368,FCFF!$C$9:$I$9)+FCFF!$B$9+FCFF!$I$9*(1+Inputs!$B$6)/(B5368-Inputs!$B$6)/(1+B5368)^7</f>
        <v>-1177.433247</v>
      </c>
    </row>
    <row r="5369" ht="14.25" customHeight="1">
      <c r="A5369" s="7">
        <v>5356.0</v>
      </c>
      <c r="B5369" s="14">
        <f t="shared" si="1"/>
        <v>0.1236115275</v>
      </c>
      <c r="C5369" s="39">
        <f t="array" ref="C5369">NPV(B5369,FCFF!$C$9:$I$9)+FCFF!$B$9+FCFF!$I$9*(1+Inputs!$B$6)/(B5369-Inputs!$B$6)/(1+B5369)^7</f>
        <v>-1880.135925</v>
      </c>
    </row>
    <row r="5370" ht="14.25" customHeight="1">
      <c r="A5370" s="7">
        <v>5357.0</v>
      </c>
      <c r="B5370" s="14">
        <f t="shared" si="1"/>
        <v>0.1199731291</v>
      </c>
      <c r="C5370" s="39">
        <f t="array" ref="C5370">NPV(B5370,FCFF!$C$9:$I$9)+FCFF!$B$9+FCFF!$I$9*(1+Inputs!$B$6)/(B5370-Inputs!$B$6)/(1+B5370)^7</f>
        <v>-1821.290015</v>
      </c>
    </row>
    <row r="5371" ht="14.25" customHeight="1">
      <c r="A5371" s="7">
        <v>5358.0</v>
      </c>
      <c r="B5371" s="14">
        <f t="shared" si="1"/>
        <v>0.1086888625</v>
      </c>
      <c r="C5371" s="39">
        <f t="array" ref="C5371">NPV(B5371,FCFF!$C$9:$I$9)+FCFF!$B$9+FCFF!$I$9*(1+Inputs!$B$6)/(B5371-Inputs!$B$6)/(1+B5371)^7</f>
        <v>-1602.191929</v>
      </c>
    </row>
    <row r="5372" ht="14.25" customHeight="1">
      <c r="A5372" s="7">
        <v>5359.0</v>
      </c>
      <c r="B5372" s="14">
        <f t="shared" si="1"/>
        <v>0.0985351876</v>
      </c>
      <c r="C5372" s="39">
        <f t="array" ref="C5372">NPV(B5372,FCFF!$C$9:$I$9)+FCFF!$B$9+FCFF!$I$9*(1+Inputs!$B$6)/(B5372-Inputs!$B$6)/(1+B5372)^7</f>
        <v>-1341.327855</v>
      </c>
    </row>
    <row r="5373" ht="14.25" customHeight="1">
      <c r="A5373" s="7">
        <v>5360.0</v>
      </c>
      <c r="B5373" s="14">
        <f t="shared" si="1"/>
        <v>0.1213135566</v>
      </c>
      <c r="C5373" s="39">
        <f t="array" ref="C5373">NPV(B5373,FCFF!$C$9:$I$9)+FCFF!$B$9+FCFF!$I$9*(1+Inputs!$B$6)/(B5373-Inputs!$B$6)/(1+B5373)^7</f>
        <v>-1843.549614</v>
      </c>
    </row>
    <row r="5374" ht="14.25" customHeight="1">
      <c r="A5374" s="7">
        <v>5361.0</v>
      </c>
      <c r="B5374" s="14">
        <f t="shared" si="1"/>
        <v>0.1274831547</v>
      </c>
      <c r="C5374" s="39">
        <f t="array" ref="C5374">NPV(B5374,FCFF!$C$9:$I$9)+FCFF!$B$9+FCFF!$I$9*(1+Inputs!$B$6)/(B5374-Inputs!$B$6)/(1+B5374)^7</f>
        <v>-1937.614172</v>
      </c>
    </row>
    <row r="5375" ht="14.25" customHeight="1">
      <c r="A5375" s="7">
        <v>5362.0</v>
      </c>
      <c r="B5375" s="14">
        <f t="shared" si="1"/>
        <v>0.1098767412</v>
      </c>
      <c r="C5375" s="39">
        <f t="array" ref="C5375">NPV(B5375,FCFF!$C$9:$I$9)+FCFF!$B$9+FCFF!$I$9*(1+Inputs!$B$6)/(B5375-Inputs!$B$6)/(1+B5375)^7</f>
        <v>-1628.291297</v>
      </c>
    </row>
    <row r="5376" ht="14.25" customHeight="1">
      <c r="A5376" s="7">
        <v>5363.0</v>
      </c>
      <c r="B5376" s="14">
        <f t="shared" si="1"/>
        <v>0.1243406972</v>
      </c>
      <c r="C5376" s="39">
        <f t="array" ref="C5376">NPV(B5376,FCFF!$C$9:$I$9)+FCFF!$B$9+FCFF!$I$9*(1+Inputs!$B$6)/(B5376-Inputs!$B$6)/(1+B5376)^7</f>
        <v>-1891.348072</v>
      </c>
    </row>
    <row r="5377" ht="14.25" customHeight="1">
      <c r="A5377" s="7">
        <v>5364.0</v>
      </c>
      <c r="B5377" s="14">
        <f t="shared" si="1"/>
        <v>0.1055410801</v>
      </c>
      <c r="C5377" s="39">
        <f t="array" ref="C5377">NPV(B5377,FCFF!$C$9:$I$9)+FCFF!$B$9+FCFF!$I$9*(1+Inputs!$B$6)/(B5377-Inputs!$B$6)/(1+B5377)^7</f>
        <v>-1528.94831</v>
      </c>
    </row>
    <row r="5378" ht="14.25" customHeight="1">
      <c r="A5378" s="7">
        <v>5365.0</v>
      </c>
      <c r="B5378" s="14">
        <f t="shared" si="1"/>
        <v>0.1078304233</v>
      </c>
      <c r="C5378" s="39">
        <f t="array" ref="C5378">NPV(B5378,FCFF!$C$9:$I$9)+FCFF!$B$9+FCFF!$I$9*(1+Inputs!$B$6)/(B5378-Inputs!$B$6)/(1+B5378)^7</f>
        <v>-1582.820071</v>
      </c>
    </row>
    <row r="5379" ht="14.25" customHeight="1">
      <c r="A5379" s="7">
        <v>5366.0</v>
      </c>
      <c r="B5379" s="14">
        <f t="shared" si="1"/>
        <v>0.1048413391</v>
      </c>
      <c r="C5379" s="39">
        <f t="array" ref="C5379">NPV(B5379,FCFF!$C$9:$I$9)+FCFF!$B$9+FCFF!$I$9*(1+Inputs!$B$6)/(B5379-Inputs!$B$6)/(1+B5379)^7</f>
        <v>-1511.809704</v>
      </c>
    </row>
    <row r="5380" ht="14.25" customHeight="1">
      <c r="A5380" s="7">
        <v>5367.0</v>
      </c>
      <c r="B5380" s="14">
        <f t="shared" si="1"/>
        <v>0.1108352225</v>
      </c>
      <c r="C5380" s="39">
        <f t="array" ref="C5380">NPV(B5380,FCFF!$C$9:$I$9)+FCFF!$B$9+FCFF!$I$9*(1+Inputs!$B$6)/(B5380-Inputs!$B$6)/(1+B5380)^7</f>
        <v>-1648.77356</v>
      </c>
    </row>
    <row r="5381" ht="14.25" customHeight="1">
      <c r="A5381" s="7">
        <v>5368.0</v>
      </c>
      <c r="B5381" s="14">
        <f t="shared" si="1"/>
        <v>0.1059487649</v>
      </c>
      <c r="C5381" s="39">
        <f t="array" ref="C5381">NPV(B5381,FCFF!$C$9:$I$9)+FCFF!$B$9+FCFF!$I$9*(1+Inputs!$B$6)/(B5381-Inputs!$B$6)/(1+B5381)^7</f>
        <v>-1538.785038</v>
      </c>
    </row>
    <row r="5382" ht="14.25" customHeight="1">
      <c r="A5382" s="7">
        <v>5369.0</v>
      </c>
      <c r="B5382" s="14">
        <f t="shared" si="1"/>
        <v>0.1061121447</v>
      </c>
      <c r="C5382" s="39">
        <f t="array" ref="C5382">NPV(B5382,FCFF!$C$9:$I$9)+FCFF!$B$9+FCFF!$I$9*(1+Inputs!$B$6)/(B5382-Inputs!$B$6)/(1+B5382)^7</f>
        <v>-1542.696886</v>
      </c>
    </row>
    <row r="5383" ht="14.25" customHeight="1">
      <c r="A5383" s="7">
        <v>5370.0</v>
      </c>
      <c r="B5383" s="14">
        <f t="shared" si="1"/>
        <v>0.09920642966</v>
      </c>
      <c r="C5383" s="39">
        <f t="array" ref="C5383">NPV(B5383,FCFF!$C$9:$I$9)+FCFF!$B$9+FCFF!$I$9*(1+Inputs!$B$6)/(B5383-Inputs!$B$6)/(1+B5383)^7</f>
        <v>-1360.964914</v>
      </c>
    </row>
    <row r="5384" ht="14.25" customHeight="1">
      <c r="A5384" s="7">
        <v>5371.0</v>
      </c>
      <c r="B5384" s="14">
        <f t="shared" si="1"/>
        <v>0.1029332307</v>
      </c>
      <c r="C5384" s="39">
        <f t="array" ref="C5384">NPV(B5384,FCFF!$C$9:$I$9)+FCFF!$B$9+FCFF!$I$9*(1+Inputs!$B$6)/(B5384-Inputs!$B$6)/(1+B5384)^7</f>
        <v>-1463.372753</v>
      </c>
    </row>
    <row r="5385" ht="14.25" customHeight="1">
      <c r="A5385" s="7">
        <v>5372.0</v>
      </c>
      <c r="B5385" s="14">
        <f t="shared" si="1"/>
        <v>0.1267378724</v>
      </c>
      <c r="C5385" s="39">
        <f t="array" ref="C5385">NPV(B5385,FCFF!$C$9:$I$9)+FCFF!$B$9+FCFF!$I$9*(1+Inputs!$B$6)/(B5385-Inputs!$B$6)/(1+B5385)^7</f>
        <v>-1926.933635</v>
      </c>
    </row>
    <row r="5386" ht="14.25" customHeight="1">
      <c r="A5386" s="7">
        <v>5373.0</v>
      </c>
      <c r="B5386" s="14">
        <f t="shared" si="1"/>
        <v>0.1027662078</v>
      </c>
      <c r="C5386" s="39">
        <f t="array" ref="C5386">NPV(B5386,FCFF!$C$9:$I$9)+FCFF!$B$9+FCFF!$I$9*(1+Inputs!$B$6)/(B5386-Inputs!$B$6)/(1+B5386)^7</f>
        <v>-1459.010076</v>
      </c>
    </row>
    <row r="5387" ht="14.25" customHeight="1">
      <c r="A5387" s="7">
        <v>5374.0</v>
      </c>
      <c r="B5387" s="14">
        <f t="shared" si="1"/>
        <v>0.1320526671</v>
      </c>
      <c r="C5387" s="39">
        <f t="array" ref="C5387">NPV(B5387,FCFF!$C$9:$I$9)+FCFF!$B$9+FCFF!$I$9*(1+Inputs!$B$6)/(B5387-Inputs!$B$6)/(1+B5387)^7</f>
        <v>-1999.419646</v>
      </c>
    </row>
    <row r="5388" ht="14.25" customHeight="1">
      <c r="A5388" s="7">
        <v>5375.0</v>
      </c>
      <c r="B5388" s="14">
        <f t="shared" si="1"/>
        <v>0.1155547821</v>
      </c>
      <c r="C5388" s="39">
        <f t="array" ref="C5388">NPV(B5388,FCFF!$C$9:$I$9)+FCFF!$B$9+FCFF!$I$9*(1+Inputs!$B$6)/(B5388-Inputs!$B$6)/(1+B5388)^7</f>
        <v>-1742.690928</v>
      </c>
    </row>
    <row r="5389" ht="14.25" customHeight="1">
      <c r="A5389" s="7">
        <v>5376.0</v>
      </c>
      <c r="B5389" s="14">
        <f t="shared" si="1"/>
        <v>0.09631556024</v>
      </c>
      <c r="C5389" s="39">
        <f t="array" ref="C5389">NPV(B5389,FCFF!$C$9:$I$9)+FCFF!$B$9+FCFF!$I$9*(1+Inputs!$B$6)/(B5389-Inputs!$B$6)/(1+B5389)^7</f>
        <v>-1273.558862</v>
      </c>
    </row>
    <row r="5390" ht="14.25" customHeight="1">
      <c r="A5390" s="7">
        <v>5377.0</v>
      </c>
      <c r="B5390" s="14">
        <f t="shared" si="1"/>
        <v>0.1131211666</v>
      </c>
      <c r="C5390" s="39">
        <f t="array" ref="C5390">NPV(B5390,FCFF!$C$9:$I$9)+FCFF!$B$9+FCFF!$I$9*(1+Inputs!$B$6)/(B5390-Inputs!$B$6)/(1+B5390)^7</f>
        <v>-1695.649266</v>
      </c>
    </row>
    <row r="5391" ht="14.25" customHeight="1">
      <c r="A5391" s="7">
        <v>5378.0</v>
      </c>
      <c r="B5391" s="14">
        <f t="shared" si="1"/>
        <v>0.09413060481</v>
      </c>
      <c r="C5391" s="39">
        <f t="array" ref="C5391">NPV(B5391,FCFF!$C$9:$I$9)+FCFF!$B$9+FCFF!$I$9*(1+Inputs!$B$6)/(B5391-Inputs!$B$6)/(1+B5391)^7</f>
        <v>-1202.282496</v>
      </c>
    </row>
    <row r="5392" ht="14.25" customHeight="1">
      <c r="A5392" s="7">
        <v>5379.0</v>
      </c>
      <c r="B5392" s="14">
        <f t="shared" si="1"/>
        <v>0.1288253358</v>
      </c>
      <c r="C5392" s="39">
        <f t="array" ref="C5392">NPV(B5392,FCFF!$C$9:$I$9)+FCFF!$B$9+FCFF!$I$9*(1+Inputs!$B$6)/(B5392-Inputs!$B$6)/(1+B5392)^7</f>
        <v>-1956.410791</v>
      </c>
    </row>
    <row r="5393" ht="14.25" customHeight="1">
      <c r="A5393" s="7">
        <v>5380.0</v>
      </c>
      <c r="B5393" s="14">
        <f t="shared" si="1"/>
        <v>0.1122638302</v>
      </c>
      <c r="C5393" s="39">
        <f t="array" ref="C5393">NPV(B5393,FCFF!$C$9:$I$9)+FCFF!$B$9+FCFF!$I$9*(1+Inputs!$B$6)/(B5393-Inputs!$B$6)/(1+B5393)^7</f>
        <v>-1678.385582</v>
      </c>
    </row>
    <row r="5394" ht="14.25" customHeight="1">
      <c r="A5394" s="7">
        <v>5381.0</v>
      </c>
      <c r="B5394" s="14">
        <f t="shared" si="1"/>
        <v>0.1271341005</v>
      </c>
      <c r="C5394" s="39">
        <f t="array" ref="C5394">NPV(B5394,FCFF!$C$9:$I$9)+FCFF!$B$9+FCFF!$I$9*(1+Inputs!$B$6)/(B5394-Inputs!$B$6)/(1+B5394)^7</f>
        <v>-1932.633912</v>
      </c>
    </row>
    <row r="5395" ht="14.25" customHeight="1">
      <c r="A5395" s="7">
        <v>5382.0</v>
      </c>
      <c r="B5395" s="14">
        <f t="shared" si="1"/>
        <v>0.1267575019</v>
      </c>
      <c r="C5395" s="39">
        <f t="array" ref="C5395">NPV(B5395,FCFF!$C$9:$I$9)+FCFF!$B$9+FCFF!$I$9*(1+Inputs!$B$6)/(B5395-Inputs!$B$6)/(1+B5395)^7</f>
        <v>-1927.217216</v>
      </c>
    </row>
    <row r="5396" ht="14.25" customHeight="1">
      <c r="A5396" s="7">
        <v>5383.0</v>
      </c>
      <c r="B5396" s="14">
        <f t="shared" si="1"/>
        <v>0.1255611951</v>
      </c>
      <c r="C5396" s="39">
        <f t="array" ref="C5396">NPV(B5396,FCFF!$C$9:$I$9)+FCFF!$B$9+FCFF!$I$9*(1+Inputs!$B$6)/(B5396-Inputs!$B$6)/(1+B5396)^7</f>
        <v>-1909.705564</v>
      </c>
    </row>
    <row r="5397" ht="14.25" customHeight="1">
      <c r="A5397" s="7">
        <v>5384.0</v>
      </c>
      <c r="B5397" s="14">
        <f t="shared" si="1"/>
        <v>0.09757147925</v>
      </c>
      <c r="C5397" s="39">
        <f t="array" ref="C5397">NPV(B5397,FCFF!$C$9:$I$9)+FCFF!$B$9+FCFF!$I$9*(1+Inputs!$B$6)/(B5397-Inputs!$B$6)/(1+B5397)^7</f>
        <v>-1312.450966</v>
      </c>
    </row>
    <row r="5398" ht="14.25" customHeight="1">
      <c r="A5398" s="7">
        <v>5385.0</v>
      </c>
      <c r="B5398" s="14">
        <f t="shared" si="1"/>
        <v>0.1050451079</v>
      </c>
      <c r="C5398" s="39">
        <f t="array" ref="C5398">NPV(B5398,FCFF!$C$9:$I$9)+FCFF!$B$9+FCFF!$I$9*(1+Inputs!$B$6)/(B5398-Inputs!$B$6)/(1+B5398)^7</f>
        <v>-1516.834215</v>
      </c>
    </row>
    <row r="5399" ht="14.25" customHeight="1">
      <c r="A5399" s="7">
        <v>5386.0</v>
      </c>
      <c r="B5399" s="14">
        <f t="shared" si="1"/>
        <v>0.1185426865</v>
      </c>
      <c r="C5399" s="39">
        <f t="array" ref="C5399">NPV(B5399,FCFF!$C$9:$I$9)+FCFF!$B$9+FCFF!$I$9*(1+Inputs!$B$6)/(B5399-Inputs!$B$6)/(1+B5399)^7</f>
        <v>-1796.747914</v>
      </c>
    </row>
    <row r="5400" ht="14.25" customHeight="1">
      <c r="A5400" s="7">
        <v>5387.0</v>
      </c>
      <c r="B5400" s="14">
        <f t="shared" si="1"/>
        <v>0.1218670335</v>
      </c>
      <c r="C5400" s="39">
        <f t="array" ref="C5400">NPV(B5400,FCFF!$C$9:$I$9)+FCFF!$B$9+FCFF!$I$9*(1+Inputs!$B$6)/(B5400-Inputs!$B$6)/(1+B5400)^7</f>
        <v>-1852.539809</v>
      </c>
    </row>
    <row r="5401" ht="14.25" customHeight="1">
      <c r="A5401" s="7">
        <v>5388.0</v>
      </c>
      <c r="B5401" s="14">
        <f t="shared" si="1"/>
        <v>0.1005277437</v>
      </c>
      <c r="C5401" s="39">
        <f t="array" ref="C5401">NPV(B5401,FCFF!$C$9:$I$9)+FCFF!$B$9+FCFF!$I$9*(1+Inputs!$B$6)/(B5401-Inputs!$B$6)/(1+B5401)^7</f>
        <v>-1398.522292</v>
      </c>
    </row>
    <row r="5402" ht="14.25" customHeight="1">
      <c r="A5402" s="7">
        <v>5389.0</v>
      </c>
      <c r="B5402" s="14">
        <f t="shared" si="1"/>
        <v>0.1314350046</v>
      </c>
      <c r="C5402" s="39">
        <f t="array" ref="C5402">NPV(B5402,FCFF!$C$9:$I$9)+FCFF!$B$9+FCFF!$I$9*(1+Inputs!$B$6)/(B5402-Inputs!$B$6)/(1+B5402)^7</f>
        <v>-1991.418507</v>
      </c>
    </row>
    <row r="5403" ht="14.25" customHeight="1">
      <c r="A5403" s="7">
        <v>5390.0</v>
      </c>
      <c r="B5403" s="14">
        <f t="shared" si="1"/>
        <v>0.1066565703</v>
      </c>
      <c r="C5403" s="39">
        <f t="array" ref="C5403">NPV(B5403,FCFF!$C$9:$I$9)+FCFF!$B$9+FCFF!$I$9*(1+Inputs!$B$6)/(B5403-Inputs!$B$6)/(1+B5403)^7</f>
        <v>-1555.609121</v>
      </c>
    </row>
    <row r="5404" ht="14.25" customHeight="1">
      <c r="A5404" s="7">
        <v>5391.0</v>
      </c>
      <c r="B5404" s="14">
        <f t="shared" si="1"/>
        <v>0.1265547129</v>
      </c>
      <c r="C5404" s="39">
        <f t="array" ref="C5404">NPV(B5404,FCFF!$C$9:$I$9)+FCFF!$B$9+FCFF!$I$9*(1+Inputs!$B$6)/(B5404-Inputs!$B$6)/(1+B5404)^7</f>
        <v>-1924.281611</v>
      </c>
    </row>
    <row r="5405" ht="14.25" customHeight="1">
      <c r="A5405" s="7">
        <v>5392.0</v>
      </c>
      <c r="B5405" s="14">
        <f t="shared" si="1"/>
        <v>0.1033716248</v>
      </c>
      <c r="C5405" s="39">
        <f t="array" ref="C5405">NPV(B5405,FCFF!$C$9:$I$9)+FCFF!$B$9+FCFF!$I$9*(1+Inputs!$B$6)/(B5405-Inputs!$B$6)/(1+B5405)^7</f>
        <v>-1474.72786</v>
      </c>
    </row>
    <row r="5406" ht="14.25" customHeight="1">
      <c r="A5406" s="7">
        <v>5393.0</v>
      </c>
      <c r="B5406" s="14">
        <f t="shared" si="1"/>
        <v>0.1231806169</v>
      </c>
      <c r="C5406" s="39">
        <f t="array" ref="C5406">NPV(B5406,FCFF!$C$9:$I$9)+FCFF!$B$9+FCFF!$I$9*(1+Inputs!$B$6)/(B5406-Inputs!$B$6)/(1+B5406)^7</f>
        <v>-1873.421808</v>
      </c>
    </row>
    <row r="5407" ht="14.25" customHeight="1">
      <c r="A5407" s="7">
        <v>5394.0</v>
      </c>
      <c r="B5407" s="14">
        <f t="shared" si="1"/>
        <v>0.09517870792</v>
      </c>
      <c r="C5407" s="39">
        <f t="array" ref="C5407">NPV(B5407,FCFF!$C$9:$I$9)+FCFF!$B$9+FCFF!$I$9*(1+Inputs!$B$6)/(B5407-Inputs!$B$6)/(1+B5407)^7</f>
        <v>-1237.06572</v>
      </c>
    </row>
    <row r="5408" ht="14.25" customHeight="1">
      <c r="A5408" s="7">
        <v>5395.0</v>
      </c>
      <c r="B5408" s="14">
        <f t="shared" si="1"/>
        <v>0.09622543466</v>
      </c>
      <c r="C5408" s="39">
        <f t="array" ref="C5408">NPV(B5408,FCFF!$C$9:$I$9)+FCFF!$B$9+FCFF!$I$9*(1+Inputs!$B$6)/(B5408-Inputs!$B$6)/(1+B5408)^7</f>
        <v>-1270.711342</v>
      </c>
    </row>
    <row r="5409" ht="14.25" customHeight="1">
      <c r="A5409" s="7">
        <v>5396.0</v>
      </c>
      <c r="B5409" s="14">
        <f t="shared" si="1"/>
        <v>0.1137362048</v>
      </c>
      <c r="C5409" s="39">
        <f t="array" ref="C5409">NPV(B5409,FCFF!$C$9:$I$9)+FCFF!$B$9+FCFF!$I$9*(1+Inputs!$B$6)/(B5409-Inputs!$B$6)/(1+B5409)^7</f>
        <v>-1707.807397</v>
      </c>
    </row>
    <row r="5410" ht="14.25" customHeight="1">
      <c r="A5410" s="7">
        <v>5397.0</v>
      </c>
      <c r="B5410" s="14">
        <f t="shared" si="1"/>
        <v>0.106059855</v>
      </c>
      <c r="C5410" s="39">
        <f t="array" ref="C5410">NPV(B5410,FCFF!$C$9:$I$9)+FCFF!$B$9+FCFF!$I$9*(1+Inputs!$B$6)/(B5410-Inputs!$B$6)/(1+B5410)^7</f>
        <v>-1541.446769</v>
      </c>
    </row>
    <row r="5411" ht="14.25" customHeight="1">
      <c r="A5411" s="7">
        <v>5398.0</v>
      </c>
      <c r="B5411" s="14">
        <f t="shared" si="1"/>
        <v>0.1251306204</v>
      </c>
      <c r="C5411" s="39">
        <f t="array" ref="C5411">NPV(B5411,FCFF!$C$9:$I$9)+FCFF!$B$9+FCFF!$I$9*(1+Inputs!$B$6)/(B5411-Inputs!$B$6)/(1+B5411)^7</f>
        <v>-1903.286937</v>
      </c>
    </row>
    <row r="5412" ht="14.25" customHeight="1">
      <c r="A5412" s="7">
        <v>5399.0</v>
      </c>
      <c r="B5412" s="14">
        <f t="shared" si="1"/>
        <v>0.1102400922</v>
      </c>
      <c r="C5412" s="39">
        <f t="array" ref="C5412">NPV(B5412,FCFF!$C$9:$I$9)+FCFF!$B$9+FCFF!$I$9*(1+Inputs!$B$6)/(B5412-Inputs!$B$6)/(1+B5412)^7</f>
        <v>-1636.115447</v>
      </c>
    </row>
    <row r="5413" ht="14.25" customHeight="1">
      <c r="A5413" s="7">
        <v>5400.0</v>
      </c>
      <c r="B5413" s="14">
        <f t="shared" si="1"/>
        <v>0.09812257724</v>
      </c>
      <c r="C5413" s="39">
        <f t="array" ref="C5413">NPV(B5413,FCFF!$C$9:$I$9)+FCFF!$B$9+FCFF!$I$9*(1+Inputs!$B$6)/(B5413-Inputs!$B$6)/(1+B5413)^7</f>
        <v>-1329.064415</v>
      </c>
    </row>
    <row r="5414" ht="14.25" customHeight="1">
      <c r="A5414" s="7">
        <v>5401.0</v>
      </c>
      <c r="B5414" s="14">
        <f t="shared" si="1"/>
        <v>0.1002665913</v>
      </c>
      <c r="C5414" s="39">
        <f t="array" ref="C5414">NPV(B5414,FCFF!$C$9:$I$9)+FCFF!$B$9+FCFF!$I$9*(1+Inputs!$B$6)/(B5414-Inputs!$B$6)/(1+B5414)^7</f>
        <v>-1391.211949</v>
      </c>
    </row>
    <row r="5415" ht="14.25" customHeight="1">
      <c r="A5415" s="7">
        <v>5402.0</v>
      </c>
      <c r="B5415" s="14">
        <f t="shared" si="1"/>
        <v>0.1291194007</v>
      </c>
      <c r="C5415" s="39">
        <f t="array" ref="C5415">NPV(B5415,FCFF!$C$9:$I$9)+FCFF!$B$9+FCFF!$I$9*(1+Inputs!$B$6)/(B5415-Inputs!$B$6)/(1+B5415)^7</f>
        <v>-1960.455572</v>
      </c>
    </row>
    <row r="5416" ht="14.25" customHeight="1">
      <c r="A5416" s="7">
        <v>5403.0</v>
      </c>
      <c r="B5416" s="14">
        <f t="shared" si="1"/>
        <v>0.09343546916</v>
      </c>
      <c r="C5416" s="39">
        <f t="array" ref="C5416">NPV(B5416,FCFF!$C$9:$I$9)+FCFF!$B$9+FCFF!$I$9*(1+Inputs!$B$6)/(B5416-Inputs!$B$6)/(1+B5416)^7</f>
        <v>-1178.584884</v>
      </c>
    </row>
    <row r="5417" ht="14.25" customHeight="1">
      <c r="A5417" s="7">
        <v>5404.0</v>
      </c>
      <c r="B5417" s="14">
        <f t="shared" si="1"/>
        <v>0.09808331116</v>
      </c>
      <c r="C5417" s="39">
        <f t="array" ref="C5417">NPV(B5417,FCFF!$C$9:$I$9)+FCFF!$B$9+FCFF!$I$9*(1+Inputs!$B$6)/(B5417-Inputs!$B$6)/(1+B5417)^7</f>
        <v>-1327.889604</v>
      </c>
    </row>
    <row r="5418" ht="14.25" customHeight="1">
      <c r="A5418" s="7">
        <v>5405.0</v>
      </c>
      <c r="B5418" s="14">
        <f t="shared" si="1"/>
        <v>0.1268531581</v>
      </c>
      <c r="C5418" s="39">
        <f t="array" ref="C5418">NPV(B5418,FCFF!$C$9:$I$9)+FCFF!$B$9+FCFF!$I$9*(1+Inputs!$B$6)/(B5418-Inputs!$B$6)/(1+B5418)^7</f>
        <v>-1928.597358</v>
      </c>
    </row>
    <row r="5419" ht="14.25" customHeight="1">
      <c r="A5419" s="7">
        <v>5406.0</v>
      </c>
      <c r="B5419" s="14">
        <f t="shared" si="1"/>
        <v>0.0980884503</v>
      </c>
      <c r="C5419" s="39">
        <f t="array" ref="C5419">NPV(B5419,FCFF!$C$9:$I$9)+FCFF!$B$9+FCFF!$I$9*(1+Inputs!$B$6)/(B5419-Inputs!$B$6)/(1+B5419)^7</f>
        <v>-1328.04344</v>
      </c>
    </row>
    <row r="5420" ht="14.25" customHeight="1">
      <c r="A5420" s="7">
        <v>5407.0</v>
      </c>
      <c r="B5420" s="14">
        <f t="shared" si="1"/>
        <v>0.1043267848</v>
      </c>
      <c r="C5420" s="39">
        <f t="array" ref="C5420">NPV(B5420,FCFF!$C$9:$I$9)+FCFF!$B$9+FCFF!$I$9*(1+Inputs!$B$6)/(B5420-Inputs!$B$6)/(1+B5420)^7</f>
        <v>-1498.996916</v>
      </c>
    </row>
    <row r="5421" ht="14.25" customHeight="1">
      <c r="A5421" s="7">
        <v>5408.0</v>
      </c>
      <c r="B5421" s="14">
        <f t="shared" si="1"/>
        <v>0.1274907063</v>
      </c>
      <c r="C5421" s="39">
        <f t="array" ref="C5421">NPV(B5421,FCFF!$C$9:$I$9)+FCFF!$B$9+FCFF!$I$9*(1+Inputs!$B$6)/(B5421-Inputs!$B$6)/(1+B5421)^7</f>
        <v>-1937.721492</v>
      </c>
    </row>
    <row r="5422" ht="14.25" customHeight="1">
      <c r="A5422" s="7">
        <v>5409.0</v>
      </c>
      <c r="B5422" s="14">
        <f t="shared" si="1"/>
        <v>0.125126093</v>
      </c>
      <c r="C5422" s="39">
        <f t="array" ref="C5422">NPV(B5422,FCFF!$C$9:$I$9)+FCFF!$B$9+FCFF!$I$9*(1+Inputs!$B$6)/(B5422-Inputs!$B$6)/(1+B5422)^7</f>
        <v>-1903.219114</v>
      </c>
    </row>
    <row r="5423" ht="14.25" customHeight="1">
      <c r="A5423" s="7">
        <v>5410.0</v>
      </c>
      <c r="B5423" s="14">
        <f t="shared" si="1"/>
        <v>0.09849198251</v>
      </c>
      <c r="C5423" s="39">
        <f t="array" ref="C5423">NPV(B5423,FCFF!$C$9:$I$9)+FCFF!$B$9+FCFF!$I$9*(1+Inputs!$B$6)/(B5423-Inputs!$B$6)/(1+B5423)^7</f>
        <v>-1340.050672</v>
      </c>
    </row>
    <row r="5424" ht="14.25" customHeight="1">
      <c r="A5424" s="7">
        <v>5411.0</v>
      </c>
      <c r="B5424" s="14">
        <f t="shared" si="1"/>
        <v>0.1226698529</v>
      </c>
      <c r="C5424" s="39">
        <f t="array" ref="C5424">NPV(B5424,FCFF!$C$9:$I$9)+FCFF!$B$9+FCFF!$I$9*(1+Inputs!$B$6)/(B5424-Inputs!$B$6)/(1+B5424)^7</f>
        <v>-1865.377153</v>
      </c>
    </row>
    <row r="5425" ht="14.25" customHeight="1">
      <c r="A5425" s="7">
        <v>5412.0</v>
      </c>
      <c r="B5425" s="14">
        <f t="shared" si="1"/>
        <v>0.1032103897</v>
      </c>
      <c r="C5425" s="39">
        <f t="array" ref="C5425">NPV(B5425,FCFF!$C$9:$I$9)+FCFF!$B$9+FCFF!$I$9*(1+Inputs!$B$6)/(B5425-Inputs!$B$6)/(1+B5425)^7</f>
        <v>-1470.56766</v>
      </c>
    </row>
    <row r="5426" ht="14.25" customHeight="1">
      <c r="A5426" s="7">
        <v>5413.0</v>
      </c>
      <c r="B5426" s="14">
        <f t="shared" si="1"/>
        <v>0.09527859594</v>
      </c>
      <c r="C5426" s="39">
        <f t="array" ref="C5426">NPV(B5426,FCFF!$C$9:$I$9)+FCFF!$B$9+FCFF!$I$9*(1+Inputs!$B$6)/(B5426-Inputs!$B$6)/(1+B5426)^7</f>
        <v>-1240.322808</v>
      </c>
    </row>
    <row r="5427" ht="14.25" customHeight="1">
      <c r="A5427" s="7">
        <v>5414.0</v>
      </c>
      <c r="B5427" s="14">
        <f t="shared" si="1"/>
        <v>0.1052802706</v>
      </c>
      <c r="C5427" s="39">
        <f t="array" ref="C5427">NPV(B5427,FCFF!$C$9:$I$9)+FCFF!$B$9+FCFF!$I$9*(1+Inputs!$B$6)/(B5427-Inputs!$B$6)/(1+B5427)^7</f>
        <v>-1522.598358</v>
      </c>
    </row>
    <row r="5428" ht="14.25" customHeight="1">
      <c r="A5428" s="7">
        <v>5415.0</v>
      </c>
      <c r="B5428" s="14">
        <f t="shared" si="1"/>
        <v>0.1326389883</v>
      </c>
      <c r="C5428" s="39">
        <f t="array" ref="C5428">NPV(B5428,FCFF!$C$9:$I$9)+FCFF!$B$9+FCFF!$I$9*(1+Inputs!$B$6)/(B5428-Inputs!$B$6)/(1+B5428)^7</f>
        <v>-2006.917674</v>
      </c>
    </row>
    <row r="5429" ht="14.25" customHeight="1">
      <c r="A5429" s="7">
        <v>5416.0</v>
      </c>
      <c r="B5429" s="14">
        <f t="shared" si="1"/>
        <v>0.1116961221</v>
      </c>
      <c r="C5429" s="39">
        <f t="array" ref="C5429">NPV(B5429,FCFF!$C$9:$I$9)+FCFF!$B$9+FCFF!$I$9*(1+Inputs!$B$6)/(B5429-Inputs!$B$6)/(1+B5429)^7</f>
        <v>-1666.74676</v>
      </c>
    </row>
    <row r="5430" ht="14.25" customHeight="1">
      <c r="A5430" s="7">
        <v>5417.0</v>
      </c>
      <c r="B5430" s="14">
        <f t="shared" si="1"/>
        <v>0.1110509385</v>
      </c>
      <c r="C5430" s="39">
        <f t="array" ref="C5430">NPV(B5430,FCFF!$C$9:$I$9)+FCFF!$B$9+FCFF!$I$9*(1+Inputs!$B$6)/(B5430-Inputs!$B$6)/(1+B5430)^7</f>
        <v>-1653.314249</v>
      </c>
    </row>
    <row r="5431" ht="14.25" customHeight="1">
      <c r="A5431" s="7">
        <v>5418.0</v>
      </c>
      <c r="B5431" s="14">
        <f t="shared" si="1"/>
        <v>0.09940290456</v>
      </c>
      <c r="C5431" s="39">
        <f t="array" ref="C5431">NPV(B5431,FCFF!$C$9:$I$9)+FCFF!$B$9+FCFF!$I$9*(1+Inputs!$B$6)/(B5431-Inputs!$B$6)/(1+B5431)^7</f>
        <v>-1366.640603</v>
      </c>
    </row>
    <row r="5432" ht="14.25" customHeight="1">
      <c r="A5432" s="7">
        <v>5419.0</v>
      </c>
      <c r="B5432" s="14">
        <f t="shared" si="1"/>
        <v>0.1065095396</v>
      </c>
      <c r="C5432" s="39">
        <f t="array" ref="C5432">NPV(B5432,FCFF!$C$9:$I$9)+FCFF!$B$9+FCFF!$I$9*(1+Inputs!$B$6)/(B5432-Inputs!$B$6)/(1+B5432)^7</f>
        <v>-1552.140506</v>
      </c>
    </row>
    <row r="5433" ht="14.25" customHeight="1">
      <c r="A5433" s="7">
        <v>5420.0</v>
      </c>
      <c r="B5433" s="14">
        <f t="shared" si="1"/>
        <v>0.1204669951</v>
      </c>
      <c r="C5433" s="39">
        <f t="array" ref="C5433">NPV(B5433,FCFF!$C$9:$I$9)+FCFF!$B$9+FCFF!$I$9*(1+Inputs!$B$6)/(B5433-Inputs!$B$6)/(1+B5433)^7</f>
        <v>-1829.572704</v>
      </c>
    </row>
    <row r="5434" ht="14.25" customHeight="1">
      <c r="A5434" s="7">
        <v>5421.0</v>
      </c>
      <c r="B5434" s="14">
        <f t="shared" si="1"/>
        <v>0.1039679152</v>
      </c>
      <c r="C5434" s="39">
        <f t="array" ref="C5434">NPV(B5434,FCFF!$C$9:$I$9)+FCFF!$B$9+FCFF!$I$9*(1+Inputs!$B$6)/(B5434-Inputs!$B$6)/(1+B5434)^7</f>
        <v>-1489.953361</v>
      </c>
    </row>
    <row r="5435" ht="14.25" customHeight="1">
      <c r="A5435" s="7">
        <v>5422.0</v>
      </c>
      <c r="B5435" s="14">
        <f t="shared" si="1"/>
        <v>0.09810765073</v>
      </c>
      <c r="C5435" s="39">
        <f t="array" ref="C5435">NPV(B5435,FCFF!$C$9:$I$9)+FCFF!$B$9+FCFF!$I$9*(1+Inputs!$B$6)/(B5435-Inputs!$B$6)/(1+B5435)^7</f>
        <v>-1328.617985</v>
      </c>
    </row>
    <row r="5436" ht="14.25" customHeight="1">
      <c r="A5436" s="7">
        <v>5423.0</v>
      </c>
      <c r="B5436" s="14">
        <f t="shared" si="1"/>
        <v>0.1286168163</v>
      </c>
      <c r="C5436" s="39">
        <f t="array" ref="C5436">NPV(B5436,FCFF!$C$9:$I$9)+FCFF!$B$9+FCFF!$I$9*(1+Inputs!$B$6)/(B5436-Inputs!$B$6)/(1+B5436)^7</f>
        <v>-1953.526842</v>
      </c>
    </row>
    <row r="5437" ht="14.25" customHeight="1">
      <c r="A5437" s="7">
        <v>5424.0</v>
      </c>
      <c r="B5437" s="14">
        <f t="shared" si="1"/>
        <v>0.1261235222</v>
      </c>
      <c r="C5437" s="39">
        <f t="array" ref="C5437">NPV(B5437,FCFF!$C$9:$I$9)+FCFF!$B$9+FCFF!$I$9*(1+Inputs!$B$6)/(B5437-Inputs!$B$6)/(1+B5437)^7</f>
        <v>-1917.995322</v>
      </c>
    </row>
    <row r="5438" ht="14.25" customHeight="1">
      <c r="A5438" s="7">
        <v>5425.0</v>
      </c>
      <c r="B5438" s="14">
        <f t="shared" si="1"/>
        <v>0.1037102119</v>
      </c>
      <c r="C5438" s="39">
        <f t="array" ref="C5438">NPV(B5438,FCFF!$C$9:$I$9)+FCFF!$B$9+FCFF!$I$9*(1+Inputs!$B$6)/(B5438-Inputs!$B$6)/(1+B5438)^7</f>
        <v>-1483.403958</v>
      </c>
    </row>
    <row r="5439" ht="14.25" customHeight="1">
      <c r="A5439" s="7">
        <v>5426.0</v>
      </c>
      <c r="B5439" s="14">
        <f t="shared" si="1"/>
        <v>0.102132808</v>
      </c>
      <c r="C5439" s="39">
        <f t="array" ref="C5439">NPV(B5439,FCFF!$C$9:$I$9)+FCFF!$B$9+FCFF!$I$9*(1+Inputs!$B$6)/(B5439-Inputs!$B$6)/(1+B5439)^7</f>
        <v>-1442.279463</v>
      </c>
    </row>
    <row r="5440" ht="14.25" customHeight="1">
      <c r="A5440" s="7">
        <v>5427.0</v>
      </c>
      <c r="B5440" s="14">
        <f t="shared" si="1"/>
        <v>0.1204959166</v>
      </c>
      <c r="C5440" s="39">
        <f t="array" ref="C5440">NPV(B5440,FCFF!$C$9:$I$9)+FCFF!$B$9+FCFF!$I$9*(1+Inputs!$B$6)/(B5440-Inputs!$B$6)/(1+B5440)^7</f>
        <v>-1830.054782</v>
      </c>
    </row>
    <row r="5441" ht="14.25" customHeight="1">
      <c r="A5441" s="7">
        <v>5428.0</v>
      </c>
      <c r="B5441" s="14">
        <f t="shared" si="1"/>
        <v>0.1295044159</v>
      </c>
      <c r="C5441" s="39">
        <f t="array" ref="C5441">NPV(B5441,FCFF!$C$9:$I$9)+FCFF!$B$9+FCFF!$I$9*(1+Inputs!$B$6)/(B5441-Inputs!$B$6)/(1+B5441)^7</f>
        <v>-1965.712223</v>
      </c>
    </row>
    <row r="5442" ht="14.25" customHeight="1">
      <c r="A5442" s="7">
        <v>5429.0</v>
      </c>
      <c r="B5442" s="14">
        <f t="shared" si="1"/>
        <v>0.1284343811</v>
      </c>
      <c r="C5442" s="39">
        <f t="array" ref="C5442">NPV(B5442,FCFF!$C$9:$I$9)+FCFF!$B$9+FCFF!$I$9*(1+Inputs!$B$6)/(B5442-Inputs!$B$6)/(1+B5442)^7</f>
        <v>-1950.992813</v>
      </c>
    </row>
    <row r="5443" ht="14.25" customHeight="1">
      <c r="A5443" s="7">
        <v>5430.0</v>
      </c>
      <c r="B5443" s="14">
        <f t="shared" si="1"/>
        <v>0.1159612899</v>
      </c>
      <c r="C5443" s="39">
        <f t="array" ref="C5443">NPV(B5443,FCFF!$C$9:$I$9)+FCFF!$B$9+FCFF!$I$9*(1+Inputs!$B$6)/(B5443-Inputs!$B$6)/(1+B5443)^7</f>
        <v>-1750.27746</v>
      </c>
    </row>
    <row r="5444" ht="14.25" customHeight="1">
      <c r="A5444" s="7">
        <v>5431.0</v>
      </c>
      <c r="B5444" s="14">
        <f t="shared" si="1"/>
        <v>0.1154898311</v>
      </c>
      <c r="C5444" s="39">
        <f t="array" ref="C5444">NPV(B5444,FCFF!$C$9:$I$9)+FCFF!$B$9+FCFF!$I$9*(1+Inputs!$B$6)/(B5444-Inputs!$B$6)/(1+B5444)^7</f>
        <v>-1741.471766</v>
      </c>
    </row>
    <row r="5445" ht="14.25" customHeight="1">
      <c r="A5445" s="7">
        <v>5432.0</v>
      </c>
      <c r="B5445" s="14">
        <f t="shared" si="1"/>
        <v>0.1237811841</v>
      </c>
      <c r="C5445" s="39">
        <f t="array" ref="C5445">NPV(B5445,FCFF!$C$9:$I$9)+FCFF!$B$9+FCFF!$I$9*(1+Inputs!$B$6)/(B5445-Inputs!$B$6)/(1+B5445)^7</f>
        <v>-1882.761306</v>
      </c>
    </row>
    <row r="5446" ht="14.25" customHeight="1">
      <c r="A5446" s="7">
        <v>5433.0</v>
      </c>
      <c r="B5446" s="14">
        <f t="shared" si="1"/>
        <v>0.1143639603</v>
      </c>
      <c r="C5446" s="39">
        <f t="array" ref="C5446">NPV(B5446,FCFF!$C$9:$I$9)+FCFF!$B$9+FCFF!$I$9*(1+Inputs!$B$6)/(B5446-Inputs!$B$6)/(1+B5446)^7</f>
        <v>-1720.026417</v>
      </c>
    </row>
    <row r="5447" ht="14.25" customHeight="1">
      <c r="A5447" s="7">
        <v>5434.0</v>
      </c>
      <c r="B5447" s="14">
        <f t="shared" si="1"/>
        <v>0.105624931</v>
      </c>
      <c r="C5447" s="39">
        <f t="array" ref="C5447">NPV(B5447,FCFF!$C$9:$I$9)+FCFF!$B$9+FCFF!$I$9*(1+Inputs!$B$6)/(B5447-Inputs!$B$6)/(1+B5447)^7</f>
        <v>-1530.980337</v>
      </c>
    </row>
    <row r="5448" ht="14.25" customHeight="1">
      <c r="A5448" s="7">
        <v>5435.0</v>
      </c>
      <c r="B5448" s="14">
        <f t="shared" si="1"/>
        <v>0.1047459836</v>
      </c>
      <c r="C5448" s="39">
        <f t="array" ref="C5448">NPV(B5448,FCFF!$C$9:$I$9)+FCFF!$B$9+FCFF!$I$9*(1+Inputs!$B$6)/(B5448-Inputs!$B$6)/(1+B5448)^7</f>
        <v>-1509.448848</v>
      </c>
    </row>
    <row r="5449" ht="14.25" customHeight="1">
      <c r="A5449" s="7">
        <v>5436.0</v>
      </c>
      <c r="B5449" s="14">
        <f t="shared" si="1"/>
        <v>0.1127329648</v>
      </c>
      <c r="C5449" s="39">
        <f t="array" ref="C5449">NPV(B5449,FCFF!$C$9:$I$9)+FCFF!$B$9+FCFF!$I$9*(1+Inputs!$B$6)/(B5449-Inputs!$B$6)/(1+B5449)^7</f>
        <v>-1687.878359</v>
      </c>
    </row>
    <row r="5450" ht="14.25" customHeight="1">
      <c r="A5450" s="7">
        <v>5437.0</v>
      </c>
      <c r="B5450" s="14">
        <f t="shared" si="1"/>
        <v>0.1157320201</v>
      </c>
      <c r="C5450" s="39">
        <f t="array" ref="C5450">NPV(B5450,FCFF!$C$9:$I$9)+FCFF!$B$9+FCFF!$I$9*(1+Inputs!$B$6)/(B5450-Inputs!$B$6)/(1+B5450)^7</f>
        <v>-1746.007935</v>
      </c>
    </row>
    <row r="5451" ht="14.25" customHeight="1">
      <c r="A5451" s="7">
        <v>5438.0</v>
      </c>
      <c r="B5451" s="14">
        <f t="shared" si="1"/>
        <v>0.1231178817</v>
      </c>
      <c r="C5451" s="39">
        <f t="array" ref="C5451">NPV(B5451,FCFF!$C$9:$I$9)+FCFF!$B$9+FCFF!$I$9*(1+Inputs!$B$6)/(B5451-Inputs!$B$6)/(1+B5451)^7</f>
        <v>-1872.438784</v>
      </c>
    </row>
    <row r="5452" ht="14.25" customHeight="1">
      <c r="A5452" s="7">
        <v>5439.0</v>
      </c>
      <c r="B5452" s="14">
        <f t="shared" si="1"/>
        <v>0.09640418125</v>
      </c>
      <c r="C5452" s="39">
        <f t="array" ref="C5452">NPV(B5452,FCFF!$C$9:$I$9)+FCFF!$B$9+FCFF!$I$9*(1+Inputs!$B$6)/(B5452-Inputs!$B$6)/(1+B5452)^7</f>
        <v>-1276.351333</v>
      </c>
    </row>
    <row r="5453" ht="14.25" customHeight="1">
      <c r="A5453" s="7">
        <v>5440.0</v>
      </c>
      <c r="B5453" s="14">
        <f t="shared" si="1"/>
        <v>0.1241393536</v>
      </c>
      <c r="C5453" s="39">
        <f t="array" ref="C5453">NPV(B5453,FCFF!$C$9:$I$9)+FCFF!$B$9+FCFF!$I$9*(1+Inputs!$B$6)/(B5453-Inputs!$B$6)/(1+B5453)^7</f>
        <v>-1888.270654</v>
      </c>
    </row>
    <row r="5454" ht="14.25" customHeight="1">
      <c r="A5454" s="7">
        <v>5441.0</v>
      </c>
      <c r="B5454" s="14">
        <f t="shared" si="1"/>
        <v>0.0941633094</v>
      </c>
      <c r="C5454" s="39">
        <f t="array" ref="C5454">NPV(B5454,FCFF!$C$9:$I$9)+FCFF!$B$9+FCFF!$I$9*(1+Inputs!$B$6)/(B5454-Inputs!$B$6)/(1+B5454)^7</f>
        <v>-1203.384893</v>
      </c>
    </row>
    <row r="5455" ht="14.25" customHeight="1">
      <c r="A5455" s="7">
        <v>5442.0</v>
      </c>
      <c r="B5455" s="14">
        <f t="shared" si="1"/>
        <v>0.1272982273</v>
      </c>
      <c r="C5455" s="39">
        <f t="array" ref="C5455">NPV(B5455,FCFF!$C$9:$I$9)+FCFF!$B$9+FCFF!$I$9*(1+Inputs!$B$6)/(B5455-Inputs!$B$6)/(1+B5455)^7</f>
        <v>-1934.980449</v>
      </c>
    </row>
    <row r="5456" ht="14.25" customHeight="1">
      <c r="A5456" s="7">
        <v>5443.0</v>
      </c>
      <c r="B5456" s="14">
        <f t="shared" si="1"/>
        <v>0.1159117724</v>
      </c>
      <c r="C5456" s="39">
        <f t="array" ref="C5456">NPV(B5456,FCFF!$C$9:$I$9)+FCFF!$B$9+FCFF!$I$9*(1+Inputs!$B$6)/(B5456-Inputs!$B$6)/(1+B5456)^7</f>
        <v>-1749.357353</v>
      </c>
    </row>
    <row r="5457" ht="14.25" customHeight="1">
      <c r="A5457" s="7">
        <v>5444.0</v>
      </c>
      <c r="B5457" s="14">
        <f t="shared" si="1"/>
        <v>0.1271742761</v>
      </c>
      <c r="C5457" s="39">
        <f t="array" ref="C5457">NPV(B5457,FCFF!$C$9:$I$9)+FCFF!$B$9+FCFF!$I$9*(1+Inputs!$B$6)/(B5457-Inputs!$B$6)/(1+B5457)^7</f>
        <v>-1933.209095</v>
      </c>
    </row>
    <row r="5458" ht="14.25" customHeight="1">
      <c r="A5458" s="7">
        <v>5445.0</v>
      </c>
      <c r="B5458" s="14">
        <f t="shared" si="1"/>
        <v>0.1108419232</v>
      </c>
      <c r="C5458" s="39">
        <f t="array" ref="C5458">NPV(B5458,FCFF!$C$9:$I$9)+FCFF!$B$9+FCFF!$I$9*(1+Inputs!$B$6)/(B5458-Inputs!$B$6)/(1+B5458)^7</f>
        <v>-1648.914983</v>
      </c>
    </row>
    <row r="5459" ht="14.25" customHeight="1">
      <c r="A5459" s="7">
        <v>5446.0</v>
      </c>
      <c r="B5459" s="14">
        <f t="shared" si="1"/>
        <v>0.1082272986</v>
      </c>
      <c r="C5459" s="39">
        <f t="array" ref="C5459">NPV(B5459,FCFF!$C$9:$I$9)+FCFF!$B$9+FCFF!$I$9*(1+Inputs!$B$6)/(B5459-Inputs!$B$6)/(1+B5459)^7</f>
        <v>-1591.830437</v>
      </c>
    </row>
    <row r="5460" ht="14.25" customHeight="1">
      <c r="A5460" s="7">
        <v>5447.0</v>
      </c>
      <c r="B5460" s="14">
        <f t="shared" si="1"/>
        <v>0.1077846134</v>
      </c>
      <c r="C5460" s="39">
        <f t="array" ref="C5460">NPV(B5460,FCFF!$C$9:$I$9)+FCFF!$B$9+FCFF!$I$9*(1+Inputs!$B$6)/(B5460-Inputs!$B$6)/(1+B5460)^7</f>
        <v>-1581.773956</v>
      </c>
    </row>
    <row r="5461" ht="14.25" customHeight="1">
      <c r="A5461" s="7">
        <v>5448.0</v>
      </c>
      <c r="B5461" s="14">
        <f t="shared" si="1"/>
        <v>0.1028792726</v>
      </c>
      <c r="C5461" s="39">
        <f t="array" ref="C5461">NPV(B5461,FCFF!$C$9:$I$9)+FCFF!$B$9+FCFF!$I$9*(1+Inputs!$B$6)/(B5461-Inputs!$B$6)/(1+B5461)^7</f>
        <v>-1461.96557</v>
      </c>
    </row>
    <row r="5462" ht="14.25" customHeight="1">
      <c r="A5462" s="7">
        <v>5449.0</v>
      </c>
      <c r="B5462" s="14">
        <f t="shared" si="1"/>
        <v>0.1153182591</v>
      </c>
      <c r="C5462" s="39">
        <f t="array" ref="C5462">NPV(B5462,FCFF!$C$9:$I$9)+FCFF!$B$9+FCFF!$I$9*(1+Inputs!$B$6)/(B5462-Inputs!$B$6)/(1+B5462)^7</f>
        <v>-1738.241924</v>
      </c>
    </row>
    <row r="5463" ht="14.25" customHeight="1">
      <c r="A5463" s="7">
        <v>5450.0</v>
      </c>
      <c r="B5463" s="14">
        <f t="shared" si="1"/>
        <v>0.09521644518</v>
      </c>
      <c r="C5463" s="39">
        <f t="array" ref="C5463">NPV(B5463,FCFF!$C$9:$I$9)+FCFF!$B$9+FCFF!$I$9*(1+Inputs!$B$6)/(B5463-Inputs!$B$6)/(1+B5463)^7</f>
        <v>-1238.297399</v>
      </c>
    </row>
    <row r="5464" ht="14.25" customHeight="1">
      <c r="A5464" s="7">
        <v>5451.0</v>
      </c>
      <c r="B5464" s="14">
        <f t="shared" si="1"/>
        <v>0.1177652563</v>
      </c>
      <c r="C5464" s="39">
        <f t="array" ref="C5464">NPV(B5464,FCFF!$C$9:$I$9)+FCFF!$B$9+FCFF!$I$9*(1+Inputs!$B$6)/(B5464-Inputs!$B$6)/(1+B5464)^7</f>
        <v>-1783.055141</v>
      </c>
    </row>
    <row r="5465" ht="14.25" customHeight="1">
      <c r="A5465" s="7">
        <v>5452.0</v>
      </c>
      <c r="B5465" s="14">
        <f t="shared" si="1"/>
        <v>0.09323987978</v>
      </c>
      <c r="C5465" s="39">
        <f t="array" ref="C5465">NPV(B5465,FCFF!$C$9:$I$9)+FCFF!$B$9+FCFF!$I$9*(1+Inputs!$B$6)/(B5465-Inputs!$B$6)/(1+B5465)^7</f>
        <v>-1171.824206</v>
      </c>
    </row>
    <row r="5466" ht="14.25" customHeight="1">
      <c r="A5466" s="7">
        <v>5453.0</v>
      </c>
      <c r="B5466" s="14">
        <f t="shared" si="1"/>
        <v>0.111566844</v>
      </c>
      <c r="C5466" s="39">
        <f t="array" ref="C5466">NPV(B5466,FCFF!$C$9:$I$9)+FCFF!$B$9+FCFF!$I$9*(1+Inputs!$B$6)/(B5466-Inputs!$B$6)/(1+B5466)^7</f>
        <v>-1664.072874</v>
      </c>
    </row>
    <row r="5467" ht="14.25" customHeight="1">
      <c r="A5467" s="7">
        <v>5454.0</v>
      </c>
      <c r="B5467" s="14">
        <f t="shared" si="1"/>
        <v>0.09842136833</v>
      </c>
      <c r="C5467" s="39">
        <f t="array" ref="C5467">NPV(B5467,FCFF!$C$9:$I$9)+FCFF!$B$9+FCFF!$I$9*(1+Inputs!$B$6)/(B5467-Inputs!$B$6)/(1+B5467)^7</f>
        <v>-1337.959769</v>
      </c>
    </row>
    <row r="5468" ht="14.25" customHeight="1">
      <c r="A5468" s="7">
        <v>5455.0</v>
      </c>
      <c r="B5468" s="14">
        <f t="shared" si="1"/>
        <v>0.09921259286</v>
      </c>
      <c r="C5468" s="39">
        <f t="array" ref="C5468">NPV(B5468,FCFF!$C$9:$I$9)+FCFF!$B$9+FCFF!$I$9*(1+Inputs!$B$6)/(B5468-Inputs!$B$6)/(1+B5468)^7</f>
        <v>-1361.143446</v>
      </c>
    </row>
    <row r="5469" ht="14.25" customHeight="1">
      <c r="A5469" s="7">
        <v>5456.0</v>
      </c>
      <c r="B5469" s="14">
        <f t="shared" si="1"/>
        <v>0.1070841055</v>
      </c>
      <c r="C5469" s="39">
        <f t="array" ref="C5469">NPV(B5469,FCFF!$C$9:$I$9)+FCFF!$B$9+FCFF!$I$9*(1+Inputs!$B$6)/(B5469-Inputs!$B$6)/(1+B5469)^7</f>
        <v>-1565.618157</v>
      </c>
    </row>
    <row r="5470" ht="14.25" customHeight="1">
      <c r="A5470" s="7">
        <v>5457.0</v>
      </c>
      <c r="B5470" s="14">
        <f t="shared" si="1"/>
        <v>0.1149143988</v>
      </c>
      <c r="C5470" s="39">
        <f t="array" ref="C5470">NPV(B5470,FCFF!$C$9:$I$9)+FCFF!$B$9+FCFF!$I$9*(1+Inputs!$B$6)/(B5470-Inputs!$B$6)/(1+B5470)^7</f>
        <v>-1730.585339</v>
      </c>
    </row>
    <row r="5471" ht="14.25" customHeight="1">
      <c r="A5471" s="7">
        <v>5458.0</v>
      </c>
      <c r="B5471" s="14">
        <f t="shared" si="1"/>
        <v>0.1196444041</v>
      </c>
      <c r="C5471" s="39">
        <f t="array" ref="C5471">NPV(B5471,FCFF!$C$9:$I$9)+FCFF!$B$9+FCFF!$I$9*(1+Inputs!$B$6)/(B5471-Inputs!$B$6)/(1+B5471)^7</f>
        <v>-1815.723347</v>
      </c>
    </row>
    <row r="5472" ht="14.25" customHeight="1">
      <c r="A5472" s="7">
        <v>5459.0</v>
      </c>
      <c r="B5472" s="14">
        <f t="shared" si="1"/>
        <v>0.1186899926</v>
      </c>
      <c r="C5472" s="39">
        <f t="array" ref="C5472">NPV(B5472,FCFF!$C$9:$I$9)+FCFF!$B$9+FCFF!$I$9*(1+Inputs!$B$6)/(B5472-Inputs!$B$6)/(1+B5472)^7</f>
        <v>-1799.313879</v>
      </c>
    </row>
    <row r="5473" ht="14.25" customHeight="1">
      <c r="A5473" s="7">
        <v>5460.0</v>
      </c>
      <c r="B5473" s="14">
        <f t="shared" si="1"/>
        <v>0.1299672938</v>
      </c>
      <c r="C5473" s="39">
        <f t="array" ref="C5473">NPV(B5473,FCFF!$C$9:$I$9)+FCFF!$B$9+FCFF!$I$9*(1+Inputs!$B$6)/(B5473-Inputs!$B$6)/(1+B5473)^7</f>
        <v>-1971.97386</v>
      </c>
    </row>
    <row r="5474" ht="14.25" customHeight="1">
      <c r="A5474" s="7">
        <v>5461.0</v>
      </c>
      <c r="B5474" s="14">
        <f t="shared" si="1"/>
        <v>0.1127153513</v>
      </c>
      <c r="C5474" s="39">
        <f t="array" ref="C5474">NPV(B5474,FCFF!$C$9:$I$9)+FCFF!$B$9+FCFF!$I$9*(1+Inputs!$B$6)/(B5474-Inputs!$B$6)/(1+B5474)^7</f>
        <v>-1687.523978</v>
      </c>
    </row>
    <row r="5475" ht="14.25" customHeight="1">
      <c r="A5475" s="7">
        <v>5462.0</v>
      </c>
      <c r="B5475" s="14">
        <f t="shared" si="1"/>
        <v>0.1100754756</v>
      </c>
      <c r="C5475" s="39">
        <f t="array" ref="C5475">NPV(B5475,FCFF!$C$9:$I$9)+FCFF!$B$9+FCFF!$I$9*(1+Inputs!$B$6)/(B5475-Inputs!$B$6)/(1+B5475)^7</f>
        <v>-1632.579792</v>
      </c>
    </row>
    <row r="5476" ht="14.25" customHeight="1">
      <c r="A5476" s="7">
        <v>5463.0</v>
      </c>
      <c r="B5476" s="14">
        <f t="shared" si="1"/>
        <v>0.1131017853</v>
      </c>
      <c r="C5476" s="39">
        <f t="array" ref="C5476">NPV(B5476,FCFF!$C$9:$I$9)+FCFF!$B$9+FCFF!$I$9*(1+Inputs!$B$6)/(B5476-Inputs!$B$6)/(1+B5476)^7</f>
        <v>-1695.263087</v>
      </c>
    </row>
    <row r="5477" ht="14.25" customHeight="1">
      <c r="A5477" s="7">
        <v>5464.0</v>
      </c>
      <c r="B5477" s="14">
        <f t="shared" si="1"/>
        <v>0.1304030125</v>
      </c>
      <c r="C5477" s="39">
        <f t="array" ref="C5477">NPV(B5477,FCFF!$C$9:$I$9)+FCFF!$B$9+FCFF!$I$9*(1+Inputs!$B$6)/(B5477-Inputs!$B$6)/(1+B5477)^7</f>
        <v>-1977.810879</v>
      </c>
    </row>
    <row r="5478" ht="14.25" customHeight="1">
      <c r="A5478" s="7">
        <v>5465.0</v>
      </c>
      <c r="B5478" s="14">
        <f t="shared" si="1"/>
        <v>0.1271598038</v>
      </c>
      <c r="C5478" s="39">
        <f t="array" ref="C5478">NPV(B5478,FCFF!$C$9:$I$9)+FCFF!$B$9+FCFF!$I$9*(1+Inputs!$B$6)/(B5478-Inputs!$B$6)/(1+B5478)^7</f>
        <v>-1933.001959</v>
      </c>
    </row>
    <row r="5479" ht="14.25" customHeight="1">
      <c r="A5479" s="7">
        <v>5466.0</v>
      </c>
      <c r="B5479" s="14">
        <f t="shared" si="1"/>
        <v>0.1110227381</v>
      </c>
      <c r="C5479" s="39">
        <f t="array" ref="C5479">NPV(B5479,FCFF!$C$9:$I$9)+FCFF!$B$9+FCFF!$I$9*(1+Inputs!$B$6)/(B5479-Inputs!$B$6)/(1+B5479)^7</f>
        <v>-1652.72207</v>
      </c>
    </row>
    <row r="5480" ht="14.25" customHeight="1">
      <c r="A5480" s="7">
        <v>5467.0</v>
      </c>
      <c r="B5480" s="14">
        <f t="shared" si="1"/>
        <v>0.1143607592</v>
      </c>
      <c r="C5480" s="39">
        <f t="array" ref="C5480">NPV(B5480,FCFF!$C$9:$I$9)+FCFF!$B$9+FCFF!$I$9*(1+Inputs!$B$6)/(B5480-Inputs!$B$6)/(1+B5480)^7</f>
        <v>-1719.964591</v>
      </c>
    </row>
    <row r="5481" ht="14.25" customHeight="1">
      <c r="A5481" s="7">
        <v>5468.0</v>
      </c>
      <c r="B5481" s="14">
        <f t="shared" si="1"/>
        <v>0.1162448852</v>
      </c>
      <c r="C5481" s="39">
        <f t="array" ref="C5481">NPV(B5481,FCFF!$C$9:$I$9)+FCFF!$B$9+FCFF!$I$9*(1+Inputs!$B$6)/(B5481-Inputs!$B$6)/(1+B5481)^7</f>
        <v>-1755.525731</v>
      </c>
    </row>
    <row r="5482" ht="14.25" customHeight="1">
      <c r="A5482" s="7">
        <v>5469.0</v>
      </c>
      <c r="B5482" s="14">
        <f t="shared" si="1"/>
        <v>0.1303567756</v>
      </c>
      <c r="C5482" s="39">
        <f t="array" ref="C5482">NPV(B5482,FCFF!$C$9:$I$9)+FCFF!$B$9+FCFF!$I$9*(1+Inputs!$B$6)/(B5482-Inputs!$B$6)/(1+B5482)^7</f>
        <v>-1977.194084</v>
      </c>
    </row>
    <row r="5483" ht="14.25" customHeight="1">
      <c r="A5483" s="7">
        <v>5470.0</v>
      </c>
      <c r="B5483" s="14">
        <f t="shared" si="1"/>
        <v>0.1082542514</v>
      </c>
      <c r="C5483" s="39">
        <f t="array" ref="C5483">NPV(B5483,FCFF!$C$9:$I$9)+FCFF!$B$9+FCFF!$I$9*(1+Inputs!$B$6)/(B5483-Inputs!$B$6)/(1+B5483)^7</f>
        <v>-1592.438947</v>
      </c>
    </row>
    <row r="5484" ht="14.25" customHeight="1">
      <c r="A5484" s="7">
        <v>5471.0</v>
      </c>
      <c r="B5484" s="14">
        <f t="shared" si="1"/>
        <v>0.1274521536</v>
      </c>
      <c r="C5484" s="39">
        <f t="array" ref="C5484">NPV(B5484,FCFF!$C$9:$I$9)+FCFF!$B$9+FCFF!$I$9*(1+Inputs!$B$6)/(B5484-Inputs!$B$6)/(1+B5484)^7</f>
        <v>-1937.173408</v>
      </c>
    </row>
    <row r="5485" ht="14.25" customHeight="1">
      <c r="A5485" s="7">
        <v>5472.0</v>
      </c>
      <c r="B5485" s="14">
        <f t="shared" si="1"/>
        <v>0.1327196113</v>
      </c>
      <c r="C5485" s="39">
        <f t="array" ref="C5485">NPV(B5485,FCFF!$C$9:$I$9)+FCFF!$B$9+FCFF!$I$9*(1+Inputs!$B$6)/(B5485-Inputs!$B$6)/(1+B5485)^7</f>
        <v>-2007.941395</v>
      </c>
    </row>
    <row r="5486" ht="14.25" customHeight="1">
      <c r="A5486" s="7">
        <v>5473.0</v>
      </c>
      <c r="B5486" s="14">
        <f t="shared" si="1"/>
        <v>0.09984335693</v>
      </c>
      <c r="C5486" s="39">
        <f t="array" ref="C5486">NPV(B5486,FCFF!$C$9:$I$9)+FCFF!$B$9+FCFF!$I$9*(1+Inputs!$B$6)/(B5486-Inputs!$B$6)/(1+B5486)^7</f>
        <v>-1379.24759</v>
      </c>
    </row>
    <row r="5487" ht="14.25" customHeight="1">
      <c r="A5487" s="7">
        <v>5474.0</v>
      </c>
      <c r="B5487" s="14">
        <f t="shared" si="1"/>
        <v>0.1213923395</v>
      </c>
      <c r="C5487" s="39">
        <f t="array" ref="C5487">NPV(B5487,FCFF!$C$9:$I$9)+FCFF!$B$9+FCFF!$I$9*(1+Inputs!$B$6)/(B5487-Inputs!$B$6)/(1+B5487)^7</f>
        <v>-1844.83636</v>
      </c>
    </row>
    <row r="5488" ht="14.25" customHeight="1">
      <c r="A5488" s="7">
        <v>5475.0</v>
      </c>
      <c r="B5488" s="14">
        <f t="shared" si="1"/>
        <v>0.1038924274</v>
      </c>
      <c r="C5488" s="39">
        <f t="array" ref="C5488">NPV(B5488,FCFF!$C$9:$I$9)+FCFF!$B$9+FCFF!$I$9*(1+Inputs!$B$6)/(B5488-Inputs!$B$6)/(1+B5488)^7</f>
        <v>-1488.039687</v>
      </c>
    </row>
    <row r="5489" ht="14.25" customHeight="1">
      <c r="A5489" s="7">
        <v>5476.0</v>
      </c>
      <c r="B5489" s="14">
        <f t="shared" si="1"/>
        <v>0.1275567464</v>
      </c>
      <c r="C5489" s="39">
        <f t="array" ref="C5489">NPV(B5489,FCFF!$C$9:$I$9)+FCFF!$B$9+FCFF!$I$9*(1+Inputs!$B$6)/(B5489-Inputs!$B$6)/(1+B5489)^7</f>
        <v>-1938.659265</v>
      </c>
    </row>
    <row r="5490" ht="14.25" customHeight="1">
      <c r="A5490" s="7">
        <v>5477.0</v>
      </c>
      <c r="B5490" s="14">
        <f t="shared" si="1"/>
        <v>0.1269282188</v>
      </c>
      <c r="C5490" s="39">
        <f t="array" ref="C5490">NPV(B5490,FCFF!$C$9:$I$9)+FCFF!$B$9+FCFF!$I$9*(1+Inputs!$B$6)/(B5490-Inputs!$B$6)/(1+B5490)^7</f>
        <v>-1929.67829</v>
      </c>
    </row>
    <row r="5491" ht="14.25" customHeight="1">
      <c r="A5491" s="7">
        <v>5478.0</v>
      </c>
      <c r="B5491" s="14">
        <f t="shared" si="1"/>
        <v>0.09687258814</v>
      </c>
      <c r="C5491" s="39">
        <f t="array" ref="C5491">NPV(B5491,FCFF!$C$9:$I$9)+FCFF!$B$9+FCFF!$I$9*(1+Inputs!$B$6)/(B5491-Inputs!$B$6)/(1+B5491)^7</f>
        <v>-1290.988344</v>
      </c>
    </row>
    <row r="5492" ht="14.25" customHeight="1">
      <c r="A5492" s="7">
        <v>5479.0</v>
      </c>
      <c r="B5492" s="14">
        <f t="shared" si="1"/>
        <v>0.09496392058</v>
      </c>
      <c r="C5492" s="39">
        <f t="array" ref="C5492">NPV(B5492,FCFF!$C$9:$I$9)+FCFF!$B$9+FCFF!$I$9*(1+Inputs!$B$6)/(B5492-Inputs!$B$6)/(1+B5492)^7</f>
        <v>-1230.028361</v>
      </c>
    </row>
    <row r="5493" ht="14.25" customHeight="1">
      <c r="A5493" s="7">
        <v>5480.0</v>
      </c>
      <c r="B5493" s="14">
        <f t="shared" si="1"/>
        <v>0.1188560849</v>
      </c>
      <c r="C5493" s="39">
        <f t="array" ref="C5493">NPV(B5493,FCFF!$C$9:$I$9)+FCFF!$B$9+FCFF!$I$9*(1+Inputs!$B$6)/(B5493-Inputs!$B$6)/(1+B5493)^7</f>
        <v>-1802.196317</v>
      </c>
    </row>
    <row r="5494" ht="14.25" customHeight="1">
      <c r="A5494" s="7">
        <v>5481.0</v>
      </c>
      <c r="B5494" s="14">
        <f t="shared" si="1"/>
        <v>0.1207857448</v>
      </c>
      <c r="C5494" s="39">
        <f t="array" ref="C5494">NPV(B5494,FCFF!$C$9:$I$9)+FCFF!$B$9+FCFF!$I$9*(1+Inputs!$B$6)/(B5494-Inputs!$B$6)/(1+B5494)^7</f>
        <v>-1834.867794</v>
      </c>
    </row>
    <row r="5495" ht="14.25" customHeight="1">
      <c r="A5495" s="7">
        <v>5482.0</v>
      </c>
      <c r="B5495" s="14">
        <f t="shared" si="1"/>
        <v>0.1162997631</v>
      </c>
      <c r="C5495" s="39">
        <f t="array" ref="C5495">NPV(B5495,FCFF!$C$9:$I$9)+FCFF!$B$9+FCFF!$I$9*(1+Inputs!$B$6)/(B5495-Inputs!$B$6)/(1+B5495)^7</f>
        <v>-1756.537136</v>
      </c>
    </row>
    <row r="5496" ht="14.25" customHeight="1">
      <c r="A5496" s="7">
        <v>5483.0</v>
      </c>
      <c r="B5496" s="14">
        <f t="shared" si="1"/>
        <v>0.09773931733</v>
      </c>
      <c r="C5496" s="39">
        <f t="array" ref="C5496">NPV(B5496,FCFF!$C$9:$I$9)+FCFF!$B$9+FCFF!$I$9*(1+Inputs!$B$6)/(B5496-Inputs!$B$6)/(1+B5496)^7</f>
        <v>-1317.539275</v>
      </c>
    </row>
    <row r="5497" ht="14.25" customHeight="1">
      <c r="A5497" s="7">
        <v>5484.0</v>
      </c>
      <c r="B5497" s="14">
        <f t="shared" si="1"/>
        <v>0.1277788533</v>
      </c>
      <c r="C5497" s="39">
        <f t="array" ref="C5497">NPV(B5497,FCFF!$C$9:$I$9)+FCFF!$B$9+FCFF!$I$9*(1+Inputs!$B$6)/(B5497-Inputs!$B$6)/(1+B5497)^7</f>
        <v>-1941.803166</v>
      </c>
    </row>
    <row r="5498" ht="14.25" customHeight="1">
      <c r="A5498" s="7">
        <v>5485.0</v>
      </c>
      <c r="B5498" s="14">
        <f t="shared" si="1"/>
        <v>0.1279748514</v>
      </c>
      <c r="C5498" s="39">
        <f t="array" ref="C5498">NPV(B5498,FCFF!$C$9:$I$9)+FCFF!$B$9+FCFF!$I$9*(1+Inputs!$B$6)/(B5498-Inputs!$B$6)/(1+B5498)^7</f>
        <v>-1944.564724</v>
      </c>
    </row>
    <row r="5499" ht="14.25" customHeight="1">
      <c r="A5499" s="7">
        <v>5486.0</v>
      </c>
      <c r="B5499" s="14">
        <f t="shared" si="1"/>
        <v>0.1116032398</v>
      </c>
      <c r="C5499" s="39">
        <f t="array" ref="C5499">NPV(B5499,FCFF!$C$9:$I$9)+FCFF!$B$9+FCFF!$I$9*(1+Inputs!$B$6)/(B5499-Inputs!$B$6)/(1+B5499)^7</f>
        <v>-1664.826546</v>
      </c>
    </row>
    <row r="5500" ht="14.25" customHeight="1">
      <c r="A5500" s="7">
        <v>5487.0</v>
      </c>
      <c r="B5500" s="14">
        <f t="shared" si="1"/>
        <v>0.1217926392</v>
      </c>
      <c r="C5500" s="39">
        <f t="array" ref="C5500">NPV(B5500,FCFF!$C$9:$I$9)+FCFF!$B$9+FCFF!$I$9*(1+Inputs!$B$6)/(B5500-Inputs!$B$6)/(1+B5500)^7</f>
        <v>-1851.338116</v>
      </c>
    </row>
    <row r="5501" ht="14.25" customHeight="1">
      <c r="A5501" s="7">
        <v>5488.0</v>
      </c>
      <c r="B5501" s="14">
        <f t="shared" si="1"/>
        <v>0.1208441898</v>
      </c>
      <c r="C5501" s="39">
        <f t="array" ref="C5501">NPV(B5501,FCFF!$C$9:$I$9)+FCFF!$B$9+FCFF!$I$9*(1+Inputs!$B$6)/(B5501-Inputs!$B$6)/(1+B5501)^7</f>
        <v>-1835.834412</v>
      </c>
    </row>
    <row r="5502" ht="14.25" customHeight="1">
      <c r="A5502" s="7">
        <v>5489.0</v>
      </c>
      <c r="B5502" s="14">
        <f t="shared" si="1"/>
        <v>0.1300643799</v>
      </c>
      <c r="C5502" s="39">
        <f t="array" ref="C5502">NPV(B5502,FCFF!$C$9:$I$9)+FCFF!$B$9+FCFF!$I$9*(1+Inputs!$B$6)/(B5502-Inputs!$B$6)/(1+B5502)^7</f>
        <v>-1973.279232</v>
      </c>
    </row>
    <row r="5503" ht="14.25" customHeight="1">
      <c r="A5503" s="7">
        <v>5490.0</v>
      </c>
      <c r="B5503" s="14">
        <f t="shared" si="1"/>
        <v>0.09421483485</v>
      </c>
      <c r="C5503" s="39">
        <f t="array" ref="C5503">NPV(B5503,FCFF!$C$9:$I$9)+FCFF!$B$9+FCFF!$I$9*(1+Inputs!$B$6)/(B5503-Inputs!$B$6)/(1+B5503)^7</f>
        <v>-1205.119439</v>
      </c>
    </row>
    <row r="5504" ht="14.25" customHeight="1">
      <c r="A5504" s="7">
        <v>5491.0</v>
      </c>
      <c r="B5504" s="14">
        <f t="shared" si="1"/>
        <v>0.1256263061</v>
      </c>
      <c r="C5504" s="39">
        <f t="array" ref="C5504">NPV(B5504,FCFF!$C$9:$I$9)+FCFF!$B$9+FCFF!$I$9*(1+Inputs!$B$6)/(B5504-Inputs!$B$6)/(1+B5504)^7</f>
        <v>-1910.670783</v>
      </c>
    </row>
    <row r="5505" ht="14.25" customHeight="1">
      <c r="A5505" s="7">
        <v>5492.0</v>
      </c>
      <c r="B5505" s="14">
        <f t="shared" si="1"/>
        <v>0.1055577287</v>
      </c>
      <c r="C5505" s="39">
        <f t="array" ref="C5505">NPV(B5505,FCFF!$C$9:$I$9)+FCFF!$B$9+FCFF!$I$9*(1+Inputs!$B$6)/(B5505-Inputs!$B$6)/(1+B5505)^7</f>
        <v>-1529.352136</v>
      </c>
    </row>
    <row r="5506" ht="14.25" customHeight="1">
      <c r="A5506" s="7">
        <v>5493.0</v>
      </c>
      <c r="B5506" s="14">
        <f t="shared" si="1"/>
        <v>0.1113047675</v>
      </c>
      <c r="C5506" s="39">
        <f t="array" ref="C5506">NPV(B5506,FCFF!$C$9:$I$9)+FCFF!$B$9+FCFF!$I$9*(1+Inputs!$B$6)/(B5506-Inputs!$B$6)/(1+B5506)^7</f>
        <v>-1658.625244</v>
      </c>
    </row>
    <row r="5507" ht="14.25" customHeight="1">
      <c r="A5507" s="7">
        <v>5494.0</v>
      </c>
      <c r="B5507" s="14">
        <f t="shared" si="1"/>
        <v>0.0975622588</v>
      </c>
      <c r="C5507" s="39">
        <f t="array" ref="C5507">NPV(B5507,FCFF!$C$9:$I$9)+FCFF!$B$9+FCFF!$I$9*(1+Inputs!$B$6)/(B5507-Inputs!$B$6)/(1+B5507)^7</f>
        <v>-1312.170699</v>
      </c>
    </row>
    <row r="5508" ht="14.25" customHeight="1">
      <c r="A5508" s="7">
        <v>5495.0</v>
      </c>
      <c r="B5508" s="14">
        <f t="shared" si="1"/>
        <v>0.09922663275</v>
      </c>
      <c r="C5508" s="39">
        <f t="array" ref="C5508">NPV(B5508,FCFF!$C$9:$I$9)+FCFF!$B$9+FCFF!$I$9*(1+Inputs!$B$6)/(B5508-Inputs!$B$6)/(1+B5508)^7</f>
        <v>-1361.550026</v>
      </c>
    </row>
    <row r="5509" ht="14.25" customHeight="1">
      <c r="A5509" s="7">
        <v>5496.0</v>
      </c>
      <c r="B5509" s="14">
        <f t="shared" si="1"/>
        <v>0.09829440007</v>
      </c>
      <c r="C5509" s="39">
        <f t="array" ref="C5509">NPV(B5509,FCFF!$C$9:$I$9)+FCFF!$B$9+FCFF!$I$9*(1+Inputs!$B$6)/(B5509-Inputs!$B$6)/(1+B5509)^7</f>
        <v>-1334.189307</v>
      </c>
    </row>
    <row r="5510" ht="14.25" customHeight="1">
      <c r="A5510" s="7">
        <v>5497.0</v>
      </c>
      <c r="B5510" s="14">
        <f t="shared" si="1"/>
        <v>0.1237934952</v>
      </c>
      <c r="C5510" s="39">
        <f t="array" ref="C5510">NPV(B5510,FCFF!$C$9:$I$9)+FCFF!$B$9+FCFF!$I$9*(1+Inputs!$B$6)/(B5510-Inputs!$B$6)/(1+B5510)^7</f>
        <v>-1882.951421</v>
      </c>
    </row>
    <row r="5511" ht="14.25" customHeight="1">
      <c r="A5511" s="7">
        <v>5498.0</v>
      </c>
      <c r="B5511" s="14">
        <f t="shared" si="1"/>
        <v>0.1204917203</v>
      </c>
      <c r="C5511" s="39">
        <f t="array" ref="C5511">NPV(B5511,FCFF!$C$9:$I$9)+FCFF!$B$9+FCFF!$I$9*(1+Inputs!$B$6)/(B5511-Inputs!$B$6)/(1+B5511)^7</f>
        <v>-1829.984857</v>
      </c>
    </row>
    <row r="5512" ht="14.25" customHeight="1">
      <c r="A5512" s="7">
        <v>5499.0</v>
      </c>
      <c r="B5512" s="14">
        <f t="shared" si="1"/>
        <v>0.1027929068</v>
      </c>
      <c r="C5512" s="39">
        <f t="array" ref="C5512">NPV(B5512,FCFF!$C$9:$I$9)+FCFF!$B$9+FCFF!$I$9*(1+Inputs!$B$6)/(B5512-Inputs!$B$6)/(1+B5512)^7</f>
        <v>-1459.708823</v>
      </c>
    </row>
    <row r="5513" ht="14.25" customHeight="1">
      <c r="A5513" s="7">
        <v>5500.0</v>
      </c>
      <c r="B5513" s="14">
        <f t="shared" si="1"/>
        <v>0.09480288342</v>
      </c>
      <c r="C5513" s="39">
        <f t="array" ref="C5513">NPV(B5513,FCFF!$C$9:$I$9)+FCFF!$B$9+FCFF!$I$9*(1+Inputs!$B$6)/(B5513-Inputs!$B$6)/(1+B5513)^7</f>
        <v>-1224.7217</v>
      </c>
    </row>
    <row r="5514" ht="14.25" customHeight="1">
      <c r="A5514" s="7">
        <v>5501.0</v>
      </c>
      <c r="B5514" s="14">
        <f t="shared" si="1"/>
        <v>0.09933964148</v>
      </c>
      <c r="C5514" s="39">
        <f t="array" ref="C5514">NPV(B5514,FCFF!$C$9:$I$9)+FCFF!$B$9+FCFF!$I$9*(1+Inputs!$B$6)/(B5514-Inputs!$B$6)/(1+B5514)^7</f>
        <v>-1364.816612</v>
      </c>
    </row>
    <row r="5515" ht="14.25" customHeight="1">
      <c r="A5515" s="7">
        <v>5502.0</v>
      </c>
      <c r="B5515" s="14">
        <f t="shared" si="1"/>
        <v>0.1038035069</v>
      </c>
      <c r="C5515" s="39">
        <f t="array" ref="C5515">NPV(B5515,FCFF!$C$9:$I$9)+FCFF!$B$9+FCFF!$I$9*(1+Inputs!$B$6)/(B5515-Inputs!$B$6)/(1+B5515)^7</f>
        <v>-1485.780375</v>
      </c>
    </row>
    <row r="5516" ht="14.25" customHeight="1">
      <c r="A5516" s="7">
        <v>5503.0</v>
      </c>
      <c r="B5516" s="14">
        <f t="shared" si="1"/>
        <v>0.1115680426</v>
      </c>
      <c r="C5516" s="39">
        <f t="array" ref="C5516">NPV(B5516,FCFF!$C$9:$I$9)+FCFF!$B$9+FCFF!$I$9*(1+Inputs!$B$6)/(B5516-Inputs!$B$6)/(1+B5516)^7</f>
        <v>-1664.097706</v>
      </c>
    </row>
    <row r="5517" ht="14.25" customHeight="1">
      <c r="A5517" s="7">
        <v>5504.0</v>
      </c>
      <c r="B5517" s="14">
        <f t="shared" si="1"/>
        <v>0.1013944525</v>
      </c>
      <c r="C5517" s="39">
        <f t="array" ref="C5517">NPV(B5517,FCFF!$C$9:$I$9)+FCFF!$B$9+FCFF!$I$9*(1+Inputs!$B$6)/(B5517-Inputs!$B$6)/(1+B5517)^7</f>
        <v>-1422.397276</v>
      </c>
    </row>
    <row r="5518" ht="14.25" customHeight="1">
      <c r="A5518" s="7">
        <v>5505.0</v>
      </c>
      <c r="B5518" s="14">
        <f t="shared" si="1"/>
        <v>0.1052406744</v>
      </c>
      <c r="C5518" s="39">
        <f t="array" ref="C5518">NPV(B5518,FCFF!$C$9:$I$9)+FCFF!$B$9+FCFF!$I$9*(1+Inputs!$B$6)/(B5518-Inputs!$B$6)/(1+B5518)^7</f>
        <v>-1521.630378</v>
      </c>
    </row>
    <row r="5519" ht="14.25" customHeight="1">
      <c r="A5519" s="7">
        <v>5506.0</v>
      </c>
      <c r="B5519" s="14">
        <f t="shared" si="1"/>
        <v>0.1329047015</v>
      </c>
      <c r="C5519" s="39">
        <f t="array" ref="C5519">NPV(B5519,FCFF!$C$9:$I$9)+FCFF!$B$9+FCFF!$I$9*(1+Inputs!$B$6)/(B5519-Inputs!$B$6)/(1+B5519)^7</f>
        <v>-2010.284971</v>
      </c>
    </row>
    <row r="5520" ht="14.25" customHeight="1">
      <c r="A5520" s="7">
        <v>5507.0</v>
      </c>
      <c r="B5520" s="14">
        <f t="shared" si="1"/>
        <v>0.102831597</v>
      </c>
      <c r="C5520" s="39">
        <f t="array" ref="C5520">NPV(B5520,FCFF!$C$9:$I$9)+FCFF!$B$9+FCFF!$I$9*(1+Inputs!$B$6)/(B5520-Inputs!$B$6)/(1+B5520)^7</f>
        <v>-1460.720474</v>
      </c>
    </row>
    <row r="5521" ht="14.25" customHeight="1">
      <c r="A5521" s="7">
        <v>5508.0</v>
      </c>
      <c r="B5521" s="14">
        <f t="shared" si="1"/>
        <v>0.1288242759</v>
      </c>
      <c r="C5521" s="39">
        <f t="array" ref="C5521">NPV(B5521,FCFF!$C$9:$I$9)+FCFF!$B$9+FCFF!$I$9*(1+Inputs!$B$6)/(B5521-Inputs!$B$6)/(1+B5521)^7</f>
        <v>-1956.396165</v>
      </c>
    </row>
    <row r="5522" ht="14.25" customHeight="1">
      <c r="A5522" s="7">
        <v>5509.0</v>
      </c>
      <c r="B5522" s="14">
        <f t="shared" si="1"/>
        <v>0.09544243197</v>
      </c>
      <c r="C5522" s="39">
        <f t="array" ref="C5522">NPV(B5522,FCFF!$C$9:$I$9)+FCFF!$B$9+FCFF!$I$9*(1+Inputs!$B$6)/(B5522-Inputs!$B$6)/(1+B5522)^7</f>
        <v>-1245.643674</v>
      </c>
    </row>
    <row r="5523" ht="14.25" customHeight="1">
      <c r="A5523" s="7">
        <v>5510.0</v>
      </c>
      <c r="B5523" s="14">
        <f t="shared" si="1"/>
        <v>0.1166535008</v>
      </c>
      <c r="C5523" s="39">
        <f t="array" ref="C5523">NPV(B5523,FCFF!$C$9:$I$9)+FCFF!$B$9+FCFF!$I$9*(1+Inputs!$B$6)/(B5523-Inputs!$B$6)/(1+B5523)^7</f>
        <v>-1763.024295</v>
      </c>
    </row>
    <row r="5524" ht="14.25" customHeight="1">
      <c r="A5524" s="7">
        <v>5511.0</v>
      </c>
      <c r="B5524" s="14">
        <f t="shared" si="1"/>
        <v>0.1134987431</v>
      </c>
      <c r="C5524" s="39">
        <f t="array" ref="C5524">NPV(B5524,FCFF!$C$9:$I$9)+FCFF!$B$9+FCFF!$I$9*(1+Inputs!$B$6)/(B5524-Inputs!$B$6)/(1+B5524)^7</f>
        <v>-1703.135344</v>
      </c>
    </row>
    <row r="5525" ht="14.25" customHeight="1">
      <c r="A5525" s="7">
        <v>5512.0</v>
      </c>
      <c r="B5525" s="14">
        <f t="shared" si="1"/>
        <v>0.1310685337</v>
      </c>
      <c r="C5525" s="39">
        <f t="array" ref="C5525">NPV(B5525,FCFF!$C$9:$I$9)+FCFF!$B$9+FCFF!$I$9*(1+Inputs!$B$6)/(B5525-Inputs!$B$6)/(1+B5525)^7</f>
        <v>-1986.620909</v>
      </c>
    </row>
    <row r="5526" ht="14.25" customHeight="1">
      <c r="A5526" s="7">
        <v>5513.0</v>
      </c>
      <c r="B5526" s="14">
        <f t="shared" si="1"/>
        <v>0.1290610456</v>
      </c>
      <c r="C5526" s="39">
        <f t="array" ref="C5526">NPV(B5526,FCFF!$C$9:$I$9)+FCFF!$B$9+FCFF!$I$9*(1+Inputs!$B$6)/(B5526-Inputs!$B$6)/(1+B5526)^7</f>
        <v>-1959.654981</v>
      </c>
    </row>
    <row r="5527" ht="14.25" customHeight="1">
      <c r="A5527" s="7">
        <v>5514.0</v>
      </c>
      <c r="B5527" s="14">
        <f t="shared" si="1"/>
        <v>0.1057899021</v>
      </c>
      <c r="C5527" s="39">
        <f t="array" ref="C5527">NPV(B5527,FCFF!$C$9:$I$9)+FCFF!$B$9+FCFF!$I$9*(1+Inputs!$B$6)/(B5527-Inputs!$B$6)/(1+B5527)^7</f>
        <v>-1534.964811</v>
      </c>
    </row>
    <row r="5528" ht="14.25" customHeight="1">
      <c r="A5528" s="7">
        <v>5515.0</v>
      </c>
      <c r="B5528" s="14">
        <f t="shared" si="1"/>
        <v>0.1154016344</v>
      </c>
      <c r="C5528" s="39">
        <f t="array" ref="C5528">NPV(B5528,FCFF!$C$9:$I$9)+FCFF!$B$9+FCFF!$I$9*(1+Inputs!$B$6)/(B5528-Inputs!$B$6)/(1+B5528)^7</f>
        <v>-1739.81316</v>
      </c>
    </row>
    <row r="5529" ht="14.25" customHeight="1">
      <c r="A5529" s="7">
        <v>5516.0</v>
      </c>
      <c r="B5529" s="14">
        <f t="shared" si="1"/>
        <v>0.1076460401</v>
      </c>
      <c r="C5529" s="39">
        <f t="array" ref="C5529">NPV(B5529,FCFF!$C$9:$I$9)+FCFF!$B$9+FCFF!$I$9*(1+Inputs!$B$6)/(B5529-Inputs!$B$6)/(1+B5529)^7</f>
        <v>-1578.601777</v>
      </c>
    </row>
    <row r="5530" ht="14.25" customHeight="1">
      <c r="A5530" s="7">
        <v>5517.0</v>
      </c>
      <c r="B5530" s="14">
        <f t="shared" si="1"/>
        <v>0.1150033861</v>
      </c>
      <c r="C5530" s="39">
        <f t="array" ref="C5530">NPV(B5530,FCFF!$C$9:$I$9)+FCFF!$B$9+FCFF!$I$9*(1+Inputs!$B$6)/(B5530-Inputs!$B$6)/(1+B5530)^7</f>
        <v>-1732.27894</v>
      </c>
    </row>
    <row r="5531" ht="14.25" customHeight="1">
      <c r="A5531" s="7">
        <v>5518.0</v>
      </c>
      <c r="B5531" s="14">
        <f t="shared" si="1"/>
        <v>0.1039178449</v>
      </c>
      <c r="C5531" s="39">
        <f t="array" ref="C5531">NPV(B5531,FCFF!$C$9:$I$9)+FCFF!$B$9+FCFF!$I$9*(1+Inputs!$B$6)/(B5531-Inputs!$B$6)/(1+B5531)^7</f>
        <v>-1488.684484</v>
      </c>
    </row>
    <row r="5532" ht="14.25" customHeight="1">
      <c r="A5532" s="7">
        <v>5519.0</v>
      </c>
      <c r="B5532" s="14">
        <f t="shared" si="1"/>
        <v>0.100212367</v>
      </c>
      <c r="C5532" s="39">
        <f t="array" ref="C5532">NPV(B5532,FCFF!$C$9:$I$9)+FCFF!$B$9+FCFF!$I$9*(1+Inputs!$B$6)/(B5532-Inputs!$B$6)/(1+B5532)^7</f>
        <v>-1389.687201</v>
      </c>
    </row>
    <row r="5533" ht="14.25" customHeight="1">
      <c r="A5533" s="7">
        <v>5520.0</v>
      </c>
      <c r="B5533" s="14">
        <f t="shared" si="1"/>
        <v>0.1008283603</v>
      </c>
      <c r="C5533" s="39">
        <f t="array" ref="C5533">NPV(B5533,FCFF!$C$9:$I$9)+FCFF!$B$9+FCFF!$I$9*(1+Inputs!$B$6)/(B5533-Inputs!$B$6)/(1+B5533)^7</f>
        <v>-1406.870071</v>
      </c>
    </row>
    <row r="5534" ht="14.25" customHeight="1">
      <c r="A5534" s="7">
        <v>5521.0</v>
      </c>
      <c r="B5534" s="14">
        <f t="shared" si="1"/>
        <v>0.1144304091</v>
      </c>
      <c r="C5534" s="39">
        <f t="array" ref="C5534">NPV(B5534,FCFF!$C$9:$I$9)+FCFF!$B$9+FCFF!$I$9*(1+Inputs!$B$6)/(B5534-Inputs!$B$6)/(1+B5534)^7</f>
        <v>-1721.308721</v>
      </c>
    </row>
    <row r="5535" ht="14.25" customHeight="1">
      <c r="A5535" s="7">
        <v>5522.0</v>
      </c>
      <c r="B5535" s="14">
        <f t="shared" si="1"/>
        <v>0.1298242289</v>
      </c>
      <c r="C5535" s="39">
        <f t="array" ref="C5535">NPV(B5535,FCFF!$C$9:$I$9)+FCFF!$B$9+FCFF!$I$9*(1+Inputs!$B$6)/(B5535-Inputs!$B$6)/(1+B5535)^7</f>
        <v>-1970.045257</v>
      </c>
    </row>
    <row r="5536" ht="14.25" customHeight="1">
      <c r="A5536" s="7">
        <v>5523.0</v>
      </c>
      <c r="B5536" s="14">
        <f t="shared" si="1"/>
        <v>0.09709960401</v>
      </c>
      <c r="C5536" s="39">
        <f t="array" ref="C5536">NPV(B5536,FCFF!$C$9:$I$9)+FCFF!$B$9+FCFF!$I$9*(1+Inputs!$B$6)/(B5536-Inputs!$B$6)/(1+B5536)^7</f>
        <v>-1298.008875</v>
      </c>
    </row>
    <row r="5537" ht="14.25" customHeight="1">
      <c r="A5537" s="7">
        <v>5524.0</v>
      </c>
      <c r="B5537" s="14">
        <f t="shared" si="1"/>
        <v>0.1280277323</v>
      </c>
      <c r="C5537" s="39">
        <f t="array" ref="C5537">NPV(B5537,FCFF!$C$9:$I$9)+FCFF!$B$9+FCFF!$I$9*(1+Inputs!$B$6)/(B5537-Inputs!$B$6)/(1+B5537)^7</f>
        <v>-1945.30776</v>
      </c>
    </row>
    <row r="5538" ht="14.25" customHeight="1">
      <c r="A5538" s="7">
        <v>5525.0</v>
      </c>
      <c r="B5538" s="14">
        <f t="shared" si="1"/>
        <v>0.1320656022</v>
      </c>
      <c r="C5538" s="39">
        <f t="array" ref="C5538">NPV(B5538,FCFF!$C$9:$I$9)+FCFF!$B$9+FCFF!$I$9*(1+Inputs!$B$6)/(B5538-Inputs!$B$6)/(1+B5538)^7</f>
        <v>-1999.586077</v>
      </c>
    </row>
    <row r="5539" ht="14.25" customHeight="1">
      <c r="A5539" s="7">
        <v>5526.0</v>
      </c>
      <c r="B5539" s="14">
        <f t="shared" si="1"/>
        <v>0.1319904868</v>
      </c>
      <c r="C5539" s="39">
        <f t="array" ref="C5539">NPV(B5539,FCFF!$C$9:$I$9)+FCFF!$B$9+FCFF!$I$9*(1+Inputs!$B$6)/(B5539-Inputs!$B$6)/(1+B5539)^7</f>
        <v>-1998.61895</v>
      </c>
    </row>
    <row r="5540" ht="14.25" customHeight="1">
      <c r="A5540" s="7">
        <v>5527.0</v>
      </c>
      <c r="B5540" s="14">
        <f t="shared" si="1"/>
        <v>0.1235936949</v>
      </c>
      <c r="C5540" s="39">
        <f t="array" ref="C5540">NPV(B5540,FCFF!$C$9:$I$9)+FCFF!$B$9+FCFF!$I$9*(1+Inputs!$B$6)/(B5540-Inputs!$B$6)/(1+B5540)^7</f>
        <v>-1879.85938</v>
      </c>
    </row>
    <row r="5541" ht="14.25" customHeight="1">
      <c r="A5541" s="7">
        <v>5528.0</v>
      </c>
      <c r="B5541" s="14">
        <f t="shared" si="1"/>
        <v>0.1148474074</v>
      </c>
      <c r="C5541" s="39">
        <f t="array" ref="C5541">NPV(B5541,FCFF!$C$9:$I$9)+FCFF!$B$9+FCFF!$I$9*(1+Inputs!$B$6)/(B5541-Inputs!$B$6)/(1+B5541)^7</f>
        <v>-1729.30791</v>
      </c>
    </row>
    <row r="5542" ht="14.25" customHeight="1">
      <c r="A5542" s="7">
        <v>5529.0</v>
      </c>
      <c r="B5542" s="14">
        <f t="shared" si="1"/>
        <v>0.1128585398</v>
      </c>
      <c r="C5542" s="39">
        <f t="array" ref="C5542">NPV(B5542,FCFF!$C$9:$I$9)+FCFF!$B$9+FCFF!$I$9*(1+Inputs!$B$6)/(B5542-Inputs!$B$6)/(1+B5542)^7</f>
        <v>-1690.40037</v>
      </c>
    </row>
    <row r="5543" ht="14.25" customHeight="1">
      <c r="A5543" s="7">
        <v>5530.0</v>
      </c>
      <c r="B5543" s="14">
        <f t="shared" si="1"/>
        <v>0.0944727695</v>
      </c>
      <c r="C5543" s="39">
        <f t="array" ref="C5543">NPV(B5543,FCFF!$C$9:$I$9)+FCFF!$B$9+FCFF!$I$9*(1+Inputs!$B$6)/(B5543-Inputs!$B$6)/(1+B5543)^7</f>
        <v>-1213.761206</v>
      </c>
    </row>
    <row r="5544" ht="14.25" customHeight="1">
      <c r="A5544" s="7">
        <v>5531.0</v>
      </c>
      <c r="B5544" s="14">
        <f t="shared" si="1"/>
        <v>0.09376796589</v>
      </c>
      <c r="C5544" s="39">
        <f t="array" ref="C5544">NPV(B5544,FCFF!$C$9:$I$9)+FCFF!$B$9+FCFF!$I$9*(1+Inputs!$B$6)/(B5544-Inputs!$B$6)/(1+B5544)^7</f>
        <v>-1189.983714</v>
      </c>
    </row>
    <row r="5545" ht="14.25" customHeight="1">
      <c r="A5545" s="7">
        <v>5532.0</v>
      </c>
      <c r="B5545" s="14">
        <f t="shared" si="1"/>
        <v>0.1157243501</v>
      </c>
      <c r="C5545" s="39">
        <f t="array" ref="C5545">NPV(B5545,FCFF!$C$9:$I$9)+FCFF!$B$9+FCFF!$I$9*(1+Inputs!$B$6)/(B5545-Inputs!$B$6)/(1+B5545)^7</f>
        <v>-1745.864688</v>
      </c>
    </row>
    <row r="5546" ht="14.25" customHeight="1">
      <c r="A5546" s="7">
        <v>5533.0</v>
      </c>
      <c r="B5546" s="14">
        <f t="shared" si="1"/>
        <v>0.1322713794</v>
      </c>
      <c r="C5546" s="39">
        <f t="array" ref="C5546">NPV(B5546,FCFF!$C$9:$I$9)+FCFF!$B$9+FCFF!$I$9*(1+Inputs!$B$6)/(B5546-Inputs!$B$6)/(1+B5546)^7</f>
        <v>-2002.227569</v>
      </c>
    </row>
    <row r="5547" ht="14.25" customHeight="1">
      <c r="A5547" s="7">
        <v>5534.0</v>
      </c>
      <c r="B5547" s="14">
        <f t="shared" si="1"/>
        <v>0.1078970635</v>
      </c>
      <c r="C5547" s="39">
        <f t="array" ref="C5547">NPV(B5547,FCFF!$C$9:$I$9)+FCFF!$B$9+FCFF!$I$9*(1+Inputs!$B$6)/(B5547-Inputs!$B$6)/(1+B5547)^7</f>
        <v>-1584.339611</v>
      </c>
    </row>
    <row r="5548" ht="14.25" customHeight="1">
      <c r="A5548" s="7">
        <v>5535.0</v>
      </c>
      <c r="B5548" s="14">
        <f t="shared" si="1"/>
        <v>0.1177266616</v>
      </c>
      <c r="C5548" s="39">
        <f t="array" ref="C5548">NPV(B5548,FCFF!$C$9:$I$9)+FCFF!$B$9+FCFF!$I$9*(1+Inputs!$B$6)/(B5548-Inputs!$B$6)/(1+B5548)^7</f>
        <v>-1782.368716</v>
      </c>
    </row>
    <row r="5549" ht="14.25" customHeight="1">
      <c r="A5549" s="7">
        <v>5536.0</v>
      </c>
      <c r="B5549" s="14">
        <f t="shared" si="1"/>
        <v>0.1267895286</v>
      </c>
      <c r="C5549" s="39">
        <f t="array" ref="C5549">NPV(B5549,FCFF!$C$9:$I$9)+FCFF!$B$9+FCFF!$I$9*(1+Inputs!$B$6)/(B5549-Inputs!$B$6)/(1+B5549)^7</f>
        <v>-1927.679629</v>
      </c>
    </row>
    <row r="5550" ht="14.25" customHeight="1">
      <c r="A5550" s="7">
        <v>5537.0</v>
      </c>
      <c r="B5550" s="14">
        <f t="shared" si="1"/>
        <v>0.1264639114</v>
      </c>
      <c r="C5550" s="39">
        <f t="array" ref="C5550">NPV(B5550,FCFF!$C$9:$I$9)+FCFF!$B$9+FCFF!$I$9*(1+Inputs!$B$6)/(B5550-Inputs!$B$6)/(1+B5550)^7</f>
        <v>-1922.962847</v>
      </c>
    </row>
    <row r="5551" ht="14.25" customHeight="1">
      <c r="A5551" s="7">
        <v>5538.0</v>
      </c>
      <c r="B5551" s="14">
        <f t="shared" si="1"/>
        <v>0.1101358924</v>
      </c>
      <c r="C5551" s="39">
        <f t="array" ref="C5551">NPV(B5551,FCFF!$C$9:$I$9)+FCFF!$B$9+FCFF!$I$9*(1+Inputs!$B$6)/(B5551-Inputs!$B$6)/(1+B5551)^7</f>
        <v>-1633.879175</v>
      </c>
    </row>
    <row r="5552" ht="14.25" customHeight="1">
      <c r="A5552" s="7">
        <v>5539.0</v>
      </c>
      <c r="B5552" s="14">
        <f t="shared" si="1"/>
        <v>0.1025228251</v>
      </c>
      <c r="C5552" s="39">
        <f t="array" ref="C5552">NPV(B5552,FCFF!$C$9:$I$9)+FCFF!$B$9+FCFF!$I$9*(1+Inputs!$B$6)/(B5552-Inputs!$B$6)/(1+B5552)^7</f>
        <v>-1452.616392</v>
      </c>
    </row>
    <row r="5553" ht="14.25" customHeight="1">
      <c r="A5553" s="7">
        <v>5540.0</v>
      </c>
      <c r="B5553" s="14">
        <f t="shared" si="1"/>
        <v>0.1295163679</v>
      </c>
      <c r="C5553" s="39">
        <f t="array" ref="C5553">NPV(B5553,FCFF!$C$9:$I$9)+FCFF!$B$9+FCFF!$I$9*(1+Inputs!$B$6)/(B5553-Inputs!$B$6)/(1+B5553)^7</f>
        <v>-1965.874699</v>
      </c>
    </row>
    <row r="5554" ht="14.25" customHeight="1">
      <c r="A5554" s="7">
        <v>5541.0</v>
      </c>
      <c r="B5554" s="14">
        <f t="shared" si="1"/>
        <v>0.112910634</v>
      </c>
      <c r="C5554" s="39">
        <f t="array" ref="C5554">NPV(B5554,FCFF!$C$9:$I$9)+FCFF!$B$9+FCFF!$I$9*(1+Inputs!$B$6)/(B5554-Inputs!$B$6)/(1+B5554)^7</f>
        <v>-1691.444284</v>
      </c>
    </row>
    <row r="5555" ht="14.25" customHeight="1">
      <c r="A5555" s="7">
        <v>5542.0</v>
      </c>
      <c r="B5555" s="14">
        <f t="shared" si="1"/>
        <v>0.1083035751</v>
      </c>
      <c r="C5555" s="39">
        <f t="array" ref="C5555">NPV(B5555,FCFF!$C$9:$I$9)+FCFF!$B$9+FCFF!$I$9*(1+Inputs!$B$6)/(B5555-Inputs!$B$6)/(1+B5555)^7</f>
        <v>-1593.551408</v>
      </c>
    </row>
    <row r="5556" ht="14.25" customHeight="1">
      <c r="A5556" s="7">
        <v>5543.0</v>
      </c>
      <c r="B5556" s="14">
        <f t="shared" si="1"/>
        <v>0.1070122188</v>
      </c>
      <c r="C5556" s="39">
        <f t="array" ref="C5556">NPV(B5556,FCFF!$C$9:$I$9)+FCFF!$B$9+FCFF!$I$9*(1+Inputs!$B$6)/(B5556-Inputs!$B$6)/(1+B5556)^7</f>
        <v>-1563.943179</v>
      </c>
    </row>
    <row r="5557" ht="14.25" customHeight="1">
      <c r="A5557" s="7">
        <v>5544.0</v>
      </c>
      <c r="B5557" s="14">
        <f t="shared" si="1"/>
        <v>0.09392322096</v>
      </c>
      <c r="C5557" s="39">
        <f t="array" ref="C5557">NPV(B5557,FCFF!$C$9:$I$9)+FCFF!$B$9+FCFF!$I$9*(1+Inputs!$B$6)/(B5557-Inputs!$B$6)/(1+B5557)^7</f>
        <v>-1195.266057</v>
      </c>
    </row>
    <row r="5558" ht="14.25" customHeight="1">
      <c r="A5558" s="7">
        <v>5545.0</v>
      </c>
      <c r="B5558" s="14">
        <f t="shared" si="1"/>
        <v>0.1024910988</v>
      </c>
      <c r="C5558" s="39">
        <f t="array" ref="C5558">NPV(B5558,FCFF!$C$9:$I$9)+FCFF!$B$9+FCFF!$I$9*(1+Inputs!$B$6)/(B5558-Inputs!$B$6)/(1+B5558)^7</f>
        <v>-1451.779734</v>
      </c>
    </row>
    <row r="5559" ht="14.25" customHeight="1">
      <c r="A5559" s="7">
        <v>5546.0</v>
      </c>
      <c r="B5559" s="14">
        <f t="shared" si="1"/>
        <v>0.09702730367</v>
      </c>
      <c r="C5559" s="39">
        <f t="array" ref="C5559">NPV(B5559,FCFF!$C$9:$I$9)+FCFF!$B$9+FCFF!$I$9*(1+Inputs!$B$6)/(B5559-Inputs!$B$6)/(1+B5559)^7</f>
        <v>-1295.77812</v>
      </c>
    </row>
    <row r="5560" ht="14.25" customHeight="1">
      <c r="A5560" s="7">
        <v>5547.0</v>
      </c>
      <c r="B5560" s="14">
        <f t="shared" si="1"/>
        <v>0.1117822051</v>
      </c>
      <c r="C5560" s="39">
        <f t="array" ref="C5560">NPV(B5560,FCFF!$C$9:$I$9)+FCFF!$B$9+FCFF!$I$9*(1+Inputs!$B$6)/(B5560-Inputs!$B$6)/(1+B5560)^7</f>
        <v>-1668.522368</v>
      </c>
    </row>
    <row r="5561" ht="14.25" customHeight="1">
      <c r="A5561" s="7">
        <v>5548.0</v>
      </c>
      <c r="B5561" s="14">
        <f t="shared" si="1"/>
        <v>0.1165410463</v>
      </c>
      <c r="C5561" s="39">
        <f t="array" ref="C5561">NPV(B5561,FCFF!$C$9:$I$9)+FCFF!$B$9+FCFF!$I$9*(1+Inputs!$B$6)/(B5561-Inputs!$B$6)/(1+B5561)^7</f>
        <v>-1760.968039</v>
      </c>
    </row>
    <row r="5562" ht="14.25" customHeight="1">
      <c r="A5562" s="7">
        <v>5549.0</v>
      </c>
      <c r="B5562" s="14">
        <f t="shared" si="1"/>
        <v>0.1208526024</v>
      </c>
      <c r="C5562" s="39">
        <f t="array" ref="C5562">NPV(B5562,FCFF!$C$9:$I$9)+FCFF!$B$9+FCFF!$I$9*(1+Inputs!$B$6)/(B5562-Inputs!$B$6)/(1+B5562)^7</f>
        <v>-1835.973439</v>
      </c>
    </row>
    <row r="5563" ht="14.25" customHeight="1">
      <c r="A5563" s="7">
        <v>5550.0</v>
      </c>
      <c r="B5563" s="14">
        <f t="shared" si="1"/>
        <v>0.1075216402</v>
      </c>
      <c r="C5563" s="39">
        <f t="array" ref="C5563">NPV(B5563,FCFF!$C$9:$I$9)+FCFF!$B$9+FCFF!$I$9*(1+Inputs!$B$6)/(B5563-Inputs!$B$6)/(1+B5563)^7</f>
        <v>-1575.744132</v>
      </c>
    </row>
    <row r="5564" ht="14.25" customHeight="1">
      <c r="A5564" s="7">
        <v>5551.0</v>
      </c>
      <c r="B5564" s="14">
        <f t="shared" si="1"/>
        <v>0.1001773174</v>
      </c>
      <c r="C5564" s="39">
        <f t="array" ref="C5564">NPV(B5564,FCFF!$C$9:$I$9)+FCFF!$B$9+FCFF!$I$9*(1+Inputs!$B$6)/(B5564-Inputs!$B$6)/(1+B5564)^7</f>
        <v>-1388.700367</v>
      </c>
    </row>
    <row r="5565" ht="14.25" customHeight="1">
      <c r="A5565" s="7">
        <v>5552.0</v>
      </c>
      <c r="B5565" s="14">
        <f t="shared" si="1"/>
        <v>0.1110527859</v>
      </c>
      <c r="C5565" s="39">
        <f t="array" ref="C5565">NPV(B5565,FCFF!$C$9:$I$9)+FCFF!$B$9+FCFF!$I$9*(1+Inputs!$B$6)/(B5565-Inputs!$B$6)/(1+B5565)^7</f>
        <v>-1653.353026</v>
      </c>
    </row>
    <row r="5566" ht="14.25" customHeight="1">
      <c r="A5566" s="7">
        <v>5553.0</v>
      </c>
      <c r="B5566" s="14">
        <f t="shared" si="1"/>
        <v>0.09985210984</v>
      </c>
      <c r="C5566" s="39">
        <f t="array" ref="C5566">NPV(B5566,FCFF!$C$9:$I$9)+FCFF!$B$9+FCFF!$I$9*(1+Inputs!$B$6)/(B5566-Inputs!$B$6)/(1+B5566)^7</f>
        <v>-1379.496503</v>
      </c>
    </row>
    <row r="5567" ht="14.25" customHeight="1">
      <c r="A5567" s="7">
        <v>5554.0</v>
      </c>
      <c r="B5567" s="14">
        <f t="shared" si="1"/>
        <v>0.09781431923</v>
      </c>
      <c r="C5567" s="39">
        <f t="array" ref="C5567">NPV(B5567,FCFF!$C$9:$I$9)+FCFF!$B$9+FCFF!$I$9*(1+Inputs!$B$6)/(B5567-Inputs!$B$6)/(1+B5567)^7</f>
        <v>-1319.804944</v>
      </c>
    </row>
    <row r="5568" ht="14.25" customHeight="1">
      <c r="A5568" s="7">
        <v>5555.0</v>
      </c>
      <c r="B5568" s="14">
        <f t="shared" si="1"/>
        <v>0.1275760517</v>
      </c>
      <c r="C5568" s="39">
        <f t="array" ref="C5568">NPV(B5568,FCFF!$C$9:$I$9)+FCFF!$B$9+FCFF!$I$9*(1+Inputs!$B$6)/(B5568-Inputs!$B$6)/(1+B5568)^7</f>
        <v>-1938.933141</v>
      </c>
    </row>
    <row r="5569" ht="14.25" customHeight="1">
      <c r="A5569" s="7">
        <v>5556.0</v>
      </c>
      <c r="B5569" s="14">
        <f t="shared" si="1"/>
        <v>0.1084562519</v>
      </c>
      <c r="C5569" s="39">
        <f t="array" ref="C5569">NPV(B5569,FCFF!$C$9:$I$9)+FCFF!$B$9+FCFF!$I$9*(1+Inputs!$B$6)/(B5569-Inputs!$B$6)/(1+B5569)^7</f>
        <v>-1596.985807</v>
      </c>
    </row>
    <row r="5570" ht="14.25" customHeight="1">
      <c r="A5570" s="7">
        <v>5557.0</v>
      </c>
      <c r="B5570" s="14">
        <f t="shared" si="1"/>
        <v>0.1091421064</v>
      </c>
      <c r="C5570" s="39">
        <f t="array" ref="C5570">NPV(B5570,FCFF!$C$9:$I$9)+FCFF!$B$9+FCFF!$I$9*(1+Inputs!$B$6)/(B5570-Inputs!$B$6)/(1+B5570)^7</f>
        <v>-1612.245618</v>
      </c>
    </row>
    <row r="5571" ht="14.25" customHeight="1">
      <c r="A5571" s="7">
        <v>5558.0</v>
      </c>
      <c r="B5571" s="14">
        <f t="shared" si="1"/>
        <v>0.1265415868</v>
      </c>
      <c r="C5571" s="39">
        <f t="array" ref="C5571">NPV(B5571,FCFF!$C$9:$I$9)+FCFF!$B$9+FCFF!$I$9*(1+Inputs!$B$6)/(B5571-Inputs!$B$6)/(1+B5571)^7</f>
        <v>-1924.091138</v>
      </c>
    </row>
    <row r="5572" ht="14.25" customHeight="1">
      <c r="A5572" s="7">
        <v>5559.0</v>
      </c>
      <c r="B5572" s="14">
        <f t="shared" si="1"/>
        <v>0.1034562499</v>
      </c>
      <c r="C5572" s="39">
        <f t="array" ref="C5572">NPV(B5572,FCFF!$C$9:$I$9)+FCFF!$B$9+FCFF!$I$9*(1+Inputs!$B$6)/(B5572-Inputs!$B$6)/(1+B5572)^7</f>
        <v>-1476.903945</v>
      </c>
    </row>
    <row r="5573" ht="14.25" customHeight="1">
      <c r="A5573" s="7">
        <v>5560.0</v>
      </c>
      <c r="B5573" s="14">
        <f t="shared" si="1"/>
        <v>0.09879763285</v>
      </c>
      <c r="C5573" s="39">
        <f t="array" ref="C5573">NPV(B5573,FCFF!$C$9:$I$9)+FCFF!$B$9+FCFF!$I$9*(1+Inputs!$B$6)/(B5573-Inputs!$B$6)/(1+B5573)^7</f>
        <v>-1349.05142</v>
      </c>
    </row>
    <row r="5574" ht="14.25" customHeight="1">
      <c r="A5574" s="7">
        <v>5561.0</v>
      </c>
      <c r="B5574" s="14">
        <f t="shared" si="1"/>
        <v>0.1134728876</v>
      </c>
      <c r="C5574" s="39">
        <f t="array" ref="C5574">NPV(B5574,FCFF!$C$9:$I$9)+FCFF!$B$9+FCFF!$I$9*(1+Inputs!$B$6)/(B5574-Inputs!$B$6)/(1+B5574)^7</f>
        <v>-1702.624966</v>
      </c>
    </row>
    <row r="5575" ht="14.25" customHeight="1">
      <c r="A5575" s="7">
        <v>5562.0</v>
      </c>
      <c r="B5575" s="14">
        <f t="shared" si="1"/>
        <v>0.1210515828</v>
      </c>
      <c r="C5575" s="39">
        <f t="array" ref="C5575">NPV(B5575,FCFF!$C$9:$I$9)+FCFF!$B$9+FCFF!$I$9*(1+Inputs!$B$6)/(B5575-Inputs!$B$6)/(1+B5575)^7</f>
        <v>-1839.25384</v>
      </c>
    </row>
    <row r="5576" ht="14.25" customHeight="1">
      <c r="A5576" s="7">
        <v>5563.0</v>
      </c>
      <c r="B5576" s="14">
        <f t="shared" si="1"/>
        <v>0.1244192233</v>
      </c>
      <c r="C5576" s="39">
        <f t="array" ref="C5576">NPV(B5576,FCFF!$C$9:$I$9)+FCFF!$B$9+FCFF!$I$9*(1+Inputs!$B$6)/(B5576-Inputs!$B$6)/(1+B5576)^7</f>
        <v>-1892.544491</v>
      </c>
    </row>
    <row r="5577" ht="14.25" customHeight="1">
      <c r="A5577" s="7">
        <v>5564.0</v>
      </c>
      <c r="B5577" s="14">
        <f t="shared" si="1"/>
        <v>0.09796806061</v>
      </c>
      <c r="C5577" s="39">
        <f t="array" ref="C5577">NPV(B5577,FCFF!$C$9:$I$9)+FCFF!$B$9+FCFF!$I$9*(1+Inputs!$B$6)/(B5577-Inputs!$B$6)/(1+B5577)^7</f>
        <v>-1324.433546</v>
      </c>
    </row>
    <row r="5578" ht="14.25" customHeight="1">
      <c r="A5578" s="7">
        <v>5565.0</v>
      </c>
      <c r="B5578" s="14">
        <f t="shared" si="1"/>
        <v>0.1230416103</v>
      </c>
      <c r="C5578" s="39">
        <f t="array" ref="C5578">NPV(B5578,FCFF!$C$9:$I$9)+FCFF!$B$9+FCFF!$I$9*(1+Inputs!$B$6)/(B5578-Inputs!$B$6)/(1+B5578)^7</f>
        <v>-1871.24175</v>
      </c>
    </row>
    <row r="5579" ht="14.25" customHeight="1">
      <c r="A5579" s="7">
        <v>5566.0</v>
      </c>
      <c r="B5579" s="14">
        <f t="shared" si="1"/>
        <v>0.1151246205</v>
      </c>
      <c r="C5579" s="39">
        <f t="array" ref="C5579">NPV(B5579,FCFF!$C$9:$I$9)+FCFF!$B$9+FCFF!$I$9*(1+Inputs!$B$6)/(B5579-Inputs!$B$6)/(1+B5579)^7</f>
        <v>-1734.580311</v>
      </c>
    </row>
    <row r="5580" ht="14.25" customHeight="1">
      <c r="A5580" s="7">
        <v>5567.0</v>
      </c>
      <c r="B5580" s="14">
        <f t="shared" si="1"/>
        <v>0.09622560621</v>
      </c>
      <c r="C5580" s="39">
        <f t="array" ref="C5580">NPV(B5580,FCFF!$C$9:$I$9)+FCFF!$B$9+FCFF!$I$9*(1+Inputs!$B$6)/(B5580-Inputs!$B$6)/(1+B5580)^7</f>
        <v>-1270.71677</v>
      </c>
    </row>
    <row r="5581" ht="14.25" customHeight="1">
      <c r="A5581" s="7">
        <v>5568.0</v>
      </c>
      <c r="B5581" s="14">
        <f t="shared" si="1"/>
        <v>0.1107509789</v>
      </c>
      <c r="C5581" s="39">
        <f t="array" ref="C5581">NPV(B5581,FCFF!$C$9:$I$9)+FCFF!$B$9+FCFF!$I$9*(1+Inputs!$B$6)/(B5581-Inputs!$B$6)/(1+B5581)^7</f>
        <v>-1646.993466</v>
      </c>
    </row>
    <row r="5582" ht="14.25" customHeight="1">
      <c r="A5582" s="7">
        <v>5569.0</v>
      </c>
      <c r="B5582" s="14">
        <f t="shared" si="1"/>
        <v>0.1322262394</v>
      </c>
      <c r="C5582" s="39">
        <f t="array" ref="C5582">NPV(B5582,FCFF!$C$9:$I$9)+FCFF!$B$9+FCFF!$I$9*(1+Inputs!$B$6)/(B5582-Inputs!$B$6)/(1+B5582)^7</f>
        <v>-2001.649116</v>
      </c>
    </row>
    <row r="5583" ht="14.25" customHeight="1">
      <c r="A5583" s="7">
        <v>5570.0</v>
      </c>
      <c r="B5583" s="14">
        <f t="shared" si="1"/>
        <v>0.1324395005</v>
      </c>
      <c r="C5583" s="39">
        <f t="array" ref="C5583">NPV(B5583,FCFF!$C$9:$I$9)+FCFF!$B$9+FCFF!$I$9*(1+Inputs!$B$6)/(B5583-Inputs!$B$6)/(1+B5583)^7</f>
        <v>-2004.377087</v>
      </c>
    </row>
    <row r="5584" ht="14.25" customHeight="1">
      <c r="A5584" s="7">
        <v>5571.0</v>
      </c>
      <c r="B5584" s="14">
        <f t="shared" si="1"/>
        <v>0.1090287265</v>
      </c>
      <c r="C5584" s="39">
        <f t="array" ref="C5584">NPV(B5584,FCFF!$C$9:$I$9)+FCFF!$B$9+FCFF!$I$9*(1+Inputs!$B$6)/(B5584-Inputs!$B$6)/(1+B5584)^7</f>
        <v>-1609.741805</v>
      </c>
    </row>
    <row r="5585" ht="14.25" customHeight="1">
      <c r="A5585" s="7">
        <v>5572.0</v>
      </c>
      <c r="B5585" s="14">
        <f t="shared" si="1"/>
        <v>0.125253367</v>
      </c>
      <c r="C5585" s="39">
        <f t="array" ref="C5585">NPV(B5585,FCFF!$C$9:$I$9)+FCFF!$B$9+FCFF!$I$9*(1+Inputs!$B$6)/(B5585-Inputs!$B$6)/(1+B5585)^7</f>
        <v>-1905.123079</v>
      </c>
    </row>
    <row r="5586" ht="14.25" customHeight="1">
      <c r="A5586" s="7">
        <v>5573.0</v>
      </c>
      <c r="B5586" s="14">
        <f t="shared" si="1"/>
        <v>0.09630033458</v>
      </c>
      <c r="C5586" s="39">
        <f t="array" ref="C5586">NPV(B5586,FCFF!$C$9:$I$9)+FCFF!$B$9+FCFF!$I$9*(1+Inputs!$B$6)/(B5586-Inputs!$B$6)/(1+B5586)^7</f>
        <v>-1273.078349</v>
      </c>
    </row>
    <row r="5587" ht="14.25" customHeight="1">
      <c r="A5587" s="7">
        <v>5574.0</v>
      </c>
      <c r="B5587" s="14">
        <f t="shared" si="1"/>
        <v>0.1289853303</v>
      </c>
      <c r="C5587" s="39">
        <f t="array" ref="C5587">NPV(B5587,FCFF!$C$9:$I$9)+FCFF!$B$9+FCFF!$I$9*(1+Inputs!$B$6)/(B5587-Inputs!$B$6)/(1+B5587)^7</f>
        <v>-1958.614697</v>
      </c>
    </row>
    <row r="5588" ht="14.25" customHeight="1">
      <c r="A5588" s="7">
        <v>5575.0</v>
      </c>
      <c r="B5588" s="14">
        <f t="shared" si="1"/>
        <v>0.1023740943</v>
      </c>
      <c r="C5588" s="39">
        <f t="array" ref="C5588">NPV(B5588,FCFF!$C$9:$I$9)+FCFF!$B$9+FCFF!$I$9*(1+Inputs!$B$6)/(B5588-Inputs!$B$6)/(1+B5588)^7</f>
        <v>-1448.687771</v>
      </c>
    </row>
    <row r="5589" ht="14.25" customHeight="1">
      <c r="A5589" s="7">
        <v>5576.0</v>
      </c>
      <c r="B5589" s="14">
        <f t="shared" si="1"/>
        <v>0.09404919251</v>
      </c>
      <c r="C5589" s="39">
        <f t="array" ref="C5589">NPV(B5589,FCFF!$C$9:$I$9)+FCFF!$B$9+FCFF!$I$9*(1+Inputs!$B$6)/(B5589-Inputs!$B$6)/(1+B5589)^7</f>
        <v>-1199.533432</v>
      </c>
    </row>
    <row r="5590" ht="14.25" customHeight="1">
      <c r="A5590" s="7">
        <v>5577.0</v>
      </c>
      <c r="B5590" s="14">
        <f t="shared" si="1"/>
        <v>0.09623244355</v>
      </c>
      <c r="C5590" s="39">
        <f t="array" ref="C5590">NPV(B5590,FCFF!$C$9:$I$9)+FCFF!$B$9+FCFF!$I$9*(1+Inputs!$B$6)/(B5590-Inputs!$B$6)/(1+B5590)^7</f>
        <v>-1270.933065</v>
      </c>
    </row>
    <row r="5591" ht="14.25" customHeight="1">
      <c r="A5591" s="7">
        <v>5578.0</v>
      </c>
      <c r="B5591" s="14">
        <f t="shared" si="1"/>
        <v>0.1009386252</v>
      </c>
      <c r="C5591" s="39">
        <f t="array" ref="C5591">NPV(B5591,FCFF!$C$9:$I$9)+FCFF!$B$9+FCFF!$I$9*(1+Inputs!$B$6)/(B5591-Inputs!$B$6)/(1+B5591)^7</f>
        <v>-1409.914113</v>
      </c>
    </row>
    <row r="5592" ht="14.25" customHeight="1">
      <c r="A5592" s="7">
        <v>5579.0</v>
      </c>
      <c r="B5592" s="14">
        <f t="shared" si="1"/>
        <v>0.09516643343</v>
      </c>
      <c r="C5592" s="39">
        <f t="array" ref="C5592">NPV(B5592,FCFF!$C$9:$I$9)+FCFF!$B$9+FCFF!$I$9*(1+Inputs!$B$6)/(B5592-Inputs!$B$6)/(1+B5592)^7</f>
        <v>-1236.664797</v>
      </c>
    </row>
    <row r="5593" ht="14.25" customHeight="1">
      <c r="A5593" s="7">
        <v>5580.0</v>
      </c>
      <c r="B5593" s="14">
        <f t="shared" si="1"/>
        <v>0.1138087709</v>
      </c>
      <c r="C5593" s="39">
        <f t="array" ref="C5593">NPV(B5593,FCFF!$C$9:$I$9)+FCFF!$B$9+FCFF!$I$9*(1+Inputs!$B$6)/(B5593-Inputs!$B$6)/(1+B5593)^7</f>
        <v>-1709.229628</v>
      </c>
    </row>
    <row r="5594" ht="14.25" customHeight="1">
      <c r="A5594" s="7">
        <v>5581.0</v>
      </c>
      <c r="B5594" s="14">
        <f t="shared" si="1"/>
        <v>0.1084316669</v>
      </c>
      <c r="C5594" s="39">
        <f t="array" ref="C5594">NPV(B5594,FCFF!$C$9:$I$9)+FCFF!$B$9+FCFF!$I$9*(1+Inputs!$B$6)/(B5594-Inputs!$B$6)/(1+B5594)^7</f>
        <v>-1596.433709</v>
      </c>
    </row>
    <row r="5595" ht="14.25" customHeight="1">
      <c r="A5595" s="7">
        <v>5582.0</v>
      </c>
      <c r="B5595" s="14">
        <f t="shared" si="1"/>
        <v>0.09409576953</v>
      </c>
      <c r="C5595" s="39">
        <f t="array" ref="C5595">NPV(B5595,FCFF!$C$9:$I$9)+FCFF!$B$9+FCFF!$I$9*(1+Inputs!$B$6)/(B5595-Inputs!$B$6)/(1+B5595)^7</f>
        <v>-1201.107054</v>
      </c>
    </row>
    <row r="5596" ht="14.25" customHeight="1">
      <c r="A5596" s="7">
        <v>5583.0</v>
      </c>
      <c r="B5596" s="14">
        <f t="shared" si="1"/>
        <v>0.1006884722</v>
      </c>
      <c r="C5596" s="39">
        <f t="array" ref="C5596">NPV(B5596,FCFF!$C$9:$I$9)+FCFF!$B$9+FCFF!$I$9*(1+Inputs!$B$6)/(B5596-Inputs!$B$6)/(1+B5596)^7</f>
        <v>-1402.994442</v>
      </c>
    </row>
    <row r="5597" ht="14.25" customHeight="1">
      <c r="A5597" s="7">
        <v>5584.0</v>
      </c>
      <c r="B5597" s="14">
        <f t="shared" si="1"/>
        <v>0.1078830303</v>
      </c>
      <c r="C5597" s="39">
        <f t="array" ref="C5597">NPV(B5597,FCFF!$C$9:$I$9)+FCFF!$B$9+FCFF!$I$9*(1+Inputs!$B$6)/(B5597-Inputs!$B$6)/(1+B5597)^7</f>
        <v>-1584.019847</v>
      </c>
    </row>
    <row r="5598" ht="14.25" customHeight="1">
      <c r="A5598" s="7">
        <v>5585.0</v>
      </c>
      <c r="B5598" s="14">
        <f t="shared" si="1"/>
        <v>0.1093087816</v>
      </c>
      <c r="C5598" s="39">
        <f t="array" ref="C5598">NPV(B5598,FCFF!$C$9:$I$9)+FCFF!$B$9+FCFF!$I$9*(1+Inputs!$B$6)/(B5598-Inputs!$B$6)/(1+B5598)^7</f>
        <v>-1615.912975</v>
      </c>
    </row>
    <row r="5599" ht="14.25" customHeight="1">
      <c r="A5599" s="7">
        <v>5586.0</v>
      </c>
      <c r="B5599" s="14">
        <f t="shared" si="1"/>
        <v>0.09677125283</v>
      </c>
      <c r="C5599" s="39">
        <f t="array" ref="C5599">NPV(B5599,FCFF!$C$9:$I$9)+FCFF!$B$9+FCFF!$I$9*(1+Inputs!$B$6)/(B5599-Inputs!$B$6)/(1+B5599)^7</f>
        <v>-1287.839135</v>
      </c>
    </row>
    <row r="5600" ht="14.25" customHeight="1">
      <c r="A5600" s="7">
        <v>5587.0</v>
      </c>
      <c r="B5600" s="14">
        <f t="shared" si="1"/>
        <v>0.117888543</v>
      </c>
      <c r="C5600" s="39">
        <f t="array" ref="C5600">NPV(B5600,FCFF!$C$9:$I$9)+FCFF!$B$9+FCFF!$I$9*(1+Inputs!$B$6)/(B5600-Inputs!$B$6)/(1+B5600)^7</f>
        <v>-1785.243607</v>
      </c>
    </row>
    <row r="5601" ht="14.25" customHeight="1">
      <c r="A5601" s="7">
        <v>5588.0</v>
      </c>
      <c r="B5601" s="14">
        <f t="shared" si="1"/>
        <v>0.125256982</v>
      </c>
      <c r="C5601" s="39">
        <f t="array" ref="C5601">NPV(B5601,FCFF!$C$9:$I$9)+FCFF!$B$9+FCFF!$I$9*(1+Inputs!$B$6)/(B5601-Inputs!$B$6)/(1+B5601)^7</f>
        <v>-1905.177077</v>
      </c>
    </row>
    <row r="5602" ht="14.25" customHeight="1">
      <c r="A5602" s="7">
        <v>5589.0</v>
      </c>
      <c r="B5602" s="14">
        <f t="shared" si="1"/>
        <v>0.123780126</v>
      </c>
      <c r="C5602" s="39">
        <f t="array" ref="C5602">NPV(B5602,FCFF!$C$9:$I$9)+FCFF!$B$9+FCFF!$I$9*(1+Inputs!$B$6)/(B5602-Inputs!$B$6)/(1+B5602)^7</f>
        <v>-1882.744964</v>
      </c>
    </row>
    <row r="5603" ht="14.25" customHeight="1">
      <c r="A5603" s="7">
        <v>5590.0</v>
      </c>
      <c r="B5603" s="14">
        <f t="shared" si="1"/>
        <v>0.1001423765</v>
      </c>
      <c r="C5603" s="39">
        <f t="array" ref="C5603">NPV(B5603,FCFF!$C$9:$I$9)+FCFF!$B$9+FCFF!$I$9*(1+Inputs!$B$6)/(B5603-Inputs!$B$6)/(1+B5603)^7</f>
        <v>-1387.715606</v>
      </c>
    </row>
    <row r="5604" ht="14.25" customHeight="1">
      <c r="A5604" s="7">
        <v>5591.0</v>
      </c>
      <c r="B5604" s="14">
        <f t="shared" si="1"/>
        <v>0.1275368443</v>
      </c>
      <c r="C5604" s="39">
        <f t="array" ref="C5604">NPV(B5604,FCFF!$C$9:$I$9)+FCFF!$B$9+FCFF!$I$9*(1+Inputs!$B$6)/(B5604-Inputs!$B$6)/(1+B5604)^7</f>
        <v>-1938.376798</v>
      </c>
    </row>
    <row r="5605" ht="14.25" customHeight="1">
      <c r="A5605" s="7">
        <v>5592.0</v>
      </c>
      <c r="B5605" s="14">
        <f t="shared" si="1"/>
        <v>0.09448202216</v>
      </c>
      <c r="C5605" s="39">
        <f t="array" ref="C5605">NPV(B5605,FCFF!$C$9:$I$9)+FCFF!$B$9+FCFF!$I$9*(1+Inputs!$B$6)/(B5605-Inputs!$B$6)/(1+B5605)^7</f>
        <v>-1214.069931</v>
      </c>
    </row>
    <row r="5606" ht="14.25" customHeight="1">
      <c r="A5606" s="7">
        <v>5593.0</v>
      </c>
      <c r="B5606" s="14">
        <f t="shared" si="1"/>
        <v>0.1123492445</v>
      </c>
      <c r="C5606" s="39">
        <f t="array" ref="C5606">NPV(B5606,FCFF!$C$9:$I$9)+FCFF!$B$9+FCFF!$I$9*(1+Inputs!$B$6)/(B5606-Inputs!$B$6)/(1+B5606)^7</f>
        <v>-1680.122281</v>
      </c>
    </row>
    <row r="5607" ht="14.25" customHeight="1">
      <c r="A5607" s="7">
        <v>5594.0</v>
      </c>
      <c r="B5607" s="14">
        <f t="shared" si="1"/>
        <v>0.1283414755</v>
      </c>
      <c r="C5607" s="39">
        <f t="array" ref="C5607">NPV(B5607,FCFF!$C$9:$I$9)+FCFF!$B$9+FCFF!$I$9*(1+Inputs!$B$6)/(B5607-Inputs!$B$6)/(1+B5607)^7</f>
        <v>-1949.698448</v>
      </c>
    </row>
    <row r="5608" ht="14.25" customHeight="1">
      <c r="A5608" s="7">
        <v>5595.0</v>
      </c>
      <c r="B5608" s="14">
        <f t="shared" si="1"/>
        <v>0.1054830242</v>
      </c>
      <c r="C5608" s="39">
        <f t="array" ref="C5608">NPV(B5608,FCFF!$C$9:$I$9)+FCFF!$B$9+FCFF!$I$9*(1+Inputs!$B$6)/(B5608-Inputs!$B$6)/(1+B5608)^7</f>
        <v>-1527.538693</v>
      </c>
    </row>
    <row r="5609" ht="14.25" customHeight="1">
      <c r="A5609" s="7">
        <v>5596.0</v>
      </c>
      <c r="B5609" s="14">
        <f t="shared" si="1"/>
        <v>0.1126419928</v>
      </c>
      <c r="C5609" s="39">
        <f t="array" ref="C5609">NPV(B5609,FCFF!$C$9:$I$9)+FCFF!$B$9+FCFF!$I$9*(1+Inputs!$B$6)/(B5609-Inputs!$B$6)/(1+B5609)^7</f>
        <v>-1686.046326</v>
      </c>
    </row>
    <row r="5610" ht="14.25" customHeight="1">
      <c r="A5610" s="7">
        <v>5597.0</v>
      </c>
      <c r="B5610" s="14">
        <f t="shared" si="1"/>
        <v>0.1231591267</v>
      </c>
      <c r="C5610" s="39">
        <f t="array" ref="C5610">NPV(B5610,FCFF!$C$9:$I$9)+FCFF!$B$9+FCFF!$I$9*(1+Inputs!$B$6)/(B5610-Inputs!$B$6)/(1+B5610)^7</f>
        <v>-1873.085228</v>
      </c>
    </row>
    <row r="5611" ht="14.25" customHeight="1">
      <c r="A5611" s="7">
        <v>5598.0</v>
      </c>
      <c r="B5611" s="14">
        <f t="shared" si="1"/>
        <v>0.09516697126</v>
      </c>
      <c r="C5611" s="39">
        <f t="array" ref="C5611">NPV(B5611,FCFF!$C$9:$I$9)+FCFF!$B$9+FCFF!$I$9*(1+Inputs!$B$6)/(B5611-Inputs!$B$6)/(1+B5611)^7</f>
        <v>-1236.682367</v>
      </c>
    </row>
    <row r="5612" ht="14.25" customHeight="1">
      <c r="A5612" s="7">
        <v>5599.0</v>
      </c>
      <c r="B5612" s="14">
        <f t="shared" si="1"/>
        <v>0.09513057148</v>
      </c>
      <c r="C5612" s="39">
        <f t="array" ref="C5612">NPV(B5612,FCFF!$C$9:$I$9)+FCFF!$B$9+FCFF!$I$9*(1+Inputs!$B$6)/(B5612-Inputs!$B$6)/(1+B5612)^7</f>
        <v>-1235.492572</v>
      </c>
    </row>
    <row r="5613" ht="14.25" customHeight="1">
      <c r="A5613" s="7">
        <v>5600.0</v>
      </c>
      <c r="B5613" s="14">
        <f t="shared" si="1"/>
        <v>0.1071032456</v>
      </c>
      <c r="C5613" s="39">
        <f t="array" ref="C5613">NPV(B5613,FCFF!$C$9:$I$9)+FCFF!$B$9+FCFF!$I$9*(1+Inputs!$B$6)/(B5613-Inputs!$B$6)/(1+B5613)^7</f>
        <v>-1566.063586</v>
      </c>
    </row>
    <row r="5614" ht="14.25" customHeight="1">
      <c r="A5614" s="7">
        <v>5601.0</v>
      </c>
      <c r="B5614" s="14">
        <f t="shared" si="1"/>
        <v>0.1134156663</v>
      </c>
      <c r="C5614" s="39">
        <f t="array" ref="C5614">NPV(B5614,FCFF!$C$9:$I$9)+FCFF!$B$9+FCFF!$I$9*(1+Inputs!$B$6)/(B5614-Inputs!$B$6)/(1+B5614)^7</f>
        <v>-1701.494265</v>
      </c>
    </row>
    <row r="5615" ht="14.25" customHeight="1">
      <c r="A5615" s="7">
        <v>5602.0</v>
      </c>
      <c r="B5615" s="14">
        <f t="shared" si="1"/>
        <v>0.09510493501</v>
      </c>
      <c r="C5615" s="39">
        <f t="array" ref="C5615">NPV(B5615,FCFF!$C$9:$I$9)+FCFF!$B$9+FCFF!$I$9*(1+Inputs!$B$6)/(B5615-Inputs!$B$6)/(1+B5615)^7</f>
        <v>-1234.653802</v>
      </c>
    </row>
    <row r="5616" ht="14.25" customHeight="1">
      <c r="A5616" s="7">
        <v>5603.0</v>
      </c>
      <c r="B5616" s="14">
        <f t="shared" si="1"/>
        <v>0.1173763026</v>
      </c>
      <c r="C5616" s="39">
        <f t="array" ref="C5616">NPV(B5616,FCFF!$C$9:$I$9)+FCFF!$B$9+FCFF!$I$9*(1+Inputs!$B$6)/(B5616-Inputs!$B$6)/(1+B5616)^7</f>
        <v>-1776.108203</v>
      </c>
    </row>
    <row r="5617" ht="14.25" customHeight="1">
      <c r="A5617" s="7">
        <v>5604.0</v>
      </c>
      <c r="B5617" s="14">
        <f t="shared" si="1"/>
        <v>0.1017442706</v>
      </c>
      <c r="C5617" s="39">
        <f t="array" ref="C5617">NPV(B5617,FCFF!$C$9:$I$9)+FCFF!$B$9+FCFF!$I$9*(1+Inputs!$B$6)/(B5617-Inputs!$B$6)/(1+B5617)^7</f>
        <v>-1431.868642</v>
      </c>
    </row>
    <row r="5618" ht="14.25" customHeight="1">
      <c r="A5618" s="7">
        <v>5605.0</v>
      </c>
      <c r="B5618" s="14">
        <f t="shared" si="1"/>
        <v>0.1088407929</v>
      </c>
      <c r="C5618" s="39">
        <f t="array" ref="C5618">NPV(B5618,FCFF!$C$9:$I$9)+FCFF!$B$9+FCFF!$I$9*(1+Inputs!$B$6)/(B5618-Inputs!$B$6)/(1+B5618)^7</f>
        <v>-1605.575258</v>
      </c>
    </row>
    <row r="5619" ht="14.25" customHeight="1">
      <c r="A5619" s="7">
        <v>5606.0</v>
      </c>
      <c r="B5619" s="14">
        <f t="shared" si="1"/>
        <v>0.1034230867</v>
      </c>
      <c r="C5619" s="39">
        <f t="array" ref="C5619">NPV(B5619,FCFF!$C$9:$I$9)+FCFF!$B$9+FCFF!$I$9*(1+Inputs!$B$6)/(B5619-Inputs!$B$6)/(1+B5619)^7</f>
        <v>-1476.051781</v>
      </c>
    </row>
    <row r="5620" ht="14.25" customHeight="1">
      <c r="A5620" s="7">
        <v>5607.0</v>
      </c>
      <c r="B5620" s="14">
        <f t="shared" si="1"/>
        <v>0.0986460435</v>
      </c>
      <c r="C5620" s="39">
        <f t="array" ref="C5620">NPV(B5620,FCFF!$C$9:$I$9)+FCFF!$B$9+FCFF!$I$9*(1+Inputs!$B$6)/(B5620-Inputs!$B$6)/(1+B5620)^7</f>
        <v>-1344.597486</v>
      </c>
    </row>
    <row r="5621" ht="14.25" customHeight="1">
      <c r="A5621" s="7">
        <v>5608.0</v>
      </c>
      <c r="B5621" s="14">
        <f t="shared" si="1"/>
        <v>0.1095557487</v>
      </c>
      <c r="C5621" s="39">
        <f t="array" ref="C5621">NPV(B5621,FCFF!$C$9:$I$9)+FCFF!$B$9+FCFF!$I$9*(1+Inputs!$B$6)/(B5621-Inputs!$B$6)/(1+B5621)^7</f>
        <v>-1621.317871</v>
      </c>
    </row>
    <row r="5622" ht="14.25" customHeight="1">
      <c r="A5622" s="7">
        <v>5609.0</v>
      </c>
      <c r="B5622" s="14">
        <f t="shared" si="1"/>
        <v>0.120321533</v>
      </c>
      <c r="C5622" s="39">
        <f t="array" ref="C5622">NPV(B5622,FCFF!$C$9:$I$9)+FCFF!$B$9+FCFF!$I$9*(1+Inputs!$B$6)/(B5622-Inputs!$B$6)/(1+B5622)^7</f>
        <v>-1827.14311</v>
      </c>
    </row>
    <row r="5623" ht="14.25" customHeight="1">
      <c r="A5623" s="7">
        <v>5610.0</v>
      </c>
      <c r="B5623" s="14">
        <f t="shared" si="1"/>
        <v>0.1234195436</v>
      </c>
      <c r="C5623" s="39">
        <f t="array" ref="C5623">NPV(B5623,FCFF!$C$9:$I$9)+FCFF!$B$9+FCFF!$I$9*(1+Inputs!$B$6)/(B5623-Inputs!$B$6)/(1+B5623)^7</f>
        <v>-1877.152748</v>
      </c>
    </row>
    <row r="5624" ht="14.25" customHeight="1">
      <c r="A5624" s="7">
        <v>5611.0</v>
      </c>
      <c r="B5624" s="14">
        <f t="shared" si="1"/>
        <v>0.106290434</v>
      </c>
      <c r="C5624" s="39">
        <f t="array" ref="C5624">NPV(B5624,FCFF!$C$9:$I$9)+FCFF!$B$9+FCFF!$I$9*(1+Inputs!$B$6)/(B5624-Inputs!$B$6)/(1+B5624)^7</f>
        <v>-1546.94617</v>
      </c>
    </row>
    <row r="5625" ht="14.25" customHeight="1">
      <c r="A5625" s="7">
        <v>5612.0</v>
      </c>
      <c r="B5625" s="14">
        <f t="shared" si="1"/>
        <v>0.09994722282</v>
      </c>
      <c r="C5625" s="39">
        <f t="array" ref="C5625">NPV(B5625,FCFF!$C$9:$I$9)+FCFF!$B$9+FCFF!$I$9*(1+Inputs!$B$6)/(B5625-Inputs!$B$6)/(1+B5625)^7</f>
        <v>-1382.197256</v>
      </c>
    </row>
    <row r="5626" ht="14.25" customHeight="1">
      <c r="A5626" s="7">
        <v>5613.0</v>
      </c>
      <c r="B5626" s="14">
        <f t="shared" si="1"/>
        <v>0.1136790741</v>
      </c>
      <c r="C5626" s="39">
        <f t="array" ref="C5626">NPV(B5626,FCFF!$C$9:$I$9)+FCFF!$B$9+FCFF!$I$9*(1+Inputs!$B$6)/(B5626-Inputs!$B$6)/(1+B5626)^7</f>
        <v>-1706.685876</v>
      </c>
    </row>
    <row r="5627" ht="14.25" customHeight="1">
      <c r="A5627" s="7">
        <v>5614.0</v>
      </c>
      <c r="B5627" s="14">
        <f t="shared" si="1"/>
        <v>0.09847887993</v>
      </c>
      <c r="C5627" s="39">
        <f t="array" ref="C5627">NPV(B5627,FCFF!$C$9:$I$9)+FCFF!$B$9+FCFF!$I$9*(1+Inputs!$B$6)/(B5627-Inputs!$B$6)/(1+B5627)^7</f>
        <v>-1339.663028</v>
      </c>
    </row>
    <row r="5628" ht="14.25" customHeight="1">
      <c r="A5628" s="7">
        <v>5615.0</v>
      </c>
      <c r="B5628" s="14">
        <f t="shared" si="1"/>
        <v>0.1154875659</v>
      </c>
      <c r="C5628" s="39">
        <f t="array" ref="C5628">NPV(B5628,FCFF!$C$9:$I$9)+FCFF!$B$9+FCFF!$I$9*(1+Inputs!$B$6)/(B5628-Inputs!$B$6)/(1+B5628)^7</f>
        <v>-1741.429211</v>
      </c>
    </row>
    <row r="5629" ht="14.25" customHeight="1">
      <c r="A5629" s="7">
        <v>5616.0</v>
      </c>
      <c r="B5629" s="14">
        <f t="shared" si="1"/>
        <v>0.1117918675</v>
      </c>
      <c r="C5629" s="39">
        <f t="array" ref="C5629">NPV(B5629,FCFF!$C$9:$I$9)+FCFF!$B$9+FCFF!$I$9*(1+Inputs!$B$6)/(B5629-Inputs!$B$6)/(1+B5629)^7</f>
        <v>-1668.72143</v>
      </c>
    </row>
    <row r="5630" ht="14.25" customHeight="1">
      <c r="A5630" s="7">
        <v>5617.0</v>
      </c>
      <c r="B5630" s="14">
        <f t="shared" si="1"/>
        <v>0.1314897169</v>
      </c>
      <c r="C5630" s="39">
        <f t="array" ref="C5630">NPV(B5630,FCFF!$C$9:$I$9)+FCFF!$B$9+FCFF!$I$9*(1+Inputs!$B$6)/(B5630-Inputs!$B$6)/(1+B5630)^7</f>
        <v>-1992.13153</v>
      </c>
    </row>
    <row r="5631" ht="14.25" customHeight="1">
      <c r="A5631" s="7">
        <v>5618.0</v>
      </c>
      <c r="B5631" s="14">
        <f t="shared" si="1"/>
        <v>0.1224084051</v>
      </c>
      <c r="C5631" s="39">
        <f t="array" ref="C5631">NPV(B5631,FCFF!$C$9:$I$9)+FCFF!$B$9+FCFF!$I$9*(1+Inputs!$B$6)/(B5631-Inputs!$B$6)/(1+B5631)^7</f>
        <v>-1861.222596</v>
      </c>
    </row>
    <row r="5632" ht="14.25" customHeight="1">
      <c r="A5632" s="7">
        <v>5619.0</v>
      </c>
      <c r="B5632" s="14">
        <f t="shared" si="1"/>
        <v>0.1329320146</v>
      </c>
      <c r="C5632" s="39">
        <f t="array" ref="C5632">NPV(B5632,FCFF!$C$9:$I$9)+FCFF!$B$9+FCFF!$I$9*(1+Inputs!$B$6)/(B5632-Inputs!$B$6)/(1+B5632)^7</f>
        <v>-2010.630025</v>
      </c>
    </row>
    <row r="5633" ht="14.25" customHeight="1">
      <c r="A5633" s="7">
        <v>5620.0</v>
      </c>
      <c r="B5633" s="14">
        <f t="shared" si="1"/>
        <v>0.1221861775</v>
      </c>
      <c r="C5633" s="39">
        <f t="array" ref="C5633">NPV(B5633,FCFF!$C$9:$I$9)+FCFF!$B$9+FCFF!$I$9*(1+Inputs!$B$6)/(B5633-Inputs!$B$6)/(1+B5633)^7</f>
        <v>-1857.671533</v>
      </c>
    </row>
    <row r="5634" ht="14.25" customHeight="1">
      <c r="A5634" s="7">
        <v>5621.0</v>
      </c>
      <c r="B5634" s="14">
        <f t="shared" si="1"/>
        <v>0.1151474108</v>
      </c>
      <c r="C5634" s="39">
        <f t="array" ref="C5634">NPV(B5634,FCFF!$C$9:$I$9)+FCFF!$B$9+FCFF!$I$9*(1+Inputs!$B$6)/(B5634-Inputs!$B$6)/(1+B5634)^7</f>
        <v>-1735.012168</v>
      </c>
    </row>
    <row r="5635" ht="14.25" customHeight="1">
      <c r="A5635" s="7">
        <v>5622.0</v>
      </c>
      <c r="B5635" s="14">
        <f t="shared" si="1"/>
        <v>0.1135978817</v>
      </c>
      <c r="C5635" s="39">
        <f t="array" ref="C5635">NPV(B5635,FCFF!$C$9:$I$9)+FCFF!$B$9+FCFF!$I$9*(1+Inputs!$B$6)/(B5635-Inputs!$B$6)/(1+B5635)^7</f>
        <v>-1705.089256</v>
      </c>
    </row>
    <row r="5636" ht="14.25" customHeight="1">
      <c r="A5636" s="7">
        <v>5623.0</v>
      </c>
      <c r="B5636" s="14">
        <f t="shared" si="1"/>
        <v>0.1299726061</v>
      </c>
      <c r="C5636" s="39">
        <f t="array" ref="C5636">NPV(B5636,FCFF!$C$9:$I$9)+FCFF!$B$9+FCFF!$I$9*(1+Inputs!$B$6)/(B5636-Inputs!$B$6)/(1+B5636)^7</f>
        <v>-1972.045357</v>
      </c>
    </row>
    <row r="5637" ht="14.25" customHeight="1">
      <c r="A5637" s="7">
        <v>5624.0</v>
      </c>
      <c r="B5637" s="14">
        <f t="shared" si="1"/>
        <v>0.09609668481</v>
      </c>
      <c r="C5637" s="39">
        <f t="array" ref="C5637">NPV(B5637,FCFF!$C$9:$I$9)+FCFF!$B$9+FCFF!$I$9*(1+Inputs!$B$6)/(B5637-Inputs!$B$6)/(1+B5637)^7</f>
        <v>-1266.630066</v>
      </c>
    </row>
    <row r="5638" ht="14.25" customHeight="1">
      <c r="A5638" s="7">
        <v>5625.0</v>
      </c>
      <c r="B5638" s="14">
        <f t="shared" si="1"/>
        <v>0.1108653878</v>
      </c>
      <c r="C5638" s="39">
        <f t="array" ref="C5638">NPV(B5638,FCFF!$C$9:$I$9)+FCFF!$B$9+FCFF!$I$9*(1+Inputs!$B$6)/(B5638-Inputs!$B$6)/(1+B5638)^7</f>
        <v>-1649.410028</v>
      </c>
    </row>
    <row r="5639" ht="14.25" customHeight="1">
      <c r="A5639" s="7">
        <v>5626.0</v>
      </c>
      <c r="B5639" s="14">
        <f t="shared" si="1"/>
        <v>0.1268661934</v>
      </c>
      <c r="C5639" s="39">
        <f t="array" ref="C5639">NPV(B5639,FCFF!$C$9:$I$9)+FCFF!$B$9+FCFF!$I$9*(1+Inputs!$B$6)/(B5639-Inputs!$B$6)/(1+B5639)^7</f>
        <v>-1928.785205</v>
      </c>
    </row>
    <row r="5640" ht="14.25" customHeight="1">
      <c r="A5640" s="7">
        <v>5627.0</v>
      </c>
      <c r="B5640" s="14">
        <f t="shared" si="1"/>
        <v>0.1314940825</v>
      </c>
      <c r="C5640" s="39">
        <f t="array" ref="C5640">NPV(B5640,FCFF!$C$9:$I$9)+FCFF!$B$9+FCFF!$I$9*(1+Inputs!$B$6)/(B5640-Inputs!$B$6)/(1+B5640)^7</f>
        <v>-1992.188387</v>
      </c>
    </row>
    <row r="5641" ht="14.25" customHeight="1">
      <c r="A5641" s="7">
        <v>5628.0</v>
      </c>
      <c r="B5641" s="14">
        <f t="shared" si="1"/>
        <v>0.09351113602</v>
      </c>
      <c r="C5641" s="39">
        <f t="array" ref="C5641">NPV(B5641,FCFF!$C$9:$I$9)+FCFF!$B$9+FCFF!$I$9*(1+Inputs!$B$6)/(B5641-Inputs!$B$6)/(1+B5641)^7</f>
        <v>-1181.189313</v>
      </c>
    </row>
    <row r="5642" ht="14.25" customHeight="1">
      <c r="A5642" s="7">
        <v>5629.0</v>
      </c>
      <c r="B5642" s="14">
        <f t="shared" si="1"/>
        <v>0.1250722043</v>
      </c>
      <c r="C5642" s="39">
        <f t="array" ref="C5642">NPV(B5642,FCFF!$C$9:$I$9)+FCFF!$B$9+FCFF!$I$9*(1+Inputs!$B$6)/(B5642-Inputs!$B$6)/(1+B5642)^7</f>
        <v>-1902.411316</v>
      </c>
    </row>
    <row r="5643" ht="14.25" customHeight="1">
      <c r="A5643" s="7">
        <v>5630.0</v>
      </c>
      <c r="B5643" s="14">
        <f t="shared" si="1"/>
        <v>0.1014288181</v>
      </c>
      <c r="C5643" s="39">
        <f t="array" ref="C5643">NPV(B5643,FCFF!$C$9:$I$9)+FCFF!$B$9+FCFF!$I$9*(1+Inputs!$B$6)/(B5643-Inputs!$B$6)/(1+B5643)^7</f>
        <v>-1423.331881</v>
      </c>
    </row>
    <row r="5644" ht="14.25" customHeight="1">
      <c r="A5644" s="7">
        <v>5631.0</v>
      </c>
      <c r="B5644" s="14">
        <f t="shared" si="1"/>
        <v>0.1267206604</v>
      </c>
      <c r="C5644" s="39">
        <f t="array" ref="C5644">NPV(B5644,FCFF!$C$9:$I$9)+FCFF!$B$9+FCFF!$I$9*(1+Inputs!$B$6)/(B5644-Inputs!$B$6)/(1+B5644)^7</f>
        <v>-1926.684878</v>
      </c>
    </row>
    <row r="5645" ht="14.25" customHeight="1">
      <c r="A5645" s="7">
        <v>5632.0</v>
      </c>
      <c r="B5645" s="14">
        <f t="shared" si="1"/>
        <v>0.1184068852</v>
      </c>
      <c r="C5645" s="39">
        <f t="array" ref="C5645">NPV(B5645,FCFF!$C$9:$I$9)+FCFF!$B$9+FCFF!$I$9*(1+Inputs!$B$6)/(B5645-Inputs!$B$6)/(1+B5645)^7</f>
        <v>-1794.374363</v>
      </c>
    </row>
    <row r="5646" ht="14.25" customHeight="1">
      <c r="A5646" s="7">
        <v>5633.0</v>
      </c>
      <c r="B5646" s="14">
        <f t="shared" si="1"/>
        <v>0.122665347</v>
      </c>
      <c r="C5646" s="39">
        <f t="array" ref="C5646">NPV(B5646,FCFF!$C$9:$I$9)+FCFF!$B$9+FCFF!$I$9*(1+Inputs!$B$6)/(B5646-Inputs!$B$6)/(1+B5646)^7</f>
        <v>-1865.305763</v>
      </c>
    </row>
    <row r="5647" ht="14.25" customHeight="1">
      <c r="A5647" s="7">
        <v>5634.0</v>
      </c>
      <c r="B5647" s="14">
        <f t="shared" si="1"/>
        <v>0.1242402403</v>
      </c>
      <c r="C5647" s="39">
        <f t="array" ref="C5647">NPV(B5647,FCFF!$C$9:$I$9)+FCFF!$B$9+FCFF!$I$9*(1+Inputs!$B$6)/(B5647-Inputs!$B$6)/(1+B5647)^7</f>
        <v>-1889.814407</v>
      </c>
    </row>
    <row r="5648" ht="14.25" customHeight="1">
      <c r="A5648" s="7">
        <v>5635.0</v>
      </c>
      <c r="B5648" s="14">
        <f t="shared" si="1"/>
        <v>0.09425225363</v>
      </c>
      <c r="C5648" s="39">
        <f t="array" ref="C5648">NPV(B5648,FCFF!$C$9:$I$9)+FCFF!$B$9+FCFF!$I$9*(1+Inputs!$B$6)/(B5648-Inputs!$B$6)/(1+B5648)^7</f>
        <v>-1206.377372</v>
      </c>
    </row>
    <row r="5649" ht="14.25" customHeight="1">
      <c r="A5649" s="7">
        <v>5636.0</v>
      </c>
      <c r="B5649" s="14">
        <f t="shared" si="1"/>
        <v>0.1177945426</v>
      </c>
      <c r="C5649" s="39">
        <f t="array" ref="C5649">NPV(B5649,FCFF!$C$9:$I$9)+FCFF!$B$9+FCFF!$I$9*(1+Inputs!$B$6)/(B5649-Inputs!$B$6)/(1+B5649)^7</f>
        <v>-1783.57559</v>
      </c>
    </row>
    <row r="5650" ht="14.25" customHeight="1">
      <c r="A5650" s="7">
        <v>5637.0</v>
      </c>
      <c r="B5650" s="14">
        <f t="shared" si="1"/>
        <v>0.09584332873</v>
      </c>
      <c r="C5650" s="39">
        <f t="array" ref="C5650">NPV(B5650,FCFF!$C$9:$I$9)+FCFF!$B$9+FCFF!$I$9*(1+Inputs!$B$6)/(B5650-Inputs!$B$6)/(1+B5650)^7</f>
        <v>-1258.552442</v>
      </c>
    </row>
    <row r="5651" ht="14.25" customHeight="1">
      <c r="A5651" s="7">
        <v>5638.0</v>
      </c>
      <c r="B5651" s="14">
        <f t="shared" si="1"/>
        <v>0.105035774</v>
      </c>
      <c r="C5651" s="39">
        <f t="array" ref="C5651">NPV(B5651,FCFF!$C$9:$I$9)+FCFF!$B$9+FCFF!$I$9*(1+Inputs!$B$6)/(B5651-Inputs!$B$6)/(1+B5651)^7</f>
        <v>-1516.604671</v>
      </c>
    </row>
    <row r="5652" ht="14.25" customHeight="1">
      <c r="A5652" s="7">
        <v>5639.0</v>
      </c>
      <c r="B5652" s="14">
        <f t="shared" si="1"/>
        <v>0.1260269772</v>
      </c>
      <c r="C5652" s="39">
        <f t="array" ref="C5652">NPV(B5652,FCFF!$C$9:$I$9)+FCFF!$B$9+FCFF!$I$9*(1+Inputs!$B$6)/(B5652-Inputs!$B$6)/(1+B5652)^7</f>
        <v>-1916.579483</v>
      </c>
    </row>
    <row r="5653" ht="14.25" customHeight="1">
      <c r="A5653" s="7">
        <v>5640.0</v>
      </c>
      <c r="B5653" s="14">
        <f t="shared" si="1"/>
        <v>0.09929025872</v>
      </c>
      <c r="C5653" s="39">
        <f t="array" ref="C5653">NPV(B5653,FCFF!$C$9:$I$9)+FCFF!$B$9+FCFF!$I$9*(1+Inputs!$B$6)/(B5653-Inputs!$B$6)/(1+B5653)^7</f>
        <v>-1363.39049</v>
      </c>
    </row>
    <row r="5654" ht="14.25" customHeight="1">
      <c r="A5654" s="7">
        <v>5641.0</v>
      </c>
      <c r="B5654" s="14">
        <f t="shared" si="1"/>
        <v>0.131745045</v>
      </c>
      <c r="C5654" s="39">
        <f t="array" ref="C5654">NPV(B5654,FCFF!$C$9:$I$9)+FCFF!$B$9+FCFF!$I$9*(1+Inputs!$B$6)/(B5654-Inputs!$B$6)/(1+B5654)^7</f>
        <v>-1995.447974</v>
      </c>
    </row>
    <row r="5655" ht="14.25" customHeight="1">
      <c r="A5655" s="7">
        <v>5642.0</v>
      </c>
      <c r="B5655" s="14">
        <f t="shared" si="1"/>
        <v>0.1127175771</v>
      </c>
      <c r="C5655" s="39">
        <f t="array" ref="C5655">NPV(B5655,FCFF!$C$9:$I$9)+FCFF!$B$9+FCFF!$I$9*(1+Inputs!$B$6)/(B5655-Inputs!$B$6)/(1+B5655)^7</f>
        <v>-1687.56877</v>
      </c>
    </row>
    <row r="5656" ht="14.25" customHeight="1">
      <c r="A5656" s="7">
        <v>5643.0</v>
      </c>
      <c r="B5656" s="14">
        <f t="shared" si="1"/>
        <v>0.1135363484</v>
      </c>
      <c r="C5656" s="39">
        <f t="array" ref="C5656">NPV(B5656,FCFF!$C$9:$I$9)+FCFF!$B$9+FCFF!$I$9*(1+Inputs!$B$6)/(B5656-Inputs!$B$6)/(1+B5656)^7</f>
        <v>-1703.877072</v>
      </c>
    </row>
    <row r="5657" ht="14.25" customHeight="1">
      <c r="A5657" s="7">
        <v>5644.0</v>
      </c>
      <c r="B5657" s="14">
        <f t="shared" si="1"/>
        <v>0.132115327</v>
      </c>
      <c r="C5657" s="39">
        <f t="array" ref="C5657">NPV(B5657,FCFF!$C$9:$I$9)+FCFF!$B$9+FCFF!$I$9*(1+Inputs!$B$6)/(B5657-Inputs!$B$6)/(1+B5657)^7</f>
        <v>-2000.225441</v>
      </c>
    </row>
    <row r="5658" ht="14.25" customHeight="1">
      <c r="A5658" s="7">
        <v>5645.0</v>
      </c>
      <c r="B5658" s="14">
        <f t="shared" si="1"/>
        <v>0.09388295909</v>
      </c>
      <c r="C5658" s="39">
        <f t="array" ref="C5658">NPV(B5658,FCFF!$C$9:$I$9)+FCFF!$B$9+FCFF!$I$9*(1+Inputs!$B$6)/(B5658-Inputs!$B$6)/(1+B5658)^7</f>
        <v>-1193.898643</v>
      </c>
    </row>
    <row r="5659" ht="14.25" customHeight="1">
      <c r="A5659" s="7">
        <v>5646.0</v>
      </c>
      <c r="B5659" s="14">
        <f t="shared" si="1"/>
        <v>0.1122999305</v>
      </c>
      <c r="C5659" s="39">
        <f t="array" ref="C5659">NPV(B5659,FCFF!$C$9:$I$9)+FCFF!$B$9+FCFF!$I$9*(1+Inputs!$B$6)/(B5659-Inputs!$B$6)/(1+B5659)^7</f>
        <v>-1679.120054</v>
      </c>
    </row>
    <row r="5660" ht="14.25" customHeight="1">
      <c r="A5660" s="7">
        <v>5647.0</v>
      </c>
      <c r="B5660" s="14">
        <f t="shared" si="1"/>
        <v>0.1245023986</v>
      </c>
      <c r="C5660" s="39">
        <f t="array" ref="C5660">NPV(B5660,FCFF!$C$9:$I$9)+FCFF!$B$9+FCFF!$I$9*(1+Inputs!$B$6)/(B5660-Inputs!$B$6)/(1+B5660)^7</f>
        <v>-1893.809423</v>
      </c>
    </row>
    <row r="5661" ht="14.25" customHeight="1">
      <c r="A5661" s="7">
        <v>5648.0</v>
      </c>
      <c r="B5661" s="14">
        <f t="shared" si="1"/>
        <v>0.1091170895</v>
      </c>
      <c r="C5661" s="39">
        <f t="array" ref="C5661">NPV(B5661,FCFF!$C$9:$I$9)+FCFF!$B$9+FCFF!$I$9*(1+Inputs!$B$6)/(B5661-Inputs!$B$6)/(1+B5661)^7</f>
        <v>-1611.693795</v>
      </c>
    </row>
    <row r="5662" ht="14.25" customHeight="1">
      <c r="A5662" s="7">
        <v>5649.0</v>
      </c>
      <c r="B5662" s="14">
        <f t="shared" si="1"/>
        <v>0.1053645113</v>
      </c>
      <c r="C5662" s="39">
        <f t="array" ref="C5662">NPV(B5662,FCFF!$C$9:$I$9)+FCFF!$B$9+FCFF!$I$9*(1+Inputs!$B$6)/(B5662-Inputs!$B$6)/(1+B5662)^7</f>
        <v>-1524.654279</v>
      </c>
    </row>
    <row r="5663" ht="14.25" customHeight="1">
      <c r="A5663" s="7">
        <v>5650.0</v>
      </c>
      <c r="B5663" s="14">
        <f t="shared" si="1"/>
        <v>0.1074491917</v>
      </c>
      <c r="C5663" s="39">
        <f t="array" ref="C5663">NPV(B5663,FCFF!$C$9:$I$9)+FCFF!$B$9+FCFF!$I$9*(1+Inputs!$B$6)/(B5663-Inputs!$B$6)/(1+B5663)^7</f>
        <v>-1574.075547</v>
      </c>
    </row>
    <row r="5664" ht="14.25" customHeight="1">
      <c r="A5664" s="7">
        <v>5651.0</v>
      </c>
      <c r="B5664" s="14">
        <f t="shared" si="1"/>
        <v>0.1293587587</v>
      </c>
      <c r="C5664" s="39">
        <f t="array" ref="C5664">NPV(B5664,FCFF!$C$9:$I$9)+FCFF!$B$9+FCFF!$I$9*(1+Inputs!$B$6)/(B5664-Inputs!$B$6)/(1+B5664)^7</f>
        <v>-1963.728741</v>
      </c>
    </row>
    <row r="5665" ht="14.25" customHeight="1">
      <c r="A5665" s="7">
        <v>5652.0</v>
      </c>
      <c r="B5665" s="14">
        <f t="shared" si="1"/>
        <v>0.09635046434</v>
      </c>
      <c r="C5665" s="39">
        <f t="array" ref="C5665">NPV(B5665,FCFF!$C$9:$I$9)+FCFF!$B$9+FCFF!$I$9*(1+Inputs!$B$6)/(B5665-Inputs!$B$6)/(1+B5665)^7</f>
        <v>-1274.659587</v>
      </c>
    </row>
    <row r="5666" ht="14.25" customHeight="1">
      <c r="A5666" s="7">
        <v>5653.0</v>
      </c>
      <c r="B5666" s="14">
        <f t="shared" si="1"/>
        <v>0.1211539302</v>
      </c>
      <c r="C5666" s="39">
        <f t="array" ref="C5666">NPV(B5666,FCFF!$C$9:$I$9)+FCFF!$B$9+FCFF!$I$9*(1+Inputs!$B$6)/(B5666-Inputs!$B$6)/(1+B5666)^7</f>
        <v>-1840.935226</v>
      </c>
    </row>
    <row r="5667" ht="14.25" customHeight="1">
      <c r="A5667" s="7">
        <v>5654.0</v>
      </c>
      <c r="B5667" s="14">
        <f t="shared" si="1"/>
        <v>0.09572414072</v>
      </c>
      <c r="C5667" s="39">
        <f t="array" ref="C5667">NPV(B5667,FCFF!$C$9:$I$9)+FCFF!$B$9+FCFF!$I$9*(1+Inputs!$B$6)/(B5667-Inputs!$B$6)/(1+B5667)^7</f>
        <v>-1254.730987</v>
      </c>
    </row>
    <row r="5668" ht="14.25" customHeight="1">
      <c r="A5668" s="7">
        <v>5655.0</v>
      </c>
      <c r="B5668" s="14">
        <f t="shared" si="1"/>
        <v>0.09426055686</v>
      </c>
      <c r="C5668" s="39">
        <f t="array" ref="C5668">NPV(B5668,FCFF!$C$9:$I$9)+FCFF!$B$9+FCFF!$I$9*(1+Inputs!$B$6)/(B5668-Inputs!$B$6)/(1+B5668)^7</f>
        <v>-1206.656311</v>
      </c>
    </row>
    <row r="5669" ht="14.25" customHeight="1">
      <c r="A5669" s="7">
        <v>5656.0</v>
      </c>
      <c r="B5669" s="14">
        <f t="shared" si="1"/>
        <v>0.1219547005</v>
      </c>
      <c r="C5669" s="39">
        <f t="array" ref="C5669">NPV(B5669,FCFF!$C$9:$I$9)+FCFF!$B$9+FCFF!$I$9*(1+Inputs!$B$6)/(B5669-Inputs!$B$6)/(1+B5669)^7</f>
        <v>-1853.95324</v>
      </c>
    </row>
    <row r="5670" ht="14.25" customHeight="1">
      <c r="A5670" s="7">
        <v>5657.0</v>
      </c>
      <c r="B5670" s="14">
        <f t="shared" si="1"/>
        <v>0.1021344736</v>
      </c>
      <c r="C5670" s="39">
        <f t="array" ref="C5670">NPV(B5670,FCFF!$C$9:$I$9)+FCFF!$B$9+FCFF!$I$9*(1+Inputs!$B$6)/(B5670-Inputs!$B$6)/(1+B5670)^7</f>
        <v>-1442.32385</v>
      </c>
    </row>
    <row r="5671" ht="14.25" customHeight="1">
      <c r="A5671" s="7">
        <v>5658.0</v>
      </c>
      <c r="B5671" s="14">
        <f t="shared" si="1"/>
        <v>0.1019427278</v>
      </c>
      <c r="C5671" s="39">
        <f t="array" ref="C5671">NPV(B5671,FCFF!$C$9:$I$9)+FCFF!$B$9+FCFF!$I$9*(1+Inputs!$B$6)/(B5671-Inputs!$B$6)/(1+B5671)^7</f>
        <v>-1437.200496</v>
      </c>
    </row>
    <row r="5672" ht="14.25" customHeight="1">
      <c r="A5672" s="7">
        <v>5659.0</v>
      </c>
      <c r="B5672" s="14">
        <f t="shared" si="1"/>
        <v>0.1209807973</v>
      </c>
      <c r="C5672" s="39">
        <f t="array" ref="C5672">NPV(B5672,FCFF!$C$9:$I$9)+FCFF!$B$9+FCFF!$I$9*(1+Inputs!$B$6)/(B5672-Inputs!$B$6)/(1+B5672)^7</f>
        <v>-1838.088611</v>
      </c>
    </row>
    <row r="5673" ht="14.25" customHeight="1">
      <c r="A5673" s="7">
        <v>5660.0</v>
      </c>
      <c r="B5673" s="14">
        <f t="shared" si="1"/>
        <v>0.1175053057</v>
      </c>
      <c r="C5673" s="39">
        <f t="array" ref="C5673">NPV(B5673,FCFF!$C$9:$I$9)+FCFF!$B$9+FCFF!$I$9*(1+Inputs!$B$6)/(B5673-Inputs!$B$6)/(1+B5673)^7</f>
        <v>-1778.419476</v>
      </c>
    </row>
    <row r="5674" ht="14.25" customHeight="1">
      <c r="A5674" s="7">
        <v>5661.0</v>
      </c>
      <c r="B5674" s="14">
        <f t="shared" si="1"/>
        <v>0.09548891391</v>
      </c>
      <c r="C5674" s="39">
        <f t="array" ref="C5674">NPV(B5674,FCFF!$C$9:$I$9)+FCFF!$B$9+FCFF!$I$9*(1+Inputs!$B$6)/(B5674-Inputs!$B$6)/(1+B5674)^7</f>
        <v>-1247.148437</v>
      </c>
    </row>
    <row r="5675" ht="14.25" customHeight="1">
      <c r="A5675" s="7">
        <v>5662.0</v>
      </c>
      <c r="B5675" s="14">
        <f t="shared" si="1"/>
        <v>0.1096715813</v>
      </c>
      <c r="C5675" s="39">
        <f t="array" ref="C5675">NPV(B5675,FCFF!$C$9:$I$9)+FCFF!$B$9+FCFF!$I$9*(1+Inputs!$B$6)/(B5675-Inputs!$B$6)/(1+B5675)^7</f>
        <v>-1623.840972</v>
      </c>
    </row>
    <row r="5676" ht="14.25" customHeight="1">
      <c r="A5676" s="7">
        <v>5663.0</v>
      </c>
      <c r="B5676" s="14">
        <f t="shared" si="1"/>
        <v>0.1239336989</v>
      </c>
      <c r="C5676" s="39">
        <f t="array" ref="C5676">NPV(B5676,FCFF!$C$9:$I$9)+FCFF!$B$9+FCFF!$I$9*(1+Inputs!$B$6)/(B5676-Inputs!$B$6)/(1+B5676)^7</f>
        <v>-1885.112774</v>
      </c>
    </row>
    <row r="5677" ht="14.25" customHeight="1">
      <c r="A5677" s="7">
        <v>5664.0</v>
      </c>
      <c r="B5677" s="14">
        <f t="shared" si="1"/>
        <v>0.1027163813</v>
      </c>
      <c r="C5677" s="39">
        <f t="array" ref="C5677">NPV(B5677,FCFF!$C$9:$I$9)+FCFF!$B$9+FCFF!$I$9*(1+Inputs!$B$6)/(B5677-Inputs!$B$6)/(1+B5677)^7</f>
        <v>-1457.70466</v>
      </c>
    </row>
    <row r="5678" ht="14.25" customHeight="1">
      <c r="A5678" s="7">
        <v>5665.0</v>
      </c>
      <c r="B5678" s="14">
        <f t="shared" si="1"/>
        <v>0.123923897</v>
      </c>
      <c r="C5678" s="39">
        <f t="array" ref="C5678">NPV(B5678,FCFF!$C$9:$I$9)+FCFF!$B$9+FCFF!$I$9*(1+Inputs!$B$6)/(B5678-Inputs!$B$6)/(1+B5678)^7</f>
        <v>-1884.961895</v>
      </c>
    </row>
    <row r="5679" ht="14.25" customHeight="1">
      <c r="A5679" s="7">
        <v>5666.0</v>
      </c>
      <c r="B5679" s="14">
        <f t="shared" si="1"/>
        <v>0.1216549057</v>
      </c>
      <c r="C5679" s="39">
        <f t="array" ref="C5679">NPV(B5679,FCFF!$C$9:$I$9)+FCFF!$B$9+FCFF!$I$9*(1+Inputs!$B$6)/(B5679-Inputs!$B$6)/(1+B5679)^7</f>
        <v>-1849.107832</v>
      </c>
    </row>
    <row r="5680" ht="14.25" customHeight="1">
      <c r="A5680" s="7">
        <v>5667.0</v>
      </c>
      <c r="B5680" s="14">
        <f t="shared" si="1"/>
        <v>0.1306982901</v>
      </c>
      <c r="C5680" s="39">
        <f t="array" ref="C5680">NPV(B5680,FCFF!$C$9:$I$9)+FCFF!$B$9+FCFF!$I$9*(1+Inputs!$B$6)/(B5680-Inputs!$B$6)/(1+B5680)^7</f>
        <v>-1981.735326</v>
      </c>
    </row>
    <row r="5681" ht="14.25" customHeight="1">
      <c r="A5681" s="7">
        <v>5668.0</v>
      </c>
      <c r="B5681" s="14">
        <f t="shared" si="1"/>
        <v>0.1183139251</v>
      </c>
      <c r="C5681" s="39">
        <f t="array" ref="C5681">NPV(B5681,FCFF!$C$9:$I$9)+FCFF!$B$9+FCFF!$I$9*(1+Inputs!$B$6)/(B5681-Inputs!$B$6)/(1+B5681)^7</f>
        <v>-1792.745156</v>
      </c>
    </row>
    <row r="5682" ht="14.25" customHeight="1">
      <c r="A5682" s="7">
        <v>5669.0</v>
      </c>
      <c r="B5682" s="14">
        <f t="shared" si="1"/>
        <v>0.1105216378</v>
      </c>
      <c r="C5682" s="39">
        <f t="array" ref="C5682">NPV(B5682,FCFF!$C$9:$I$9)+FCFF!$B$9+FCFF!$I$9*(1+Inputs!$B$6)/(B5682-Inputs!$B$6)/(1+B5682)^7</f>
        <v>-1642.127892</v>
      </c>
    </row>
    <row r="5683" ht="14.25" customHeight="1">
      <c r="A5683" s="7">
        <v>5670.0</v>
      </c>
      <c r="B5683" s="14">
        <f t="shared" si="1"/>
        <v>0.1270697463</v>
      </c>
      <c r="C5683" s="39">
        <f t="array" ref="C5683">NPV(B5683,FCFF!$C$9:$I$9)+FCFF!$B$9+FCFF!$I$9*(1+Inputs!$B$6)/(B5683-Inputs!$B$6)/(1+B5683)^7</f>
        <v>-1931.711499</v>
      </c>
    </row>
    <row r="5684" ht="14.25" customHeight="1">
      <c r="A5684" s="7">
        <v>5671.0</v>
      </c>
      <c r="B5684" s="14">
        <f t="shared" si="1"/>
        <v>0.114798357</v>
      </c>
      <c r="C5684" s="39">
        <f t="array" ref="C5684">NPV(B5684,FCFF!$C$9:$I$9)+FCFF!$B$9+FCFF!$I$9*(1+Inputs!$B$6)/(B5684-Inputs!$B$6)/(1+B5684)^7</f>
        <v>-1728.371253</v>
      </c>
    </row>
    <row r="5685" ht="14.25" customHeight="1">
      <c r="A5685" s="7">
        <v>5672.0</v>
      </c>
      <c r="B5685" s="14">
        <f t="shared" si="1"/>
        <v>0.10209597</v>
      </c>
      <c r="C5685" s="39">
        <f t="array" ref="C5685">NPV(B5685,FCFF!$C$9:$I$9)+FCFF!$B$9+FCFF!$I$9*(1+Inputs!$B$6)/(B5685-Inputs!$B$6)/(1+B5685)^7</f>
        <v>-1441.297265</v>
      </c>
    </row>
    <row r="5686" ht="14.25" customHeight="1">
      <c r="A5686" s="7">
        <v>5673.0</v>
      </c>
      <c r="B5686" s="14">
        <f t="shared" si="1"/>
        <v>0.116510196</v>
      </c>
      <c r="C5686" s="39">
        <f t="array" ref="C5686">NPV(B5686,FCFF!$C$9:$I$9)+FCFF!$B$9+FCFF!$I$9*(1+Inputs!$B$6)/(B5686-Inputs!$B$6)/(1+B5686)^7</f>
        <v>-1760.402953</v>
      </c>
    </row>
    <row r="5687" ht="14.25" customHeight="1">
      <c r="A5687" s="7">
        <v>5674.0</v>
      </c>
      <c r="B5687" s="14">
        <f t="shared" si="1"/>
        <v>0.1168148925</v>
      </c>
      <c r="C5687" s="39">
        <f t="array" ref="C5687">NPV(B5687,FCFF!$C$9:$I$9)+FCFF!$B$9+FCFF!$I$9*(1+Inputs!$B$6)/(B5687-Inputs!$B$6)/(1+B5687)^7</f>
        <v>-1765.965606</v>
      </c>
    </row>
    <row r="5688" ht="14.25" customHeight="1">
      <c r="A5688" s="7">
        <v>5675.0</v>
      </c>
      <c r="B5688" s="14">
        <f t="shared" si="1"/>
        <v>0.1181276586</v>
      </c>
      <c r="C5688" s="39">
        <f t="array" ref="C5688">NPV(B5688,FCFF!$C$9:$I$9)+FCFF!$B$9+FCFF!$I$9*(1+Inputs!$B$6)/(B5688-Inputs!$B$6)/(1+B5688)^7</f>
        <v>-1789.469767</v>
      </c>
    </row>
    <row r="5689" ht="14.25" customHeight="1">
      <c r="A5689" s="7">
        <v>5676.0</v>
      </c>
      <c r="B5689" s="14">
        <f t="shared" si="1"/>
        <v>0.1096407411</v>
      </c>
      <c r="C5689" s="39">
        <f t="array" ref="C5689">NPV(B5689,FCFF!$C$9:$I$9)+FCFF!$B$9+FCFF!$I$9*(1+Inputs!$B$6)/(B5689-Inputs!$B$6)/(1+B5689)^7</f>
        <v>-1623.169942</v>
      </c>
    </row>
    <row r="5690" ht="14.25" customHeight="1">
      <c r="A5690" s="7">
        <v>5677.0</v>
      </c>
      <c r="B5690" s="14">
        <f t="shared" si="1"/>
        <v>0.1060014089</v>
      </c>
      <c r="C5690" s="39">
        <f t="array" ref="C5690">NPV(B5690,FCFF!$C$9:$I$9)+FCFF!$B$9+FCFF!$I$9*(1+Inputs!$B$6)/(B5690-Inputs!$B$6)/(1+B5690)^7</f>
        <v>-1540.047386</v>
      </c>
    </row>
    <row r="5691" ht="14.25" customHeight="1">
      <c r="A5691" s="7">
        <v>5678.0</v>
      </c>
      <c r="B5691" s="14">
        <f t="shared" si="1"/>
        <v>0.1076110076</v>
      </c>
      <c r="C5691" s="39">
        <f t="array" ref="C5691">NPV(B5691,FCFF!$C$9:$I$9)+FCFF!$B$9+FCFF!$I$9*(1+Inputs!$B$6)/(B5691-Inputs!$B$6)/(1+B5691)^7</f>
        <v>-1577.797982</v>
      </c>
    </row>
    <row r="5692" ht="14.25" customHeight="1">
      <c r="A5692" s="7">
        <v>5679.0</v>
      </c>
      <c r="B5692" s="14">
        <f t="shared" si="1"/>
        <v>0.09529214845</v>
      </c>
      <c r="C5692" s="39">
        <f t="array" ref="C5692">NPV(B5692,FCFF!$C$9:$I$9)+FCFF!$B$9+FCFF!$I$9*(1+Inputs!$B$6)/(B5692-Inputs!$B$6)/(1+B5692)^7</f>
        <v>-1240.763957</v>
      </c>
    </row>
    <row r="5693" ht="14.25" customHeight="1">
      <c r="A5693" s="7">
        <v>5680.0</v>
      </c>
      <c r="B5693" s="14">
        <f t="shared" si="1"/>
        <v>0.1238193245</v>
      </c>
      <c r="C5693" s="39">
        <f t="array" ref="C5693">NPV(B5693,FCFF!$C$9:$I$9)+FCFF!$B$9+FCFF!$I$9*(1+Inputs!$B$6)/(B5693-Inputs!$B$6)/(1+B5693)^7</f>
        <v>-1883.35012</v>
      </c>
    </row>
    <row r="5694" ht="14.25" customHeight="1">
      <c r="A5694" s="7">
        <v>5681.0</v>
      </c>
      <c r="B5694" s="14">
        <f t="shared" si="1"/>
        <v>0.114753377</v>
      </c>
      <c r="C5694" s="39">
        <f t="array" ref="C5694">NPV(B5694,FCFF!$C$9:$I$9)+FCFF!$B$9+FCFF!$I$9*(1+Inputs!$B$6)/(B5694-Inputs!$B$6)/(1+B5694)^7</f>
        <v>-1727.511328</v>
      </c>
    </row>
    <row r="5695" ht="14.25" customHeight="1">
      <c r="A5695" s="7">
        <v>5682.0</v>
      </c>
      <c r="B5695" s="14">
        <f t="shared" si="1"/>
        <v>0.1315098805</v>
      </c>
      <c r="C5695" s="39">
        <f t="array" ref="C5695">NPV(B5695,FCFF!$C$9:$I$9)+FCFF!$B$9+FCFF!$I$9*(1+Inputs!$B$6)/(B5695-Inputs!$B$6)/(1+B5695)^7</f>
        <v>-1992.394094</v>
      </c>
    </row>
    <row r="5696" ht="14.25" customHeight="1">
      <c r="A5696" s="7">
        <v>5683.0</v>
      </c>
      <c r="B5696" s="14">
        <f t="shared" si="1"/>
        <v>0.09327373287</v>
      </c>
      <c r="C5696" s="39">
        <f t="array" ref="C5696">NPV(B5696,FCFF!$C$9:$I$9)+FCFF!$B$9+FCFF!$I$9*(1+Inputs!$B$6)/(B5696-Inputs!$B$6)/(1+B5696)^7</f>
        <v>-1172.997318</v>
      </c>
    </row>
    <row r="5697" ht="14.25" customHeight="1">
      <c r="A5697" s="7">
        <v>5684.0</v>
      </c>
      <c r="B5697" s="14">
        <f t="shared" si="1"/>
        <v>0.09621465462</v>
      </c>
      <c r="C5697" s="39">
        <f t="array" ref="C5697">NPV(B5697,FCFF!$C$9:$I$9)+FCFF!$B$9+FCFF!$I$9*(1+Inputs!$B$6)/(B5697-Inputs!$B$6)/(1+B5697)^7</f>
        <v>-1270.370229</v>
      </c>
    </row>
    <row r="5698" ht="14.25" customHeight="1">
      <c r="A5698" s="7">
        <v>5685.0</v>
      </c>
      <c r="B5698" s="14">
        <f t="shared" si="1"/>
        <v>0.1292721818</v>
      </c>
      <c r="C5698" s="39">
        <f t="array" ref="C5698">NPV(B5698,FCFF!$C$9:$I$9)+FCFF!$B$9+FCFF!$I$9*(1+Inputs!$B$6)/(B5698-Inputs!$B$6)/(1+B5698)^7</f>
        <v>-1962.546794</v>
      </c>
    </row>
    <row r="5699" ht="14.25" customHeight="1">
      <c r="A5699" s="7">
        <v>5686.0</v>
      </c>
      <c r="B5699" s="14">
        <f t="shared" si="1"/>
        <v>0.1194810229</v>
      </c>
      <c r="C5699" s="39">
        <f t="array" ref="C5699">NPV(B5699,FCFF!$C$9:$I$9)+FCFF!$B$9+FCFF!$I$9*(1+Inputs!$B$6)/(B5699-Inputs!$B$6)/(1+B5699)^7</f>
        <v>-1812.940529</v>
      </c>
    </row>
    <row r="5700" ht="14.25" customHeight="1">
      <c r="A5700" s="7">
        <v>5687.0</v>
      </c>
      <c r="B5700" s="14">
        <f t="shared" si="1"/>
        <v>0.1072029252</v>
      </c>
      <c r="C5700" s="39">
        <f t="array" ref="C5700">NPV(B5700,FCFF!$C$9:$I$9)+FCFF!$B$9+FCFF!$I$9*(1+Inputs!$B$6)/(B5700-Inputs!$B$6)/(1+B5700)^7</f>
        <v>-1568.379675</v>
      </c>
    </row>
    <row r="5701" ht="14.25" customHeight="1">
      <c r="A5701" s="7">
        <v>5688.0</v>
      </c>
      <c r="B5701" s="14">
        <f t="shared" si="1"/>
        <v>0.09874393904</v>
      </c>
      <c r="C5701" s="39">
        <f t="array" ref="C5701">NPV(B5701,FCFF!$C$9:$I$9)+FCFF!$B$9+FCFF!$I$9*(1+Inputs!$B$6)/(B5701-Inputs!$B$6)/(1+B5701)^7</f>
        <v>-1347.476065</v>
      </c>
    </row>
    <row r="5702" ht="14.25" customHeight="1">
      <c r="A5702" s="7">
        <v>5689.0</v>
      </c>
      <c r="B5702" s="14">
        <f t="shared" si="1"/>
        <v>0.09807535731</v>
      </c>
      <c r="C5702" s="39">
        <f t="array" ref="C5702">NPV(B5702,FCFF!$C$9:$I$9)+FCFF!$B$9+FCFF!$I$9*(1+Inputs!$B$6)/(B5702-Inputs!$B$6)/(1+B5702)^7</f>
        <v>-1327.651466</v>
      </c>
    </row>
    <row r="5703" ht="14.25" customHeight="1">
      <c r="A5703" s="7">
        <v>5690.0</v>
      </c>
      <c r="B5703" s="14">
        <f t="shared" si="1"/>
        <v>0.1160641243</v>
      </c>
      <c r="C5703" s="39">
        <f t="array" ref="C5703">NPV(B5703,FCFF!$C$9:$I$9)+FCFF!$B$9+FCFF!$I$9*(1+Inputs!$B$6)/(B5703-Inputs!$B$6)/(1+B5703)^7</f>
        <v>-1752.184724</v>
      </c>
    </row>
    <row r="5704" ht="14.25" customHeight="1">
      <c r="A5704" s="7">
        <v>5691.0</v>
      </c>
      <c r="B5704" s="14">
        <f t="shared" si="1"/>
        <v>0.1066605593</v>
      </c>
      <c r="C5704" s="39">
        <f t="array" ref="C5704">NPV(B5704,FCFF!$C$9:$I$9)+FCFF!$B$9+FCFF!$I$9*(1+Inputs!$B$6)/(B5704-Inputs!$B$6)/(1+B5704)^7</f>
        <v>-1555.703037</v>
      </c>
    </row>
    <row r="5705" ht="14.25" customHeight="1">
      <c r="A5705" s="7">
        <v>5692.0</v>
      </c>
      <c r="B5705" s="14">
        <f t="shared" si="1"/>
        <v>0.09522695562</v>
      </c>
      <c r="C5705" s="39">
        <f t="array" ref="C5705">NPV(B5705,FCFF!$C$9:$I$9)+FCFF!$B$9+FCFF!$I$9*(1+Inputs!$B$6)/(B5705-Inputs!$B$6)/(1+B5705)^7</f>
        <v>-1238.64019</v>
      </c>
    </row>
    <row r="5706" ht="14.25" customHeight="1">
      <c r="A5706" s="7">
        <v>5693.0</v>
      </c>
      <c r="B5706" s="14">
        <f t="shared" si="1"/>
        <v>0.09869743654</v>
      </c>
      <c r="C5706" s="39">
        <f t="array" ref="C5706">NPV(B5706,FCFF!$C$9:$I$9)+FCFF!$B$9+FCFF!$I$9*(1+Inputs!$B$6)/(B5706-Inputs!$B$6)/(1+B5706)^7</f>
        <v>-1346.109704</v>
      </c>
    </row>
    <row r="5707" ht="14.25" customHeight="1">
      <c r="A5707" s="7">
        <v>5694.0</v>
      </c>
      <c r="B5707" s="14">
        <f t="shared" si="1"/>
        <v>0.1066462164</v>
      </c>
      <c r="C5707" s="39">
        <f t="array" ref="C5707">NPV(B5707,FCFF!$C$9:$I$9)+FCFF!$B$9+FCFF!$I$9*(1+Inputs!$B$6)/(B5707-Inputs!$B$6)/(1+B5707)^7</f>
        <v>-1555.365307</v>
      </c>
    </row>
    <row r="5708" ht="14.25" customHeight="1">
      <c r="A5708" s="7">
        <v>5695.0</v>
      </c>
      <c r="B5708" s="14">
        <f t="shared" si="1"/>
        <v>0.106811545</v>
      </c>
      <c r="C5708" s="39">
        <f t="array" ref="C5708">NPV(B5708,FCFF!$C$9:$I$9)+FCFF!$B$9+FCFF!$I$9*(1+Inputs!$B$6)/(B5708-Inputs!$B$6)/(1+B5708)^7</f>
        <v>-1559.250427</v>
      </c>
    </row>
    <row r="5709" ht="14.25" customHeight="1">
      <c r="A5709" s="7">
        <v>5696.0</v>
      </c>
      <c r="B5709" s="14">
        <f t="shared" si="1"/>
        <v>0.1103379565</v>
      </c>
      <c r="C5709" s="39">
        <f t="array" ref="C5709">NPV(B5709,FCFF!$C$9:$I$9)+FCFF!$B$9+FCFF!$I$9*(1+Inputs!$B$6)/(B5709-Inputs!$B$6)/(1+B5709)^7</f>
        <v>-1638.210291</v>
      </c>
    </row>
    <row r="5710" ht="14.25" customHeight="1">
      <c r="A5710" s="7">
        <v>5697.0</v>
      </c>
      <c r="B5710" s="14">
        <f t="shared" si="1"/>
        <v>0.1320257032</v>
      </c>
      <c r="C5710" s="39">
        <f t="array" ref="C5710">NPV(B5710,FCFF!$C$9:$I$9)+FCFF!$B$9+FCFF!$I$9*(1+Inputs!$B$6)/(B5710-Inputs!$B$6)/(1+B5710)^7</f>
        <v>-1999.072563</v>
      </c>
    </row>
    <row r="5711" ht="14.25" customHeight="1">
      <c r="A5711" s="7">
        <v>5698.0</v>
      </c>
      <c r="B5711" s="14">
        <f t="shared" si="1"/>
        <v>0.119742682</v>
      </c>
      <c r="C5711" s="39">
        <f t="array" ref="C5711">NPV(B5711,FCFF!$C$9:$I$9)+FCFF!$B$9+FCFF!$I$9*(1+Inputs!$B$6)/(B5711-Inputs!$B$6)/(1+B5711)^7</f>
        <v>-1817.39212</v>
      </c>
    </row>
    <row r="5712" ht="14.25" customHeight="1">
      <c r="A5712" s="7">
        <v>5699.0</v>
      </c>
      <c r="B5712" s="14">
        <f t="shared" si="1"/>
        <v>0.1248064475</v>
      </c>
      <c r="C5712" s="39">
        <f t="array" ref="C5712">NPV(B5712,FCFF!$C$9:$I$9)+FCFF!$B$9+FCFF!$I$9*(1+Inputs!$B$6)/(B5712-Inputs!$B$6)/(1+B5712)^7</f>
        <v>-1898.413186</v>
      </c>
    </row>
    <row r="5713" ht="14.25" customHeight="1">
      <c r="A5713" s="7">
        <v>5700.0</v>
      </c>
      <c r="B5713" s="14">
        <f t="shared" si="1"/>
        <v>0.117324252</v>
      </c>
      <c r="C5713" s="39">
        <f t="array" ref="C5713">NPV(B5713,FCFF!$C$9:$I$9)+FCFF!$B$9+FCFF!$I$9*(1+Inputs!$B$6)/(B5713-Inputs!$B$6)/(1+B5713)^7</f>
        <v>-1775.173609</v>
      </c>
    </row>
    <row r="5714" ht="14.25" customHeight="1">
      <c r="A5714" s="7">
        <v>5701.0</v>
      </c>
      <c r="B5714" s="14">
        <f t="shared" si="1"/>
        <v>0.1098121013</v>
      </c>
      <c r="C5714" s="39">
        <f t="array" ref="C5714">NPV(B5714,FCFF!$C$9:$I$9)+FCFF!$B$9+FCFF!$I$9*(1+Inputs!$B$6)/(B5714-Inputs!$B$6)/(1+B5714)^7</f>
        <v>-1626.891677</v>
      </c>
    </row>
    <row r="5715" ht="14.25" customHeight="1">
      <c r="A5715" s="7">
        <v>5702.0</v>
      </c>
      <c r="B5715" s="14">
        <f t="shared" si="1"/>
        <v>0.1037315918</v>
      </c>
      <c r="C5715" s="39">
        <f t="array" ref="C5715">NPV(B5715,FCFF!$C$9:$I$9)+FCFF!$B$9+FCFF!$I$9*(1+Inputs!$B$6)/(B5715-Inputs!$B$6)/(1+B5715)^7</f>
        <v>-1483.949089</v>
      </c>
    </row>
    <row r="5716" ht="14.25" customHeight="1">
      <c r="A5716" s="7">
        <v>5703.0</v>
      </c>
      <c r="B5716" s="14">
        <f t="shared" si="1"/>
        <v>0.09426950514</v>
      </c>
      <c r="C5716" s="39">
        <f t="array" ref="C5716">NPV(B5716,FCFF!$C$9:$I$9)+FCFF!$B$9+FCFF!$I$9*(1+Inputs!$B$6)/(B5716-Inputs!$B$6)/(1+B5716)^7</f>
        <v>-1206.956839</v>
      </c>
    </row>
    <row r="5717" ht="14.25" customHeight="1">
      <c r="A5717" s="7">
        <v>5704.0</v>
      </c>
      <c r="B5717" s="14">
        <f t="shared" si="1"/>
        <v>0.106069824</v>
      </c>
      <c r="C5717" s="39">
        <f t="array" ref="C5717">NPV(B5717,FCFF!$C$9:$I$9)+FCFF!$B$9+FCFF!$I$9*(1+Inputs!$B$6)/(B5717-Inputs!$B$6)/(1+B5717)^7</f>
        <v>-1541.685239</v>
      </c>
    </row>
    <row r="5718" ht="14.25" customHeight="1">
      <c r="A5718" s="7">
        <v>5705.0</v>
      </c>
      <c r="B5718" s="14">
        <f t="shared" si="1"/>
        <v>0.1017150532</v>
      </c>
      <c r="C5718" s="39">
        <f t="array" ref="C5718">NPV(B5718,FCFF!$C$9:$I$9)+FCFF!$B$9+FCFF!$I$9*(1+Inputs!$B$6)/(B5718-Inputs!$B$6)/(1+B5718)^7</f>
        <v>-1431.081151</v>
      </c>
    </row>
    <row r="5719" ht="14.25" customHeight="1">
      <c r="A5719" s="7">
        <v>5706.0</v>
      </c>
      <c r="B5719" s="14">
        <f t="shared" si="1"/>
        <v>0.1308111174</v>
      </c>
      <c r="C5719" s="39">
        <f t="array" ref="C5719">NPV(B5719,FCFF!$C$9:$I$9)+FCFF!$B$9+FCFF!$I$9*(1+Inputs!$B$6)/(B5719-Inputs!$B$6)/(1+B5719)^7</f>
        <v>-1983.228284</v>
      </c>
    </row>
    <row r="5720" ht="14.25" customHeight="1">
      <c r="A5720" s="7">
        <v>5707.0</v>
      </c>
      <c r="B5720" s="14">
        <f t="shared" si="1"/>
        <v>0.1093244977</v>
      </c>
      <c r="C5720" s="39">
        <f t="array" ref="C5720">NPV(B5720,FCFF!$C$9:$I$9)+FCFF!$B$9+FCFF!$I$9*(1+Inputs!$B$6)/(B5720-Inputs!$B$6)/(1+B5720)^7</f>
        <v>-1616.257957</v>
      </c>
    </row>
    <row r="5721" ht="14.25" customHeight="1">
      <c r="A5721" s="7">
        <v>5708.0</v>
      </c>
      <c r="B5721" s="14">
        <f t="shared" si="1"/>
        <v>0.1295276677</v>
      </c>
      <c r="C5721" s="39">
        <f t="array" ref="C5721">NPV(B5721,FCFF!$C$9:$I$9)+FCFF!$B$9+FCFF!$I$9*(1+Inputs!$B$6)/(B5721-Inputs!$B$6)/(1+B5721)^7</f>
        <v>-1966.028271</v>
      </c>
    </row>
    <row r="5722" ht="14.25" customHeight="1">
      <c r="A5722" s="7">
        <v>5709.0</v>
      </c>
      <c r="B5722" s="14">
        <f t="shared" si="1"/>
        <v>0.09498277544</v>
      </c>
      <c r="C5722" s="39">
        <f t="array" ref="C5722">NPV(B5722,FCFF!$C$9:$I$9)+FCFF!$B$9+FCFF!$I$9*(1+Inputs!$B$6)/(B5722-Inputs!$B$6)/(1+B5722)^7</f>
        <v>-1230.647978</v>
      </c>
    </row>
    <row r="5723" ht="14.25" customHeight="1">
      <c r="A5723" s="7">
        <v>5710.0</v>
      </c>
      <c r="B5723" s="14">
        <f t="shared" si="1"/>
        <v>0.1105201361</v>
      </c>
      <c r="C5723" s="39">
        <f t="array" ref="C5723">NPV(B5723,FCFF!$C$9:$I$9)+FCFF!$B$9+FCFF!$I$9*(1+Inputs!$B$6)/(B5723-Inputs!$B$6)/(1+B5723)^7</f>
        <v>-1642.095938</v>
      </c>
    </row>
    <row r="5724" ht="14.25" customHeight="1">
      <c r="A5724" s="7">
        <v>5711.0</v>
      </c>
      <c r="B5724" s="14">
        <f t="shared" si="1"/>
        <v>0.0944926852</v>
      </c>
      <c r="C5724" s="39">
        <f t="array" ref="C5724">NPV(B5724,FCFF!$C$9:$I$9)+FCFF!$B$9+FCFF!$I$9*(1+Inputs!$B$6)/(B5724-Inputs!$B$6)/(1+B5724)^7</f>
        <v>-1214.425605</v>
      </c>
    </row>
    <row r="5725" ht="14.25" customHeight="1">
      <c r="A5725" s="7">
        <v>5712.0</v>
      </c>
      <c r="B5725" s="14">
        <f t="shared" si="1"/>
        <v>0.09923984374</v>
      </c>
      <c r="C5725" s="39">
        <f t="array" ref="C5725">NPV(B5725,FCFF!$C$9:$I$9)+FCFF!$B$9+FCFF!$I$9*(1+Inputs!$B$6)/(B5725-Inputs!$B$6)/(1+B5725)^7</f>
        <v>-1361.932451</v>
      </c>
    </row>
    <row r="5726" ht="14.25" customHeight="1">
      <c r="A5726" s="7">
        <v>5713.0</v>
      </c>
      <c r="B5726" s="14">
        <f t="shared" si="1"/>
        <v>0.1128974565</v>
      </c>
      <c r="C5726" s="39">
        <f t="array" ref="C5726">NPV(B5726,FCFF!$C$9:$I$9)+FCFF!$B$9+FCFF!$I$9*(1+Inputs!$B$6)/(B5726-Inputs!$B$6)/(1+B5726)^7</f>
        <v>-1691.180349</v>
      </c>
    </row>
    <row r="5727" ht="14.25" customHeight="1">
      <c r="A5727" s="7">
        <v>5714.0</v>
      </c>
      <c r="B5727" s="14">
        <f t="shared" si="1"/>
        <v>0.1209824055</v>
      </c>
      <c r="C5727" s="39">
        <f t="array" ref="C5727">NPV(B5727,FCFF!$C$9:$I$9)+FCFF!$B$9+FCFF!$I$9*(1+Inputs!$B$6)/(B5727-Inputs!$B$6)/(1+B5727)^7</f>
        <v>-1838.115107</v>
      </c>
    </row>
    <row r="5728" ht="14.25" customHeight="1">
      <c r="A5728" s="7">
        <v>5715.0</v>
      </c>
      <c r="B5728" s="14">
        <f t="shared" si="1"/>
        <v>0.1079298758</v>
      </c>
      <c r="C5728" s="39">
        <f t="array" ref="C5728">NPV(B5728,FCFF!$C$9:$I$9)+FCFF!$B$9+FCFF!$I$9*(1+Inputs!$B$6)/(B5728-Inputs!$B$6)/(1+B5728)^7</f>
        <v>-1585.086823</v>
      </c>
    </row>
    <row r="5729" ht="14.25" customHeight="1">
      <c r="A5729" s="7">
        <v>5716.0</v>
      </c>
      <c r="B5729" s="14">
        <f t="shared" si="1"/>
        <v>0.1096095562</v>
      </c>
      <c r="C5729" s="39">
        <f t="array" ref="C5729">NPV(B5729,FCFF!$C$9:$I$9)+FCFF!$B$9+FCFF!$I$9*(1+Inputs!$B$6)/(B5729-Inputs!$B$6)/(1+B5729)^7</f>
        <v>-1622.490865</v>
      </c>
    </row>
    <row r="5730" ht="14.25" customHeight="1">
      <c r="A5730" s="7">
        <v>5717.0</v>
      </c>
      <c r="B5730" s="14">
        <f t="shared" si="1"/>
        <v>0.09735750878</v>
      </c>
      <c r="C5730" s="39">
        <f t="array" ref="C5730">NPV(B5730,FCFF!$C$9:$I$9)+FCFF!$B$9+FCFF!$I$9*(1+Inputs!$B$6)/(B5730-Inputs!$B$6)/(1+B5730)^7</f>
        <v>-1305.927302</v>
      </c>
    </row>
    <row r="5731" ht="14.25" customHeight="1">
      <c r="A5731" s="7">
        <v>5718.0</v>
      </c>
      <c r="B5731" s="14">
        <f t="shared" si="1"/>
        <v>0.1281050408</v>
      </c>
      <c r="C5731" s="39">
        <f t="array" ref="C5731">NPV(B5731,FCFF!$C$9:$I$9)+FCFF!$B$9+FCFF!$I$9*(1+Inputs!$B$6)/(B5731-Inputs!$B$6)/(1+B5731)^7</f>
        <v>-1946.392472</v>
      </c>
    </row>
    <row r="5732" ht="14.25" customHeight="1">
      <c r="A5732" s="7">
        <v>5719.0</v>
      </c>
      <c r="B5732" s="14">
        <f t="shared" si="1"/>
        <v>0.1028524571</v>
      </c>
      <c r="C5732" s="39">
        <f t="array" ref="C5732">NPV(B5732,FCFF!$C$9:$I$9)+FCFF!$B$9+FCFF!$I$9*(1+Inputs!$B$6)/(B5732-Inputs!$B$6)/(1+B5732)^7</f>
        <v>-1461.265459</v>
      </c>
    </row>
    <row r="5733" ht="14.25" customHeight="1">
      <c r="A5733" s="7">
        <v>5720.0</v>
      </c>
      <c r="B5733" s="14">
        <f t="shared" si="1"/>
        <v>0.1157848673</v>
      </c>
      <c r="C5733" s="39">
        <f t="array" ref="C5733">NPV(B5733,FCFF!$C$9:$I$9)+FCFF!$B$9+FCFF!$I$9*(1+Inputs!$B$6)/(B5733-Inputs!$B$6)/(1+B5733)^7</f>
        <v>-1746.994191</v>
      </c>
    </row>
    <row r="5734" ht="14.25" customHeight="1">
      <c r="A5734" s="7">
        <v>5721.0</v>
      </c>
      <c r="B5734" s="14">
        <f t="shared" si="1"/>
        <v>0.1264828973</v>
      </c>
      <c r="C5734" s="39">
        <f t="array" ref="C5734">NPV(B5734,FCFF!$C$9:$I$9)+FCFF!$B$9+FCFF!$I$9*(1+Inputs!$B$6)/(B5734-Inputs!$B$6)/(1+B5734)^7</f>
        <v>-1923.238812</v>
      </c>
    </row>
    <row r="5735" ht="14.25" customHeight="1">
      <c r="A5735" s="7">
        <v>5722.0</v>
      </c>
      <c r="B5735" s="14">
        <f t="shared" si="1"/>
        <v>0.1012822978</v>
      </c>
      <c r="C5735" s="39">
        <f t="array" ref="C5735">NPV(B5735,FCFF!$C$9:$I$9)+FCFF!$B$9+FCFF!$I$9*(1+Inputs!$B$6)/(B5735-Inputs!$B$6)/(1+B5735)^7</f>
        <v>-1419.340791</v>
      </c>
    </row>
    <row r="5736" ht="14.25" customHeight="1">
      <c r="A5736" s="7">
        <v>5723.0</v>
      </c>
      <c r="B5736" s="14">
        <f t="shared" si="1"/>
        <v>0.09563507215</v>
      </c>
      <c r="C5736" s="39">
        <f t="array" ref="C5736">NPV(B5736,FCFF!$C$9:$I$9)+FCFF!$B$9+FCFF!$I$9*(1+Inputs!$B$6)/(B5736-Inputs!$B$6)/(1+B5736)^7</f>
        <v>-1251.866217</v>
      </c>
    </row>
    <row r="5737" ht="14.25" customHeight="1">
      <c r="A5737" s="7">
        <v>5724.0</v>
      </c>
      <c r="B5737" s="14">
        <f t="shared" si="1"/>
        <v>0.111458989</v>
      </c>
      <c r="C5737" s="39">
        <f t="array" ref="C5737">NPV(B5737,FCFF!$C$9:$I$9)+FCFF!$B$9+FCFF!$I$9*(1+Inputs!$B$6)/(B5737-Inputs!$B$6)/(1+B5737)^7</f>
        <v>-1661.835355</v>
      </c>
    </row>
    <row r="5738" ht="14.25" customHeight="1">
      <c r="A5738" s="7">
        <v>5725.0</v>
      </c>
      <c r="B5738" s="14">
        <f t="shared" si="1"/>
        <v>0.1098863742</v>
      </c>
      <c r="C5738" s="39">
        <f t="array" ref="C5738">NPV(B5738,FCFF!$C$9:$I$9)+FCFF!$B$9+FCFF!$I$9*(1+Inputs!$B$6)/(B5738-Inputs!$B$6)/(1+B5738)^7</f>
        <v>-1628.499676</v>
      </c>
    </row>
    <row r="5739" ht="14.25" customHeight="1">
      <c r="A5739" s="7">
        <v>5726.0</v>
      </c>
      <c r="B5739" s="14">
        <f t="shared" si="1"/>
        <v>0.1087260195</v>
      </c>
      <c r="C5739" s="39">
        <f t="array" ref="C5739">NPV(B5739,FCFF!$C$9:$I$9)+FCFF!$B$9+FCFF!$I$9*(1+Inputs!$B$6)/(B5739-Inputs!$B$6)/(1+B5739)^7</f>
        <v>-1603.020617</v>
      </c>
    </row>
    <row r="5740" ht="14.25" customHeight="1">
      <c r="A5740" s="7">
        <v>5727.0</v>
      </c>
      <c r="B5740" s="14">
        <f t="shared" si="1"/>
        <v>0.1189454073</v>
      </c>
      <c r="C5740" s="39">
        <f t="array" ref="C5740">NPV(B5740,FCFF!$C$9:$I$9)+FCFF!$B$9+FCFF!$I$9*(1+Inputs!$B$6)/(B5740-Inputs!$B$6)/(1+B5740)^7</f>
        <v>-1803.741759</v>
      </c>
    </row>
    <row r="5741" ht="14.25" customHeight="1">
      <c r="A5741" s="7">
        <v>5728.0</v>
      </c>
      <c r="B5741" s="14">
        <f t="shared" si="1"/>
        <v>0.1105873869</v>
      </c>
      <c r="C5741" s="39">
        <f t="array" ref="C5741">NPV(B5741,FCFF!$C$9:$I$9)+FCFF!$B$9+FCFF!$I$9*(1+Inputs!$B$6)/(B5741-Inputs!$B$6)/(1+B5741)^7</f>
        <v>-1643.525717</v>
      </c>
    </row>
    <row r="5742" ht="14.25" customHeight="1">
      <c r="A5742" s="7">
        <v>5729.0</v>
      </c>
      <c r="B5742" s="14">
        <f t="shared" si="1"/>
        <v>0.1222612398</v>
      </c>
      <c r="C5742" s="39">
        <f t="array" ref="C5742">NPV(B5742,FCFF!$C$9:$I$9)+FCFF!$B$9+FCFF!$I$9*(1+Inputs!$B$6)/(B5742-Inputs!$B$6)/(1+B5742)^7</f>
        <v>-1858.873021</v>
      </c>
    </row>
    <row r="5743" ht="14.25" customHeight="1">
      <c r="A5743" s="7">
        <v>5730.0</v>
      </c>
      <c r="B5743" s="14">
        <f t="shared" si="1"/>
        <v>0.12636439</v>
      </c>
      <c r="C5743" s="39">
        <f t="array" ref="C5743">NPV(B5743,FCFF!$C$9:$I$9)+FCFF!$B$9+FCFF!$I$9*(1+Inputs!$B$6)/(B5743-Inputs!$B$6)/(1+B5743)^7</f>
        <v>-1921.51437</v>
      </c>
    </row>
    <row r="5744" ht="14.25" customHeight="1">
      <c r="A5744" s="7">
        <v>5731.0</v>
      </c>
      <c r="B5744" s="14">
        <f t="shared" si="1"/>
        <v>0.1144143952</v>
      </c>
      <c r="C5744" s="39">
        <f t="array" ref="C5744">NPV(B5744,FCFF!$C$9:$I$9)+FCFF!$B$9+FCFF!$I$9*(1+Inputs!$B$6)/(B5744-Inputs!$B$6)/(1+B5744)^7</f>
        <v>-1720.999884</v>
      </c>
    </row>
    <row r="5745" ht="14.25" customHeight="1">
      <c r="A5745" s="7">
        <v>5732.0</v>
      </c>
      <c r="B5745" s="14">
        <f t="shared" si="1"/>
        <v>0.1109672614</v>
      </c>
      <c r="C5745" s="39">
        <f t="array" ref="C5745">NPV(B5745,FCFF!$C$9:$I$9)+FCFF!$B$9+FCFF!$I$9*(1+Inputs!$B$6)/(B5745-Inputs!$B$6)/(1+B5745)^7</f>
        <v>-1651.55587</v>
      </c>
    </row>
    <row r="5746" ht="14.25" customHeight="1">
      <c r="A5746" s="7">
        <v>5733.0</v>
      </c>
      <c r="B5746" s="14">
        <f t="shared" si="1"/>
        <v>0.1201940983</v>
      </c>
      <c r="C5746" s="39">
        <f t="array" ref="C5746">NPV(B5746,FCFF!$C$9:$I$9)+FCFF!$B$9+FCFF!$I$9*(1+Inputs!$B$6)/(B5746-Inputs!$B$6)/(1+B5746)^7</f>
        <v>-1825.007796</v>
      </c>
    </row>
    <row r="5747" ht="14.25" customHeight="1">
      <c r="A5747" s="7">
        <v>5734.0</v>
      </c>
      <c r="B5747" s="14">
        <f t="shared" si="1"/>
        <v>0.1013209482</v>
      </c>
      <c r="C5747" s="39">
        <f t="array" ref="C5747">NPV(B5747,FCFF!$C$9:$I$9)+FCFF!$B$9+FCFF!$I$9*(1+Inputs!$B$6)/(B5747-Inputs!$B$6)/(1+B5747)^7</f>
        <v>-1420.395203</v>
      </c>
    </row>
    <row r="5748" ht="14.25" customHeight="1">
      <c r="A5748" s="7">
        <v>5735.0</v>
      </c>
      <c r="B5748" s="14">
        <f t="shared" si="1"/>
        <v>0.1217229206</v>
      </c>
      <c r="C5748" s="39">
        <f t="array" ref="C5748">NPV(B5748,FCFF!$C$9:$I$9)+FCFF!$B$9+FCFF!$I$9*(1+Inputs!$B$6)/(B5748-Inputs!$B$6)/(1+B5748)^7</f>
        <v>-1850.21007</v>
      </c>
    </row>
    <row r="5749" ht="14.25" customHeight="1">
      <c r="A5749" s="7">
        <v>5736.0</v>
      </c>
      <c r="B5749" s="14">
        <f t="shared" si="1"/>
        <v>0.1278202681</v>
      </c>
      <c r="C5749" s="39">
        <f t="array" ref="C5749">NPV(B5749,FCFF!$C$9:$I$9)+FCFF!$B$9+FCFF!$I$9*(1+Inputs!$B$6)/(B5749-Inputs!$B$6)/(1+B5749)^7</f>
        <v>-1942.387684</v>
      </c>
    </row>
    <row r="5750" ht="14.25" customHeight="1">
      <c r="A5750" s="7">
        <v>5737.0</v>
      </c>
      <c r="B5750" s="14">
        <f t="shared" si="1"/>
        <v>0.09761884768</v>
      </c>
      <c r="C5750" s="39">
        <f t="array" ref="C5750">NPV(B5750,FCFF!$C$9:$I$9)+FCFF!$B$9+FCFF!$I$9*(1+Inputs!$B$6)/(B5750-Inputs!$B$6)/(1+B5750)^7</f>
        <v>-1313.889583</v>
      </c>
    </row>
    <row r="5751" ht="14.25" customHeight="1">
      <c r="A5751" s="7">
        <v>5738.0</v>
      </c>
      <c r="B5751" s="14">
        <f t="shared" si="1"/>
        <v>0.1143061558</v>
      </c>
      <c r="C5751" s="39">
        <f t="array" ref="C5751">NPV(B5751,FCFF!$C$9:$I$9)+FCFF!$B$9+FCFF!$I$9*(1+Inputs!$B$6)/(B5751-Inputs!$B$6)/(1+B5751)^7</f>
        <v>-1718.909211</v>
      </c>
    </row>
    <row r="5752" ht="14.25" customHeight="1">
      <c r="A5752" s="7">
        <v>5739.0</v>
      </c>
      <c r="B5752" s="14">
        <f t="shared" si="1"/>
        <v>0.1096189617</v>
      </c>
      <c r="C5752" s="39">
        <f t="array" ref="C5752">NPV(B5752,FCFF!$C$9:$I$9)+FCFF!$B$9+FCFF!$I$9*(1+Inputs!$B$6)/(B5752-Inputs!$B$6)/(1+B5752)^7</f>
        <v>-1622.695735</v>
      </c>
    </row>
    <row r="5753" ht="14.25" customHeight="1">
      <c r="A5753" s="7">
        <v>5740.0</v>
      </c>
      <c r="B5753" s="14">
        <f t="shared" si="1"/>
        <v>0.1319646651</v>
      </c>
      <c r="C5753" s="39">
        <f t="array" ref="C5753">NPV(B5753,FCFF!$C$9:$I$9)+FCFF!$B$9+FCFF!$I$9*(1+Inputs!$B$6)/(B5753-Inputs!$B$6)/(1+B5753)^7</f>
        <v>-1998.286131</v>
      </c>
    </row>
    <row r="5754" ht="14.25" customHeight="1">
      <c r="A5754" s="7">
        <v>5741.0</v>
      </c>
      <c r="B5754" s="14">
        <f t="shared" si="1"/>
        <v>0.1320859879</v>
      </c>
      <c r="C5754" s="39">
        <f t="array" ref="C5754">NPV(B5754,FCFF!$C$9:$I$9)+FCFF!$B$9+FCFF!$I$9*(1+Inputs!$B$6)/(B5754-Inputs!$B$6)/(1+B5754)^7</f>
        <v>-1999.84828</v>
      </c>
    </row>
    <row r="5755" ht="14.25" customHeight="1">
      <c r="A5755" s="7">
        <v>5742.0</v>
      </c>
      <c r="B5755" s="14">
        <f t="shared" si="1"/>
        <v>0.1248240913</v>
      </c>
      <c r="C5755" s="39">
        <f t="array" ref="C5755">NPV(B5755,FCFF!$C$9:$I$9)+FCFF!$B$9+FCFF!$I$9*(1+Inputs!$B$6)/(B5755-Inputs!$B$6)/(1+B5755)^7</f>
        <v>-1898.679369</v>
      </c>
    </row>
    <row r="5756" ht="14.25" customHeight="1">
      <c r="A5756" s="7">
        <v>5743.0</v>
      </c>
      <c r="B5756" s="14">
        <f t="shared" si="1"/>
        <v>0.1292618815</v>
      </c>
      <c r="C5756" s="39">
        <f t="array" ref="C5756">NPV(B5756,FCFF!$C$9:$I$9)+FCFF!$B$9+FCFF!$I$9*(1+Inputs!$B$6)/(B5756-Inputs!$B$6)/(1+B5756)^7</f>
        <v>-1962.406026</v>
      </c>
    </row>
    <row r="5757" ht="14.25" customHeight="1">
      <c r="A5757" s="7">
        <v>5744.0</v>
      </c>
      <c r="B5757" s="14">
        <f t="shared" si="1"/>
        <v>0.1098583791</v>
      </c>
      <c r="C5757" s="39">
        <f t="array" ref="C5757">NPV(B5757,FCFF!$C$9:$I$9)+FCFF!$B$9+FCFF!$I$9*(1+Inputs!$B$6)/(B5757-Inputs!$B$6)/(1+B5757)^7</f>
        <v>-1627.893947</v>
      </c>
    </row>
    <row r="5758" ht="14.25" customHeight="1">
      <c r="A5758" s="7">
        <v>5745.0</v>
      </c>
      <c r="B5758" s="14">
        <f t="shared" si="1"/>
        <v>0.09702913175</v>
      </c>
      <c r="C5758" s="39">
        <f t="array" ref="C5758">NPV(B5758,FCFF!$C$9:$I$9)+FCFF!$B$9+FCFF!$I$9*(1+Inputs!$B$6)/(B5758-Inputs!$B$6)/(1+B5758)^7</f>
        <v>-1295.834582</v>
      </c>
    </row>
    <row r="5759" ht="14.25" customHeight="1">
      <c r="A5759" s="7">
        <v>5746.0</v>
      </c>
      <c r="B5759" s="14">
        <f t="shared" si="1"/>
        <v>0.1189171779</v>
      </c>
      <c r="C5759" s="39">
        <f t="array" ref="C5759">NPV(B5759,FCFF!$C$9:$I$9)+FCFF!$B$9+FCFF!$I$9*(1+Inputs!$B$6)/(B5759-Inputs!$B$6)/(1+B5759)^7</f>
        <v>-1803.253693</v>
      </c>
    </row>
    <row r="5760" ht="14.25" customHeight="1">
      <c r="A5760" s="7">
        <v>5747.0</v>
      </c>
      <c r="B5760" s="14">
        <f t="shared" si="1"/>
        <v>0.1114234185</v>
      </c>
      <c r="C5760" s="39">
        <f t="array" ref="C5760">NPV(B5760,FCFF!$C$9:$I$9)+FCFF!$B$9+FCFF!$I$9*(1+Inputs!$B$6)/(B5760-Inputs!$B$6)/(1+B5760)^7</f>
        <v>-1661.096076</v>
      </c>
    </row>
    <row r="5761" ht="14.25" customHeight="1">
      <c r="A5761" s="7">
        <v>5748.0</v>
      </c>
      <c r="B5761" s="14">
        <f t="shared" si="1"/>
        <v>0.1217397882</v>
      </c>
      <c r="C5761" s="39">
        <f t="array" ref="C5761">NPV(B5761,FCFF!$C$9:$I$9)+FCFF!$B$9+FCFF!$I$9*(1+Inputs!$B$6)/(B5761-Inputs!$B$6)/(1+B5761)^7</f>
        <v>-1850.483155</v>
      </c>
    </row>
    <row r="5762" ht="14.25" customHeight="1">
      <c r="A5762" s="7">
        <v>5749.0</v>
      </c>
      <c r="B5762" s="14">
        <f t="shared" si="1"/>
        <v>0.1044684078</v>
      </c>
      <c r="C5762" s="39">
        <f t="array" ref="C5762">NPV(B5762,FCFF!$C$9:$I$9)+FCFF!$B$9+FCFF!$I$9*(1+Inputs!$B$6)/(B5762-Inputs!$B$6)/(1+B5762)^7</f>
        <v>-1502.541422</v>
      </c>
    </row>
    <row r="5763" ht="14.25" customHeight="1">
      <c r="A5763" s="7">
        <v>5750.0</v>
      </c>
      <c r="B5763" s="14">
        <f t="shared" si="1"/>
        <v>0.1112421593</v>
      </c>
      <c r="C5763" s="39">
        <f t="array" ref="C5763">NPV(B5763,FCFF!$C$9:$I$9)+FCFF!$B$9+FCFF!$I$9*(1+Inputs!$B$6)/(B5763-Inputs!$B$6)/(1+B5763)^7</f>
        <v>-1657.318453</v>
      </c>
    </row>
    <row r="5764" ht="14.25" customHeight="1">
      <c r="A5764" s="7">
        <v>5751.0</v>
      </c>
      <c r="B5764" s="14">
        <f t="shared" si="1"/>
        <v>0.09645773164</v>
      </c>
      <c r="C5764" s="39">
        <f t="array" ref="C5764">NPV(B5764,FCFF!$C$9:$I$9)+FCFF!$B$9+FCFF!$I$9*(1+Inputs!$B$6)/(B5764-Inputs!$B$6)/(1+B5764)^7</f>
        <v>-1278.035121</v>
      </c>
    </row>
    <row r="5765" ht="14.25" customHeight="1">
      <c r="A5765" s="7">
        <v>5752.0</v>
      </c>
      <c r="B5765" s="14">
        <f t="shared" si="1"/>
        <v>0.1292883638</v>
      </c>
      <c r="C5765" s="39">
        <f t="array" ref="C5765">NPV(B5765,FCFF!$C$9:$I$9)+FCFF!$B$9+FCFF!$I$9*(1+Inputs!$B$6)/(B5765-Inputs!$B$6)/(1+B5765)^7</f>
        <v>-1962.76788</v>
      </c>
    </row>
    <row r="5766" ht="14.25" customHeight="1">
      <c r="A5766" s="7">
        <v>5753.0</v>
      </c>
      <c r="B5766" s="14">
        <f t="shared" si="1"/>
        <v>0.1180982746</v>
      </c>
      <c r="C5766" s="39">
        <f t="array" ref="C5766">NPV(B5766,FCFF!$C$9:$I$9)+FCFF!$B$9+FCFF!$I$9*(1+Inputs!$B$6)/(B5766-Inputs!$B$6)/(1+B5766)^7</f>
        <v>-1788.951732</v>
      </c>
    </row>
    <row r="5767" ht="14.25" customHeight="1">
      <c r="A5767" s="7">
        <v>5754.0</v>
      </c>
      <c r="B5767" s="14">
        <f t="shared" si="1"/>
        <v>0.1015908413</v>
      </c>
      <c r="C5767" s="39">
        <f t="array" ref="C5767">NPV(B5767,FCFF!$C$9:$I$9)+FCFF!$B$9+FCFF!$I$9*(1+Inputs!$B$6)/(B5767-Inputs!$B$6)/(1+B5767)^7</f>
        <v>-1427.726043</v>
      </c>
    </row>
    <row r="5768" ht="14.25" customHeight="1">
      <c r="A5768" s="7">
        <v>5755.0</v>
      </c>
      <c r="B5768" s="14">
        <f t="shared" si="1"/>
        <v>0.09958565514</v>
      </c>
      <c r="C5768" s="39">
        <f t="array" ref="C5768">NPV(B5768,FCFF!$C$9:$I$9)+FCFF!$B$9+FCFF!$I$9*(1+Inputs!$B$6)/(B5768-Inputs!$B$6)/(1+B5768)^7</f>
        <v>-1371.890917</v>
      </c>
    </row>
    <row r="5769" ht="14.25" customHeight="1">
      <c r="A5769" s="7">
        <v>5756.0</v>
      </c>
      <c r="B5769" s="14">
        <f t="shared" si="1"/>
        <v>0.09567257309</v>
      </c>
      <c r="C5769" s="39">
        <f t="array" ref="C5769">NPV(B5769,FCFF!$C$9:$I$9)+FCFF!$B$9+FCFF!$I$9*(1+Inputs!$B$6)/(B5769-Inputs!$B$6)/(1+B5769)^7</f>
        <v>-1253.073327</v>
      </c>
    </row>
    <row r="5770" ht="14.25" customHeight="1">
      <c r="A5770" s="7">
        <v>5757.0</v>
      </c>
      <c r="B5770" s="14">
        <f t="shared" si="1"/>
        <v>0.1184650618</v>
      </c>
      <c r="C5770" s="39">
        <f t="array" ref="C5770">NPV(B5770,FCFF!$C$9:$I$9)+FCFF!$B$9+FCFF!$I$9*(1+Inputs!$B$6)/(B5770-Inputs!$B$6)/(1+B5770)^7</f>
        <v>-1795.392122</v>
      </c>
    </row>
    <row r="5771" ht="14.25" customHeight="1">
      <c r="A5771" s="7">
        <v>5758.0</v>
      </c>
      <c r="B5771" s="14">
        <f t="shared" si="1"/>
        <v>0.1105394491</v>
      </c>
      <c r="C5771" s="39">
        <f t="array" ref="C5771">NPV(B5771,FCFF!$C$9:$I$9)+FCFF!$B$9+FCFF!$I$9*(1+Inputs!$B$6)/(B5771-Inputs!$B$6)/(1+B5771)^7</f>
        <v>-1642.506793</v>
      </c>
    </row>
    <row r="5772" ht="14.25" customHeight="1">
      <c r="A5772" s="7">
        <v>5759.0</v>
      </c>
      <c r="B5772" s="14">
        <f t="shared" si="1"/>
        <v>0.09392115045</v>
      </c>
      <c r="C5772" s="39">
        <f t="array" ref="C5772">NPV(B5772,FCFF!$C$9:$I$9)+FCFF!$B$9+FCFF!$I$9*(1+Inputs!$B$6)/(B5772-Inputs!$B$6)/(1+B5772)^7</f>
        <v>-1195.195778</v>
      </c>
    </row>
    <row r="5773" ht="14.25" customHeight="1">
      <c r="A5773" s="7">
        <v>5760.0</v>
      </c>
      <c r="B5773" s="14">
        <f t="shared" si="1"/>
        <v>0.1085478111</v>
      </c>
      <c r="C5773" s="39">
        <f t="array" ref="C5773">NPV(B5773,FCFF!$C$9:$I$9)+FCFF!$B$9+FCFF!$I$9*(1+Inputs!$B$6)/(B5773-Inputs!$B$6)/(1+B5773)^7</f>
        <v>-1599.038806</v>
      </c>
    </row>
    <row r="5774" ht="14.25" customHeight="1">
      <c r="A5774" s="7">
        <v>5761.0</v>
      </c>
      <c r="B5774" s="14">
        <f t="shared" si="1"/>
        <v>0.1099473773</v>
      </c>
      <c r="C5774" s="39">
        <f t="array" ref="C5774">NPV(B5774,FCFF!$C$9:$I$9)+FCFF!$B$9+FCFF!$I$9*(1+Inputs!$B$6)/(B5774-Inputs!$B$6)/(1+B5774)^7</f>
        <v>-1629.818078</v>
      </c>
    </row>
    <row r="5775" ht="14.25" customHeight="1">
      <c r="A5775" s="7">
        <v>5762.0</v>
      </c>
      <c r="B5775" s="14">
        <f t="shared" si="1"/>
        <v>0.09973073322</v>
      </c>
      <c r="C5775" s="39">
        <f t="array" ref="C5775">NPV(B5775,FCFF!$C$9:$I$9)+FCFF!$B$9+FCFF!$I$9*(1+Inputs!$B$6)/(B5775-Inputs!$B$6)/(1+B5775)^7</f>
        <v>-1376.039223</v>
      </c>
    </row>
    <row r="5776" ht="14.25" customHeight="1">
      <c r="A5776" s="7">
        <v>5763.0</v>
      </c>
      <c r="B5776" s="14">
        <f t="shared" si="1"/>
        <v>0.09980075262</v>
      </c>
      <c r="C5776" s="39">
        <f t="array" ref="C5776">NPV(B5776,FCFF!$C$9:$I$9)+FCFF!$B$9+FCFF!$I$9*(1+Inputs!$B$6)/(B5776-Inputs!$B$6)/(1+B5776)^7</f>
        <v>-1378.035125</v>
      </c>
    </row>
    <row r="5777" ht="14.25" customHeight="1">
      <c r="A5777" s="7">
        <v>5764.0</v>
      </c>
      <c r="B5777" s="14">
        <f t="shared" si="1"/>
        <v>0.1205124045</v>
      </c>
      <c r="C5777" s="39">
        <f t="array" ref="C5777">NPV(B5777,FCFF!$C$9:$I$9)+FCFF!$B$9+FCFF!$I$9*(1+Inputs!$B$6)/(B5777-Inputs!$B$6)/(1+B5777)^7</f>
        <v>-1830.329463</v>
      </c>
    </row>
    <row r="5778" ht="14.25" customHeight="1">
      <c r="A5778" s="7">
        <v>5765.0</v>
      </c>
      <c r="B5778" s="14">
        <f t="shared" si="1"/>
        <v>0.09351032394</v>
      </c>
      <c r="C5778" s="39">
        <f t="array" ref="C5778">NPV(B5778,FCFF!$C$9:$I$9)+FCFF!$B$9+FCFF!$I$9*(1+Inputs!$B$6)/(B5778-Inputs!$B$6)/(1+B5778)^7</f>
        <v>-1181.161394</v>
      </c>
    </row>
    <row r="5779" ht="14.25" customHeight="1">
      <c r="A5779" s="7">
        <v>5766.0</v>
      </c>
      <c r="B5779" s="14">
        <f t="shared" si="1"/>
        <v>0.119363312</v>
      </c>
      <c r="C5779" s="39">
        <f t="array" ref="C5779">NPV(B5779,FCFF!$C$9:$I$9)+FCFF!$B$9+FCFF!$I$9*(1+Inputs!$B$6)/(B5779-Inputs!$B$6)/(1+B5779)^7</f>
        <v>-1810.92893</v>
      </c>
    </row>
    <row r="5780" ht="14.25" customHeight="1">
      <c r="A5780" s="7">
        <v>5767.0</v>
      </c>
      <c r="B5780" s="14">
        <f t="shared" si="1"/>
        <v>0.1013595897</v>
      </c>
      <c r="C5780" s="39">
        <f t="array" ref="C5780">NPV(B5780,FCFF!$C$9:$I$9)+FCFF!$B$9+FCFF!$I$9*(1+Inputs!$B$6)/(B5780-Inputs!$B$6)/(1+B5780)^7</f>
        <v>-1421.448219</v>
      </c>
    </row>
    <row r="5781" ht="14.25" customHeight="1">
      <c r="A5781" s="7">
        <v>5768.0</v>
      </c>
      <c r="B5781" s="14">
        <f t="shared" si="1"/>
        <v>0.1017250647</v>
      </c>
      <c r="C5781" s="39">
        <f t="array" ref="C5781">NPV(B5781,FCFF!$C$9:$I$9)+FCFF!$B$9+FCFF!$I$9*(1+Inputs!$B$6)/(B5781-Inputs!$B$6)/(1+B5781)^7</f>
        <v>-1431.351062</v>
      </c>
    </row>
    <row r="5782" ht="14.25" customHeight="1">
      <c r="A5782" s="7">
        <v>5769.0</v>
      </c>
      <c r="B5782" s="14">
        <f t="shared" si="1"/>
        <v>0.1297122861</v>
      </c>
      <c r="C5782" s="39">
        <f t="array" ref="C5782">NPV(B5782,FCFF!$C$9:$I$9)+FCFF!$B$9+FCFF!$I$9*(1+Inputs!$B$6)/(B5782-Inputs!$B$6)/(1+B5782)^7</f>
        <v>-1968.532011</v>
      </c>
    </row>
    <row r="5783" ht="14.25" customHeight="1">
      <c r="A5783" s="7">
        <v>5770.0</v>
      </c>
      <c r="B5783" s="14">
        <f t="shared" si="1"/>
        <v>0.09878299718</v>
      </c>
      <c r="C5783" s="39">
        <f t="array" ref="C5783">NPV(B5783,FCFF!$C$9:$I$9)+FCFF!$B$9+FCFF!$I$9*(1+Inputs!$B$6)/(B5783-Inputs!$B$6)/(1+B5783)^7</f>
        <v>-1348.62226</v>
      </c>
    </row>
    <row r="5784" ht="14.25" customHeight="1">
      <c r="A5784" s="7">
        <v>5771.0</v>
      </c>
      <c r="B5784" s="14">
        <f t="shared" si="1"/>
        <v>0.1099304257</v>
      </c>
      <c r="C5784" s="39">
        <f t="array" ref="C5784">NPV(B5784,FCFF!$C$9:$I$9)+FCFF!$B$9+FCFF!$I$9*(1+Inputs!$B$6)/(B5784-Inputs!$B$6)/(1+B5784)^7</f>
        <v>-1629.451926</v>
      </c>
    </row>
    <row r="5785" ht="14.25" customHeight="1">
      <c r="A5785" s="7">
        <v>5772.0</v>
      </c>
      <c r="B5785" s="14">
        <f t="shared" si="1"/>
        <v>0.1158324622</v>
      </c>
      <c r="C5785" s="39">
        <f t="array" ref="C5785">NPV(B5785,FCFF!$C$9:$I$9)+FCFF!$B$9+FCFF!$I$9*(1+Inputs!$B$6)/(B5785-Inputs!$B$6)/(1+B5785)^7</f>
        <v>-1747.881336</v>
      </c>
    </row>
    <row r="5786" ht="14.25" customHeight="1">
      <c r="A5786" s="7">
        <v>5773.0</v>
      </c>
      <c r="B5786" s="14">
        <f t="shared" si="1"/>
        <v>0.1032008661</v>
      </c>
      <c r="C5786" s="39">
        <f t="array" ref="C5786">NPV(B5786,FCFF!$C$9:$I$9)+FCFF!$B$9+FCFF!$I$9*(1+Inputs!$B$6)/(B5786-Inputs!$B$6)/(1+B5786)^7</f>
        <v>-1470.321348</v>
      </c>
    </row>
    <row r="5787" ht="14.25" customHeight="1">
      <c r="A5787" s="7">
        <v>5774.0</v>
      </c>
      <c r="B5787" s="14">
        <f t="shared" si="1"/>
        <v>0.1056412134</v>
      </c>
      <c r="C5787" s="39">
        <f t="array" ref="C5787">NPV(B5787,FCFF!$C$9:$I$9)+FCFF!$B$9+FCFF!$I$9*(1+Inputs!$B$6)/(B5787-Inputs!$B$6)/(1+B5787)^7</f>
        <v>-1531.37439</v>
      </c>
    </row>
    <row r="5788" ht="14.25" customHeight="1">
      <c r="A5788" s="7">
        <v>5775.0</v>
      </c>
      <c r="B5788" s="14">
        <f t="shared" si="1"/>
        <v>0.1187249244</v>
      </c>
      <c r="C5788" s="39">
        <f t="array" ref="C5788">NPV(B5788,FCFF!$C$9:$I$9)+FCFF!$B$9+FCFF!$I$9*(1+Inputs!$B$6)/(B5788-Inputs!$B$6)/(1+B5788)^7</f>
        <v>-1799.921047</v>
      </c>
    </row>
    <row r="5789" ht="14.25" customHeight="1">
      <c r="A5789" s="7">
        <v>5776.0</v>
      </c>
      <c r="B5789" s="14">
        <f t="shared" si="1"/>
        <v>0.1030509309</v>
      </c>
      <c r="C5789" s="39">
        <f t="array" ref="C5789">NPV(B5789,FCFF!$C$9:$I$9)+FCFF!$B$9+FCFF!$I$9*(1+Inputs!$B$6)/(B5789-Inputs!$B$6)/(1+B5789)^7</f>
        <v>-1466.434956</v>
      </c>
    </row>
    <row r="5790" ht="14.25" customHeight="1">
      <c r="A5790" s="7">
        <v>5777.0</v>
      </c>
      <c r="B5790" s="14">
        <f t="shared" si="1"/>
        <v>0.1329423408</v>
      </c>
      <c r="C5790" s="39">
        <f t="array" ref="C5790">NPV(B5790,FCFF!$C$9:$I$9)+FCFF!$B$9+FCFF!$I$9*(1+Inputs!$B$6)/(B5790-Inputs!$B$6)/(1+B5790)^7</f>
        <v>-2010.760426</v>
      </c>
    </row>
    <row r="5791" ht="14.25" customHeight="1">
      <c r="A5791" s="7">
        <v>5778.0</v>
      </c>
      <c r="B5791" s="14">
        <f t="shared" si="1"/>
        <v>0.1249058991</v>
      </c>
      <c r="C5791" s="39">
        <f t="array" ref="C5791">NPV(B5791,FCFF!$C$9:$I$9)+FCFF!$B$9+FCFF!$I$9*(1+Inputs!$B$6)/(B5791-Inputs!$B$6)/(1+B5791)^7</f>
        <v>-1899.912178</v>
      </c>
    </row>
    <row r="5792" ht="14.25" customHeight="1">
      <c r="A5792" s="7">
        <v>5779.0</v>
      </c>
      <c r="B5792" s="14">
        <f t="shared" si="1"/>
        <v>0.1043891967</v>
      </c>
      <c r="C5792" s="39">
        <f t="array" ref="C5792">NPV(B5792,FCFF!$C$9:$I$9)+FCFF!$B$9+FCFF!$I$9*(1+Inputs!$B$6)/(B5792-Inputs!$B$6)/(1+B5792)^7</f>
        <v>-1500.560639</v>
      </c>
    </row>
    <row r="5793" ht="14.25" customHeight="1">
      <c r="A5793" s="7">
        <v>5780.0</v>
      </c>
      <c r="B5793" s="14">
        <f t="shared" si="1"/>
        <v>0.1031915917</v>
      </c>
      <c r="C5793" s="39">
        <f t="array" ref="C5793">NPV(B5793,FCFF!$C$9:$I$9)+FCFF!$B$9+FCFF!$I$9*(1+Inputs!$B$6)/(B5793-Inputs!$B$6)/(1+B5793)^7</f>
        <v>-1470.081421</v>
      </c>
    </row>
    <row r="5794" ht="14.25" customHeight="1">
      <c r="A5794" s="7">
        <v>5781.0</v>
      </c>
      <c r="B5794" s="14">
        <f t="shared" si="1"/>
        <v>0.1116868458</v>
      </c>
      <c r="C5794" s="39">
        <f t="array" ref="C5794">NPV(B5794,FCFF!$C$9:$I$9)+FCFF!$B$9+FCFF!$I$9*(1+Inputs!$B$6)/(B5794-Inputs!$B$6)/(1+B5794)^7</f>
        <v>-1666.555189</v>
      </c>
    </row>
    <row r="5795" ht="14.25" customHeight="1">
      <c r="A5795" s="7">
        <v>5782.0</v>
      </c>
      <c r="B5795" s="14">
        <f t="shared" si="1"/>
        <v>0.1310806115</v>
      </c>
      <c r="C5795" s="39">
        <f t="array" ref="C5795">NPV(B5795,FCFF!$C$9:$I$9)+FCFF!$B$9+FCFF!$I$9*(1+Inputs!$B$6)/(B5795-Inputs!$B$6)/(1+B5795)^7</f>
        <v>-1986.779627</v>
      </c>
    </row>
    <row r="5796" ht="14.25" customHeight="1">
      <c r="A5796" s="7">
        <v>5783.0</v>
      </c>
      <c r="B5796" s="14">
        <f t="shared" si="1"/>
        <v>0.1084084707</v>
      </c>
      <c r="C5796" s="39">
        <f t="array" ref="C5796">NPV(B5796,FCFF!$C$9:$I$9)+FCFF!$B$9+FCFF!$I$9*(1+Inputs!$B$6)/(B5796-Inputs!$B$6)/(1+B5796)^7</f>
        <v>-1595.912468</v>
      </c>
    </row>
    <row r="5797" ht="14.25" customHeight="1">
      <c r="A5797" s="7">
        <v>5784.0</v>
      </c>
      <c r="B5797" s="14">
        <f t="shared" si="1"/>
        <v>0.1166135304</v>
      </c>
      <c r="C5797" s="39">
        <f t="array" ref="C5797">NPV(B5797,FCFF!$C$9:$I$9)+FCFF!$B$9+FCFF!$I$9*(1+Inputs!$B$6)/(B5797-Inputs!$B$6)/(1+B5797)^7</f>
        <v>-1762.29407</v>
      </c>
    </row>
    <row r="5798" ht="14.25" customHeight="1">
      <c r="A5798" s="7">
        <v>5785.0</v>
      </c>
      <c r="B5798" s="14">
        <f t="shared" si="1"/>
        <v>0.1236792998</v>
      </c>
      <c r="C5798" s="39">
        <f t="array" ref="C5798">NPV(B5798,FCFF!$C$9:$I$9)+FCFF!$B$9+FCFF!$I$9*(1+Inputs!$B$6)/(B5798-Inputs!$B$6)/(1+B5798)^7</f>
        <v>-1881.185898</v>
      </c>
    </row>
    <row r="5799" ht="14.25" customHeight="1">
      <c r="A5799" s="7">
        <v>5786.0</v>
      </c>
      <c r="B5799" s="14">
        <f t="shared" si="1"/>
        <v>0.1253078467</v>
      </c>
      <c r="C5799" s="39">
        <f t="array" ref="C5799">NPV(B5799,FCFF!$C$9:$I$9)+FCFF!$B$9+FCFF!$I$9*(1+Inputs!$B$6)/(B5799-Inputs!$B$6)/(1+B5799)^7</f>
        <v>-1905.936403</v>
      </c>
    </row>
    <row r="5800" ht="14.25" customHeight="1">
      <c r="A5800" s="7">
        <v>5787.0</v>
      </c>
      <c r="B5800" s="14">
        <f t="shared" si="1"/>
        <v>0.09496856284</v>
      </c>
      <c r="C5800" s="39">
        <f t="array" ref="C5800">NPV(B5800,FCFF!$C$9:$I$9)+FCFF!$B$9+FCFF!$I$9*(1+Inputs!$B$6)/(B5800-Inputs!$B$6)/(1+B5800)^7</f>
        <v>-1230.18095</v>
      </c>
    </row>
    <row r="5801" ht="14.25" customHeight="1">
      <c r="A5801" s="7">
        <v>5788.0</v>
      </c>
      <c r="B5801" s="14">
        <f t="shared" si="1"/>
        <v>0.1025349499</v>
      </c>
      <c r="C5801" s="39">
        <f t="array" ref="C5801">NPV(B5801,FCFF!$C$9:$I$9)+FCFF!$B$9+FCFF!$I$9*(1+Inputs!$B$6)/(B5801-Inputs!$B$6)/(1+B5801)^7</f>
        <v>-1452.93594</v>
      </c>
    </row>
    <row r="5802" ht="14.25" customHeight="1">
      <c r="A5802" s="7">
        <v>5789.0</v>
      </c>
      <c r="B5802" s="14">
        <f t="shared" si="1"/>
        <v>0.1213838809</v>
      </c>
      <c r="C5802" s="39">
        <f t="array" ref="C5802">NPV(B5802,FCFF!$C$9:$I$9)+FCFF!$B$9+FCFF!$I$9*(1+Inputs!$B$6)/(B5802-Inputs!$B$6)/(1+B5802)^7</f>
        <v>-1844.698321</v>
      </c>
    </row>
    <row r="5803" ht="14.25" customHeight="1">
      <c r="A5803" s="7">
        <v>5790.0</v>
      </c>
      <c r="B5803" s="14">
        <f t="shared" si="1"/>
        <v>0.1236029298</v>
      </c>
      <c r="C5803" s="39">
        <f t="array" ref="C5803">NPV(B5803,FCFF!$C$9:$I$9)+FCFF!$B$9+FCFF!$I$9*(1+Inputs!$B$6)/(B5803-Inputs!$B$6)/(1+B5803)^7</f>
        <v>-1880.002607</v>
      </c>
    </row>
    <row r="5804" ht="14.25" customHeight="1">
      <c r="A5804" s="7">
        <v>5791.0</v>
      </c>
      <c r="B5804" s="14">
        <f t="shared" si="1"/>
        <v>0.131764614</v>
      </c>
      <c r="C5804" s="39">
        <f t="array" ref="C5804">NPV(B5804,FCFF!$C$9:$I$9)+FCFF!$B$9+FCFF!$I$9*(1+Inputs!$B$6)/(B5804-Inputs!$B$6)/(1+B5804)^7</f>
        <v>-1995.701406</v>
      </c>
    </row>
    <row r="5805" ht="14.25" customHeight="1">
      <c r="A5805" s="7">
        <v>5792.0</v>
      </c>
      <c r="B5805" s="14">
        <f t="shared" si="1"/>
        <v>0.1118275462</v>
      </c>
      <c r="C5805" s="39">
        <f t="array" ref="C5805">NPV(B5805,FCFF!$C$9:$I$9)+FCFF!$B$9+FCFF!$I$9*(1+Inputs!$B$6)/(B5805-Inputs!$B$6)/(1+B5805)^7</f>
        <v>-1669.456048</v>
      </c>
    </row>
    <row r="5806" ht="14.25" customHeight="1">
      <c r="A5806" s="7">
        <v>5793.0</v>
      </c>
      <c r="B5806" s="14">
        <f t="shared" si="1"/>
        <v>0.119997697</v>
      </c>
      <c r="C5806" s="39">
        <f t="array" ref="C5806">NPV(B5806,FCFF!$C$9:$I$9)+FCFF!$B$9+FCFF!$I$9*(1+Inputs!$B$6)/(B5806-Inputs!$B$6)/(1+B5806)^7</f>
        <v>-1821.704322</v>
      </c>
    </row>
    <row r="5807" ht="14.25" customHeight="1">
      <c r="A5807" s="7">
        <v>5794.0</v>
      </c>
      <c r="B5807" s="14">
        <f t="shared" si="1"/>
        <v>0.09328511409</v>
      </c>
      <c r="C5807" s="39">
        <f t="array" ref="C5807">NPV(B5807,FCFF!$C$9:$I$9)+FCFF!$B$9+FCFF!$I$9*(1+Inputs!$B$6)/(B5807-Inputs!$B$6)/(1+B5807)^7</f>
        <v>-1173.391433</v>
      </c>
    </row>
    <row r="5808" ht="14.25" customHeight="1">
      <c r="A5808" s="7">
        <v>5795.0</v>
      </c>
      <c r="B5808" s="14">
        <f t="shared" si="1"/>
        <v>0.1163803998</v>
      </c>
      <c r="C5808" s="39">
        <f t="array" ref="C5808">NPV(B5808,FCFF!$C$9:$I$9)+FCFF!$B$9+FCFF!$I$9*(1+Inputs!$B$6)/(B5808-Inputs!$B$6)/(1+B5808)^7</f>
        <v>-1758.020831</v>
      </c>
    </row>
    <row r="5809" ht="14.25" customHeight="1">
      <c r="A5809" s="7">
        <v>5796.0</v>
      </c>
      <c r="B5809" s="14">
        <f t="shared" si="1"/>
        <v>0.125364665</v>
      </c>
      <c r="C5809" s="39">
        <f t="array" ref="C5809">NPV(B5809,FCFF!$C$9:$I$9)+FCFF!$B$9+FCFF!$I$9*(1+Inputs!$B$6)/(B5809-Inputs!$B$6)/(1+B5809)^7</f>
        <v>-1906.78358</v>
      </c>
    </row>
    <row r="5810" ht="14.25" customHeight="1">
      <c r="A5810" s="7">
        <v>5797.0</v>
      </c>
      <c r="B5810" s="14">
        <f t="shared" si="1"/>
        <v>0.1327870932</v>
      </c>
      <c r="C5810" s="39">
        <f t="array" ref="C5810">NPV(B5810,FCFF!$C$9:$I$9)+FCFF!$B$9+FCFF!$I$9*(1+Inputs!$B$6)/(B5810-Inputs!$B$6)/(1+B5810)^7</f>
        <v>-2008.796906</v>
      </c>
    </row>
    <row r="5811" ht="14.25" customHeight="1">
      <c r="A5811" s="7">
        <v>5798.0</v>
      </c>
      <c r="B5811" s="14">
        <f t="shared" si="1"/>
        <v>0.1017428551</v>
      </c>
      <c r="C5811" s="39">
        <f t="array" ref="C5811">NPV(B5811,FCFF!$C$9:$I$9)+FCFF!$B$9+FCFF!$I$9*(1+Inputs!$B$6)/(B5811-Inputs!$B$6)/(1+B5811)^7</f>
        <v>-1431.830505</v>
      </c>
    </row>
    <row r="5812" ht="14.25" customHeight="1">
      <c r="A5812" s="7">
        <v>5799.0</v>
      </c>
      <c r="B5812" s="14">
        <f t="shared" si="1"/>
        <v>0.09324429786</v>
      </c>
      <c r="C5812" s="39">
        <f t="array" ref="C5812">NPV(B5812,FCFF!$C$9:$I$9)+FCFF!$B$9+FCFF!$I$9*(1+Inputs!$B$6)/(B5812-Inputs!$B$6)/(1+B5812)^7</f>
        <v>-1171.977376</v>
      </c>
    </row>
    <row r="5813" ht="14.25" customHeight="1">
      <c r="A5813" s="7">
        <v>5800.0</v>
      </c>
      <c r="B5813" s="14">
        <f t="shared" si="1"/>
        <v>0.09918910819</v>
      </c>
      <c r="C5813" s="39">
        <f t="array" ref="C5813">NPV(B5813,FCFF!$C$9:$I$9)+FCFF!$B$9+FCFF!$I$9*(1+Inputs!$B$6)/(B5813-Inputs!$B$6)/(1+B5813)^7</f>
        <v>-1360.462985</v>
      </c>
    </row>
    <row r="5814" ht="14.25" customHeight="1">
      <c r="A5814" s="7">
        <v>5801.0</v>
      </c>
      <c r="B5814" s="14">
        <f t="shared" si="1"/>
        <v>0.1207878631</v>
      </c>
      <c r="C5814" s="39">
        <f t="array" ref="C5814">NPV(B5814,FCFF!$C$9:$I$9)+FCFF!$B$9+FCFF!$I$9*(1+Inputs!$B$6)/(B5814-Inputs!$B$6)/(1+B5814)^7</f>
        <v>-1834.902852</v>
      </c>
    </row>
    <row r="5815" ht="14.25" customHeight="1">
      <c r="A5815" s="7">
        <v>5802.0</v>
      </c>
      <c r="B5815" s="14">
        <f t="shared" si="1"/>
        <v>0.1049905324</v>
      </c>
      <c r="C5815" s="39">
        <f t="array" ref="C5815">NPV(B5815,FCFF!$C$9:$I$9)+FCFF!$B$9+FCFF!$I$9*(1+Inputs!$B$6)/(B5815-Inputs!$B$6)/(1+B5815)^7</f>
        <v>-1515.491227</v>
      </c>
    </row>
    <row r="5816" ht="14.25" customHeight="1">
      <c r="A5816" s="7">
        <v>5803.0</v>
      </c>
      <c r="B5816" s="14">
        <f t="shared" si="1"/>
        <v>0.09480085069</v>
      </c>
      <c r="C5816" s="39">
        <f t="array" ref="C5816">NPV(B5816,FCFF!$C$9:$I$9)+FCFF!$B$9+FCFF!$I$9*(1+Inputs!$B$6)/(B5816-Inputs!$B$6)/(1+B5816)^7</f>
        <v>-1224.654549</v>
      </c>
    </row>
    <row r="5817" ht="14.25" customHeight="1">
      <c r="A5817" s="7">
        <v>5804.0</v>
      </c>
      <c r="B5817" s="14">
        <f t="shared" si="1"/>
        <v>0.1242117667</v>
      </c>
      <c r="C5817" s="39">
        <f t="array" ref="C5817">NPV(B5817,FCFF!$C$9:$I$9)+FCFF!$B$9+FCFF!$I$9*(1+Inputs!$B$6)/(B5817-Inputs!$B$6)/(1+B5817)^7</f>
        <v>-1889.379067</v>
      </c>
    </row>
    <row r="5818" ht="14.25" customHeight="1">
      <c r="A5818" s="7">
        <v>5805.0</v>
      </c>
      <c r="B5818" s="14">
        <f t="shared" si="1"/>
        <v>0.1271684316</v>
      </c>
      <c r="C5818" s="39">
        <f t="array" ref="C5818">NPV(B5818,FCFF!$C$9:$I$9)+FCFF!$B$9+FCFF!$I$9*(1+Inputs!$B$6)/(B5818-Inputs!$B$6)/(1+B5818)^7</f>
        <v>-1933.125454</v>
      </c>
    </row>
    <row r="5819" ht="14.25" customHeight="1">
      <c r="A5819" s="7">
        <v>5806.0</v>
      </c>
      <c r="B5819" s="14">
        <f t="shared" si="1"/>
        <v>0.1030442181</v>
      </c>
      <c r="C5819" s="39">
        <f t="array" ref="C5819">NPV(B5819,FCFF!$C$9:$I$9)+FCFF!$B$9+FCFF!$I$9*(1+Inputs!$B$6)/(B5819-Inputs!$B$6)/(1+B5819)^7</f>
        <v>-1466.26058</v>
      </c>
    </row>
    <row r="5820" ht="14.25" customHeight="1">
      <c r="A5820" s="7">
        <v>5807.0</v>
      </c>
      <c r="B5820" s="14">
        <f t="shared" si="1"/>
        <v>0.1154196303</v>
      </c>
      <c r="C5820" s="39">
        <f t="array" ref="C5820">NPV(B5820,FCFF!$C$9:$I$9)+FCFF!$B$9+FCFF!$I$9*(1+Inputs!$B$6)/(B5820-Inputs!$B$6)/(1+B5820)^7</f>
        <v>-1740.151878</v>
      </c>
    </row>
    <row r="5821" ht="14.25" customHeight="1">
      <c r="A5821" s="7">
        <v>5808.0</v>
      </c>
      <c r="B5821" s="14">
        <f t="shared" si="1"/>
        <v>0.1308475844</v>
      </c>
      <c r="C5821" s="39">
        <f t="array" ref="C5821">NPV(B5821,FCFF!$C$9:$I$9)+FCFF!$B$9+FCFF!$I$9*(1+Inputs!$B$6)/(B5821-Inputs!$B$6)/(1+B5821)^7</f>
        <v>-1983.710047</v>
      </c>
    </row>
    <row r="5822" ht="14.25" customHeight="1">
      <c r="A5822" s="7">
        <v>5809.0</v>
      </c>
      <c r="B5822" s="14">
        <f t="shared" si="1"/>
        <v>0.1095628853</v>
      </c>
      <c r="C5822" s="39">
        <f t="array" ref="C5822">NPV(B5822,FCFF!$C$9:$I$9)+FCFF!$B$9+FCFF!$I$9*(1+Inputs!$B$6)/(B5822-Inputs!$B$6)/(1+B5822)^7</f>
        <v>-1621.473541</v>
      </c>
    </row>
    <row r="5823" ht="14.25" customHeight="1">
      <c r="A5823" s="7">
        <v>5810.0</v>
      </c>
      <c r="B5823" s="14">
        <f t="shared" si="1"/>
        <v>0.1049643738</v>
      </c>
      <c r="C5823" s="39">
        <f t="array" ref="C5823">NPV(B5823,FCFF!$C$9:$I$9)+FCFF!$B$9+FCFF!$I$9*(1+Inputs!$B$6)/(B5823-Inputs!$B$6)/(1+B5823)^7</f>
        <v>-1514.846815</v>
      </c>
    </row>
    <row r="5824" ht="14.25" customHeight="1">
      <c r="A5824" s="7">
        <v>5811.0</v>
      </c>
      <c r="B5824" s="14">
        <f t="shared" si="1"/>
        <v>0.1276959621</v>
      </c>
      <c r="C5824" s="39">
        <f t="array" ref="C5824">NPV(B5824,FCFF!$C$9:$I$9)+FCFF!$B$9+FCFF!$I$9*(1+Inputs!$B$6)/(B5824-Inputs!$B$6)/(1+B5824)^7</f>
        <v>-1940.631653</v>
      </c>
    </row>
    <row r="5825" ht="14.25" customHeight="1">
      <c r="A5825" s="7">
        <v>5812.0</v>
      </c>
      <c r="B5825" s="14">
        <f t="shared" si="1"/>
        <v>0.1279406423</v>
      </c>
      <c r="C5825" s="39">
        <f t="array" ref="C5825">NPV(B5825,FCFF!$C$9:$I$9)+FCFF!$B$9+FCFF!$I$9*(1+Inputs!$B$6)/(B5825-Inputs!$B$6)/(1+B5825)^7</f>
        <v>-1944.083587</v>
      </c>
    </row>
    <row r="5826" ht="14.25" customHeight="1">
      <c r="A5826" s="7">
        <v>5813.0</v>
      </c>
      <c r="B5826" s="14">
        <f t="shared" si="1"/>
        <v>0.132938567</v>
      </c>
      <c r="C5826" s="39">
        <f t="array" ref="C5826">NPV(B5826,FCFF!$C$9:$I$9)+FCFF!$B$9+FCFF!$I$9*(1+Inputs!$B$6)/(B5826-Inputs!$B$6)/(1+B5826)^7</f>
        <v>-2010.712773</v>
      </c>
    </row>
    <row r="5827" ht="14.25" customHeight="1">
      <c r="A5827" s="7">
        <v>5814.0</v>
      </c>
      <c r="B5827" s="14">
        <f t="shared" si="1"/>
        <v>0.1184837089</v>
      </c>
      <c r="C5827" s="39">
        <f t="array" ref="C5827">NPV(B5827,FCFF!$C$9:$I$9)+FCFF!$B$9+FCFF!$I$9*(1+Inputs!$B$6)/(B5827-Inputs!$B$6)/(1+B5827)^7</f>
        <v>-1795.718042</v>
      </c>
    </row>
    <row r="5828" ht="14.25" customHeight="1">
      <c r="A5828" s="7">
        <v>5815.0</v>
      </c>
      <c r="B5828" s="14">
        <f t="shared" si="1"/>
        <v>0.09818085293</v>
      </c>
      <c r="C5828" s="39">
        <f t="array" ref="C5828">NPV(B5828,FCFF!$C$9:$I$9)+FCFF!$B$9+FCFF!$I$9*(1+Inputs!$B$6)/(B5828-Inputs!$B$6)/(1+B5828)^7</f>
        <v>-1330.805481</v>
      </c>
    </row>
    <row r="5829" ht="14.25" customHeight="1">
      <c r="A5829" s="7">
        <v>5816.0</v>
      </c>
      <c r="B5829" s="14">
        <f t="shared" si="1"/>
        <v>0.120525507</v>
      </c>
      <c r="C5829" s="39">
        <f t="array" ref="C5829">NPV(B5829,FCFF!$C$9:$I$9)+FCFF!$B$9+FCFF!$I$9*(1+Inputs!$B$6)/(B5829-Inputs!$B$6)/(1+B5829)^7</f>
        <v>-1830.547671</v>
      </c>
    </row>
    <row r="5830" ht="14.25" customHeight="1">
      <c r="A5830" s="7">
        <v>5817.0</v>
      </c>
      <c r="B5830" s="14">
        <f t="shared" si="1"/>
        <v>0.1010707295</v>
      </c>
      <c r="C5830" s="39">
        <f t="array" ref="C5830">NPV(B5830,FCFF!$C$9:$I$9)+FCFF!$B$9+FCFF!$I$9*(1+Inputs!$B$6)/(B5830-Inputs!$B$6)/(1+B5830)^7</f>
        <v>-1413.548523</v>
      </c>
    </row>
    <row r="5831" ht="14.25" customHeight="1">
      <c r="A5831" s="7">
        <v>5818.0</v>
      </c>
      <c r="B5831" s="14">
        <f t="shared" si="1"/>
        <v>0.1274587063</v>
      </c>
      <c r="C5831" s="39">
        <f t="array" ref="C5831">NPV(B5831,FCFF!$C$9:$I$9)+FCFF!$B$9+FCFF!$I$9*(1+Inputs!$B$6)/(B5831-Inputs!$B$6)/(1+B5831)^7</f>
        <v>-1937.266598</v>
      </c>
    </row>
    <row r="5832" ht="14.25" customHeight="1">
      <c r="A5832" s="7">
        <v>5819.0</v>
      </c>
      <c r="B5832" s="14">
        <f t="shared" si="1"/>
        <v>0.1132102951</v>
      </c>
      <c r="C5832" s="39">
        <f t="array" ref="C5832">NPV(B5832,FCFF!$C$9:$I$9)+FCFF!$B$9+FCFF!$I$9*(1+Inputs!$B$6)/(B5832-Inputs!$B$6)/(1+B5832)^7</f>
        <v>-1697.422764</v>
      </c>
    </row>
    <row r="5833" ht="14.25" customHeight="1">
      <c r="A5833" s="7">
        <v>5820.0</v>
      </c>
      <c r="B5833" s="14">
        <f t="shared" si="1"/>
        <v>0.12241725</v>
      </c>
      <c r="C5833" s="39">
        <f t="array" ref="C5833">NPV(B5833,FCFF!$C$9:$I$9)+FCFF!$B$9+FCFF!$I$9*(1+Inputs!$B$6)/(B5833-Inputs!$B$6)/(1+B5833)^7</f>
        <v>-1861.363555</v>
      </c>
    </row>
    <row r="5834" ht="14.25" customHeight="1">
      <c r="A5834" s="7">
        <v>5821.0</v>
      </c>
      <c r="B5834" s="14">
        <f t="shared" si="1"/>
        <v>0.1264545715</v>
      </c>
      <c r="C5834" s="39">
        <f t="array" ref="C5834">NPV(B5834,FCFF!$C$9:$I$9)+FCFF!$B$9+FCFF!$I$9*(1+Inputs!$B$6)/(B5834-Inputs!$B$6)/(1+B5834)^7</f>
        <v>-1922.827047</v>
      </c>
    </row>
    <row r="5835" ht="14.25" customHeight="1">
      <c r="A5835" s="7">
        <v>5822.0</v>
      </c>
      <c r="B5835" s="14">
        <f t="shared" si="1"/>
        <v>0.1049536721</v>
      </c>
      <c r="C5835" s="39">
        <f t="array" ref="C5835">NPV(B5835,FCFF!$C$9:$I$9)+FCFF!$B$9+FCFF!$I$9*(1+Inputs!$B$6)/(B5835-Inputs!$B$6)/(1+B5835)^7</f>
        <v>-1514.583046</v>
      </c>
    </row>
    <row r="5836" ht="14.25" customHeight="1">
      <c r="A5836" s="7">
        <v>5823.0</v>
      </c>
      <c r="B5836" s="14">
        <f t="shared" si="1"/>
        <v>0.1053869198</v>
      </c>
      <c r="C5836" s="39">
        <f t="array" ref="C5836">NPV(B5836,FCFF!$C$9:$I$9)+FCFF!$B$9+FCFF!$I$9*(1+Inputs!$B$6)/(B5836-Inputs!$B$6)/(1+B5836)^7</f>
        <v>-1525.200375</v>
      </c>
    </row>
    <row r="5837" ht="14.25" customHeight="1">
      <c r="A5837" s="7">
        <v>5824.0</v>
      </c>
      <c r="B5837" s="14">
        <f t="shared" si="1"/>
        <v>0.1073178973</v>
      </c>
      <c r="C5837" s="39">
        <f t="array" ref="C5837">NPV(B5837,FCFF!$C$9:$I$9)+FCFF!$B$9+FCFF!$I$9*(1+Inputs!$B$6)/(B5837-Inputs!$B$6)/(1+B5837)^7</f>
        <v>-1571.043482</v>
      </c>
    </row>
    <row r="5838" ht="14.25" customHeight="1">
      <c r="A5838" s="7">
        <v>5825.0</v>
      </c>
      <c r="B5838" s="14">
        <f t="shared" si="1"/>
        <v>0.1264928016</v>
      </c>
      <c r="C5838" s="39">
        <f t="array" ref="C5838">NPV(B5838,FCFF!$C$9:$I$9)+FCFF!$B$9+FCFF!$I$9*(1+Inputs!$B$6)/(B5838-Inputs!$B$6)/(1+B5838)^7</f>
        <v>-1923.382726</v>
      </c>
    </row>
    <row r="5839" ht="14.25" customHeight="1">
      <c r="A5839" s="7">
        <v>5826.0</v>
      </c>
      <c r="B5839" s="14">
        <f t="shared" si="1"/>
        <v>0.1305864439</v>
      </c>
      <c r="C5839" s="39">
        <f t="array" ref="C5839">NPV(B5839,FCFF!$C$9:$I$9)+FCFF!$B$9+FCFF!$I$9*(1+Inputs!$B$6)/(B5839-Inputs!$B$6)/(1+B5839)^7</f>
        <v>-1980.251757</v>
      </c>
    </row>
    <row r="5840" ht="14.25" customHeight="1">
      <c r="A5840" s="7">
        <v>5827.0</v>
      </c>
      <c r="B5840" s="14">
        <f t="shared" si="1"/>
        <v>0.1173997891</v>
      </c>
      <c r="C5840" s="39">
        <f t="array" ref="C5840">NPV(B5840,FCFF!$C$9:$I$9)+FCFF!$B$9+FCFF!$I$9*(1+Inputs!$B$6)/(B5840-Inputs!$B$6)/(1+B5840)^7</f>
        <v>-1776.529532</v>
      </c>
    </row>
    <row r="5841" ht="14.25" customHeight="1">
      <c r="A5841" s="7">
        <v>5828.0</v>
      </c>
      <c r="B5841" s="14">
        <f t="shared" si="1"/>
        <v>0.1260723639</v>
      </c>
      <c r="C5841" s="39">
        <f t="array" ref="C5841">NPV(B5841,FCFF!$C$9:$I$9)+FCFF!$B$9+FCFF!$I$9*(1+Inputs!$B$6)/(B5841-Inputs!$B$6)/(1+B5841)^7</f>
        <v>-1917.245462</v>
      </c>
    </row>
    <row r="5842" ht="14.25" customHeight="1">
      <c r="A5842" s="7">
        <v>5829.0</v>
      </c>
      <c r="B5842" s="14">
        <f t="shared" si="1"/>
        <v>0.1280546598</v>
      </c>
      <c r="C5842" s="39">
        <f t="array" ref="C5842">NPV(B5842,FCFF!$C$9:$I$9)+FCFF!$B$9+FCFF!$I$9*(1+Inputs!$B$6)/(B5842-Inputs!$B$6)/(1+B5842)^7</f>
        <v>-1945.685788</v>
      </c>
    </row>
    <row r="5843" ht="14.25" customHeight="1">
      <c r="A5843" s="7">
        <v>5830.0</v>
      </c>
      <c r="B5843" s="14">
        <f t="shared" si="1"/>
        <v>0.1178352326</v>
      </c>
      <c r="C5843" s="39">
        <f t="array" ref="C5843">NPV(B5843,FCFF!$C$9:$I$9)+FCFF!$B$9+FCFF!$I$9*(1+Inputs!$B$6)/(B5843-Inputs!$B$6)/(1+B5843)^7</f>
        <v>-1784.298086</v>
      </c>
    </row>
    <row r="5844" ht="14.25" customHeight="1">
      <c r="A5844" s="7">
        <v>5831.0</v>
      </c>
      <c r="B5844" s="14">
        <f t="shared" si="1"/>
        <v>0.1122509448</v>
      </c>
      <c r="C5844" s="39">
        <f t="array" ref="C5844">NPV(B5844,FCFF!$C$9:$I$9)+FCFF!$B$9+FCFF!$I$9*(1+Inputs!$B$6)/(B5844-Inputs!$B$6)/(1+B5844)^7</f>
        <v>-1678.123263</v>
      </c>
    </row>
    <row r="5845" ht="14.25" customHeight="1">
      <c r="A5845" s="7">
        <v>5832.0</v>
      </c>
      <c r="B5845" s="14">
        <f t="shared" si="1"/>
        <v>0.1179022349</v>
      </c>
      <c r="C5845" s="39">
        <f t="array" ref="C5845">NPV(B5845,FCFF!$C$9:$I$9)+FCFF!$B$9+FCFF!$I$9*(1+Inputs!$B$6)/(B5845-Inputs!$B$6)/(1+B5845)^7</f>
        <v>-1785.486251</v>
      </c>
    </row>
    <row r="5846" ht="14.25" customHeight="1">
      <c r="A5846" s="7">
        <v>5833.0</v>
      </c>
      <c r="B5846" s="14">
        <f t="shared" si="1"/>
        <v>0.1030101756</v>
      </c>
      <c r="C5846" s="39">
        <f t="array" ref="C5846">NPV(B5846,FCFF!$C$9:$I$9)+FCFF!$B$9+FCFF!$I$9*(1+Inputs!$B$6)/(B5846-Inputs!$B$6)/(1+B5846)^7</f>
        <v>-1465.375759</v>
      </c>
    </row>
    <row r="5847" ht="14.25" customHeight="1">
      <c r="A5847" s="7">
        <v>5834.0</v>
      </c>
      <c r="B5847" s="14">
        <f t="shared" si="1"/>
        <v>0.1103263634</v>
      </c>
      <c r="C5847" s="39">
        <f t="array" ref="C5847">NPV(B5847,FCFF!$C$9:$I$9)+FCFF!$B$9+FCFF!$I$9*(1+Inputs!$B$6)/(B5847-Inputs!$B$6)/(1+B5847)^7</f>
        <v>-1637.962409</v>
      </c>
    </row>
    <row r="5848" ht="14.25" customHeight="1">
      <c r="A5848" s="7">
        <v>5835.0</v>
      </c>
      <c r="B5848" s="14">
        <f t="shared" si="1"/>
        <v>0.1175901029</v>
      </c>
      <c r="C5848" s="39">
        <f t="array" ref="C5848">NPV(B5848,FCFF!$C$9:$I$9)+FCFF!$B$9+FCFF!$I$9*(1+Inputs!$B$6)/(B5848-Inputs!$B$6)/(1+B5848)^7</f>
        <v>-1779.934837</v>
      </c>
    </row>
    <row r="5849" ht="14.25" customHeight="1">
      <c r="A5849" s="7">
        <v>5836.0</v>
      </c>
      <c r="B5849" s="14">
        <f t="shared" si="1"/>
        <v>0.1198910846</v>
      </c>
      <c r="C5849" s="39">
        <f t="array" ref="C5849">NPV(B5849,FCFF!$C$9:$I$9)+FCFF!$B$9+FCFF!$I$9*(1+Inputs!$B$6)/(B5849-Inputs!$B$6)/(1+B5849)^7</f>
        <v>-1819.9047</v>
      </c>
    </row>
    <row r="5850" ht="14.25" customHeight="1">
      <c r="A5850" s="7">
        <v>5837.0</v>
      </c>
      <c r="B5850" s="14">
        <f t="shared" si="1"/>
        <v>0.1041012203</v>
      </c>
      <c r="C5850" s="39">
        <f t="array" ref="C5850">NPV(B5850,FCFF!$C$9:$I$9)+FCFF!$B$9+FCFF!$I$9*(1+Inputs!$B$6)/(B5850-Inputs!$B$6)/(1+B5850)^7</f>
        <v>-1493.323069</v>
      </c>
    </row>
    <row r="5851" ht="14.25" customHeight="1">
      <c r="A5851" s="7">
        <v>5838.0</v>
      </c>
      <c r="B5851" s="14">
        <f t="shared" si="1"/>
        <v>0.09569300951</v>
      </c>
      <c r="C5851" s="39">
        <f t="array" ref="C5851">NPV(B5851,FCFF!$C$9:$I$9)+FCFF!$B$9+FCFF!$I$9*(1+Inputs!$B$6)/(B5851-Inputs!$B$6)/(1+B5851)^7</f>
        <v>-1253.730573</v>
      </c>
    </row>
    <row r="5852" ht="14.25" customHeight="1">
      <c r="A5852" s="7">
        <v>5839.0</v>
      </c>
      <c r="B5852" s="14">
        <f t="shared" si="1"/>
        <v>0.09674175646</v>
      </c>
      <c r="C5852" s="39">
        <f t="array" ref="C5852">NPV(B5852,FCFF!$C$9:$I$9)+FCFF!$B$9+FCFF!$I$9*(1+Inputs!$B$6)/(B5852-Inputs!$B$6)/(1+B5852)^7</f>
        <v>-1286.92068</v>
      </c>
    </row>
    <row r="5853" ht="14.25" customHeight="1">
      <c r="A5853" s="7">
        <v>5840.0</v>
      </c>
      <c r="B5853" s="14">
        <f t="shared" si="1"/>
        <v>0.1116903198</v>
      </c>
      <c r="C5853" s="39">
        <f t="array" ref="C5853">NPV(B5853,FCFF!$C$9:$I$9)+FCFF!$B$9+FCFF!$I$9*(1+Inputs!$B$6)/(B5853-Inputs!$B$6)/(1+B5853)^7</f>
        <v>-1666.626937</v>
      </c>
    </row>
    <row r="5854" ht="14.25" customHeight="1">
      <c r="A5854" s="7">
        <v>5841.0</v>
      </c>
      <c r="B5854" s="14">
        <f t="shared" si="1"/>
        <v>0.1035187487</v>
      </c>
      <c r="C5854" s="39">
        <f t="array" ref="C5854">NPV(B5854,FCFF!$C$9:$I$9)+FCFF!$B$9+FCFF!$I$9*(1+Inputs!$B$6)/(B5854-Inputs!$B$6)/(1+B5854)^7</f>
        <v>-1478.507799</v>
      </c>
    </row>
    <row r="5855" ht="14.25" customHeight="1">
      <c r="A5855" s="7">
        <v>5842.0</v>
      </c>
      <c r="B5855" s="14">
        <f t="shared" si="1"/>
        <v>0.1314153218</v>
      </c>
      <c r="C5855" s="39">
        <f t="array" ref="C5855">NPV(B5855,FCFF!$C$9:$I$9)+FCFF!$B$9+FCFF!$I$9*(1+Inputs!$B$6)/(B5855-Inputs!$B$6)/(1+B5855)^7</f>
        <v>-1991.161792</v>
      </c>
    </row>
    <row r="5856" ht="14.25" customHeight="1">
      <c r="A5856" s="7">
        <v>5843.0</v>
      </c>
      <c r="B5856" s="14">
        <f t="shared" si="1"/>
        <v>0.1301416974</v>
      </c>
      <c r="C5856" s="39">
        <f t="array" ref="C5856">NPV(B5856,FCFF!$C$9:$I$9)+FCFF!$B$9+FCFF!$I$9*(1+Inputs!$B$6)/(B5856-Inputs!$B$6)/(1+B5856)^7</f>
        <v>-1974.316842</v>
      </c>
    </row>
    <row r="5857" ht="14.25" customHeight="1">
      <c r="A5857" s="7">
        <v>5844.0</v>
      </c>
      <c r="B5857" s="14">
        <f t="shared" si="1"/>
        <v>0.1013598623</v>
      </c>
      <c r="C5857" s="39">
        <f t="array" ref="C5857">NPV(B5857,FCFF!$C$9:$I$9)+FCFF!$B$9+FCFF!$I$9*(1+Inputs!$B$6)/(B5857-Inputs!$B$6)/(1+B5857)^7</f>
        <v>-1421.455644</v>
      </c>
    </row>
    <row r="5858" ht="14.25" customHeight="1">
      <c r="A5858" s="7">
        <v>5845.0</v>
      </c>
      <c r="B5858" s="14">
        <f t="shared" si="1"/>
        <v>0.09581341203</v>
      </c>
      <c r="C5858" s="39">
        <f t="array" ref="C5858">NPV(B5858,FCFF!$C$9:$I$9)+FCFF!$B$9+FCFF!$I$9*(1+Inputs!$B$6)/(B5858-Inputs!$B$6)/(1+B5858)^7</f>
        <v>-1257.594535</v>
      </c>
    </row>
    <row r="5859" ht="14.25" customHeight="1">
      <c r="A5859" s="7">
        <v>5846.0</v>
      </c>
      <c r="B5859" s="14">
        <f t="shared" si="1"/>
        <v>0.1191226548</v>
      </c>
      <c r="C5859" s="39">
        <f t="array" ref="C5859">NPV(B5859,FCFF!$C$9:$I$9)+FCFF!$B$9+FCFF!$I$9*(1+Inputs!$B$6)/(B5859-Inputs!$B$6)/(1+B5859)^7</f>
        <v>-1806.798777</v>
      </c>
    </row>
    <row r="5860" ht="14.25" customHeight="1">
      <c r="A5860" s="7">
        <v>5847.0</v>
      </c>
      <c r="B5860" s="14">
        <f t="shared" si="1"/>
        <v>0.1082828243</v>
      </c>
      <c r="C5860" s="39">
        <f t="array" ref="C5860">NPV(B5860,FCFF!$C$9:$I$9)+FCFF!$B$9+FCFF!$I$9*(1+Inputs!$B$6)/(B5860-Inputs!$B$6)/(1+B5860)^7</f>
        <v>-1593.083564</v>
      </c>
    </row>
    <row r="5861" ht="14.25" customHeight="1">
      <c r="A5861" s="7">
        <v>5848.0</v>
      </c>
      <c r="B5861" s="14">
        <f t="shared" si="1"/>
        <v>0.1034532798</v>
      </c>
      <c r="C5861" s="39">
        <f t="array" ref="C5861">NPV(B5861,FCFF!$C$9:$I$9)+FCFF!$B$9+FCFF!$I$9*(1+Inputs!$B$6)/(B5861-Inputs!$B$6)/(1+B5861)^7</f>
        <v>-1476.827657</v>
      </c>
    </row>
    <row r="5862" ht="14.25" customHeight="1">
      <c r="A5862" s="7">
        <v>5849.0</v>
      </c>
      <c r="B5862" s="14">
        <f t="shared" si="1"/>
        <v>0.1122745769</v>
      </c>
      <c r="C5862" s="39">
        <f t="array" ref="C5862">NPV(B5862,FCFF!$C$9:$I$9)+FCFF!$B$9+FCFF!$I$9*(1+Inputs!$B$6)/(B5862-Inputs!$B$6)/(1+B5862)^7</f>
        <v>-1678.604296</v>
      </c>
    </row>
    <row r="5863" ht="14.25" customHeight="1">
      <c r="A5863" s="7">
        <v>5850.0</v>
      </c>
      <c r="B5863" s="14">
        <f t="shared" si="1"/>
        <v>0.1221589334</v>
      </c>
      <c r="C5863" s="39">
        <f t="array" ref="C5863">NPV(B5863,FCFF!$C$9:$I$9)+FCFF!$B$9+FCFF!$I$9*(1+Inputs!$B$6)/(B5863-Inputs!$B$6)/(1+B5863)^7</f>
        <v>-1857.234933</v>
      </c>
    </row>
    <row r="5864" ht="14.25" customHeight="1">
      <c r="A5864" s="7">
        <v>5851.0</v>
      </c>
      <c r="B5864" s="14">
        <f t="shared" si="1"/>
        <v>0.1009029095</v>
      </c>
      <c r="C5864" s="39">
        <f t="array" ref="C5864">NPV(B5864,FCFF!$C$9:$I$9)+FCFF!$B$9+FCFF!$I$9*(1+Inputs!$B$6)/(B5864-Inputs!$B$6)/(1+B5864)^7</f>
        <v>-1408.929168</v>
      </c>
    </row>
    <row r="5865" ht="14.25" customHeight="1">
      <c r="A5865" s="7">
        <v>5852.0</v>
      </c>
      <c r="B5865" s="14">
        <f t="shared" si="1"/>
        <v>0.1019023025</v>
      </c>
      <c r="C5865" s="39">
        <f t="array" ref="C5865">NPV(B5865,FCFF!$C$9:$I$9)+FCFF!$B$9+FCFF!$I$9*(1+Inputs!$B$6)/(B5865-Inputs!$B$6)/(1+B5865)^7</f>
        <v>-1436.116824</v>
      </c>
    </row>
    <row r="5866" ht="14.25" customHeight="1">
      <c r="A5866" s="7">
        <v>5853.0</v>
      </c>
      <c r="B5866" s="14">
        <f t="shared" si="1"/>
        <v>0.1256705453</v>
      </c>
      <c r="C5866" s="39">
        <f t="array" ref="C5866">NPV(B5866,FCFF!$C$9:$I$9)+FCFF!$B$9+FCFF!$I$9*(1+Inputs!$B$6)/(B5866-Inputs!$B$6)/(1+B5866)^7</f>
        <v>-1911.325789</v>
      </c>
    </row>
    <row r="5867" ht="14.25" customHeight="1">
      <c r="A5867" s="7">
        <v>5854.0</v>
      </c>
      <c r="B5867" s="14">
        <f t="shared" si="1"/>
        <v>0.09578247762</v>
      </c>
      <c r="C5867" s="39">
        <f t="array" ref="C5867">NPV(B5867,FCFF!$C$9:$I$9)+FCFF!$B$9+FCFF!$I$9*(1+Inputs!$B$6)/(B5867-Inputs!$B$6)/(1+B5867)^7</f>
        <v>-1256.603131</v>
      </c>
    </row>
    <row r="5868" ht="14.25" customHeight="1">
      <c r="A5868" s="7">
        <v>5855.0</v>
      </c>
      <c r="B5868" s="14">
        <f t="shared" si="1"/>
        <v>0.1170297862</v>
      </c>
      <c r="C5868" s="39">
        <f t="array" ref="C5868">NPV(B5868,FCFF!$C$9:$I$9)+FCFF!$B$9+FCFF!$I$9*(1+Inputs!$B$6)/(B5868-Inputs!$B$6)/(1+B5868)^7</f>
        <v>-1769.864186</v>
      </c>
    </row>
    <row r="5869" ht="14.25" customHeight="1">
      <c r="A5869" s="7">
        <v>5856.0</v>
      </c>
      <c r="B5869" s="14">
        <f t="shared" si="1"/>
        <v>0.1279509738</v>
      </c>
      <c r="C5869" s="39">
        <f t="array" ref="C5869">NPV(B5869,FCFF!$C$9:$I$9)+FCFF!$B$9+FCFF!$I$9*(1+Inputs!$B$6)/(B5869-Inputs!$B$6)/(1+B5869)^7</f>
        <v>-1944.228934</v>
      </c>
    </row>
    <row r="5870" ht="14.25" customHeight="1">
      <c r="A5870" s="7">
        <v>5857.0</v>
      </c>
      <c r="B5870" s="14">
        <f t="shared" si="1"/>
        <v>0.1222506306</v>
      </c>
      <c r="C5870" s="39">
        <f t="array" ref="C5870">NPV(B5870,FCFF!$C$9:$I$9)+FCFF!$B$9+FCFF!$I$9*(1+Inputs!$B$6)/(B5870-Inputs!$B$6)/(1+B5870)^7</f>
        <v>-1858.703331</v>
      </c>
    </row>
    <row r="5871" ht="14.25" customHeight="1">
      <c r="A5871" s="7">
        <v>5858.0</v>
      </c>
      <c r="B5871" s="14">
        <f t="shared" si="1"/>
        <v>0.1301919527</v>
      </c>
      <c r="C5871" s="39">
        <f t="array" ref="C5871">NPV(B5871,FCFF!$C$9:$I$9)+FCFF!$B$9+FCFF!$I$9*(1+Inputs!$B$6)/(B5871-Inputs!$B$6)/(1+B5871)^7</f>
        <v>-1974.990341</v>
      </c>
    </row>
    <row r="5872" ht="14.25" customHeight="1">
      <c r="A5872" s="7">
        <v>5859.0</v>
      </c>
      <c r="B5872" s="14">
        <f t="shared" si="1"/>
        <v>0.1066322616</v>
      </c>
      <c r="C5872" s="39">
        <f t="array" ref="C5872">NPV(B5872,FCFF!$C$9:$I$9)+FCFF!$B$9+FCFF!$I$9*(1+Inputs!$B$6)/(B5872-Inputs!$B$6)/(1+B5872)^7</f>
        <v>-1555.036592</v>
      </c>
    </row>
    <row r="5873" ht="14.25" customHeight="1">
      <c r="A5873" s="7">
        <v>5860.0</v>
      </c>
      <c r="B5873" s="14">
        <f t="shared" si="1"/>
        <v>0.09733497931</v>
      </c>
      <c r="C5873" s="39">
        <f t="array" ref="C5873">NPV(B5873,FCFF!$C$9:$I$9)+FCFF!$B$9+FCFF!$I$9*(1+Inputs!$B$6)/(B5873-Inputs!$B$6)/(1+B5873)^7</f>
        <v>-1305.237998</v>
      </c>
    </row>
    <row r="5874" ht="14.25" customHeight="1">
      <c r="A5874" s="7">
        <v>5861.0</v>
      </c>
      <c r="B5874" s="14">
        <f t="shared" si="1"/>
        <v>0.1221675265</v>
      </c>
      <c r="C5874" s="39">
        <f t="array" ref="C5874">NPV(B5874,FCFF!$C$9:$I$9)+FCFF!$B$9+FCFF!$I$9*(1+Inputs!$B$6)/(B5874-Inputs!$B$6)/(1+B5874)^7</f>
        <v>-1857.372673</v>
      </c>
    </row>
    <row r="5875" ht="14.25" customHeight="1">
      <c r="A5875" s="7">
        <v>5862.0</v>
      </c>
      <c r="B5875" s="14">
        <f t="shared" si="1"/>
        <v>0.1136404</v>
      </c>
      <c r="C5875" s="39">
        <f t="array" ref="C5875">NPV(B5875,FCFF!$C$9:$I$9)+FCFF!$B$9+FCFF!$I$9*(1+Inputs!$B$6)/(B5875-Inputs!$B$6)/(1+B5875)^7</f>
        <v>-1705.925767</v>
      </c>
    </row>
    <row r="5876" ht="14.25" customHeight="1">
      <c r="A5876" s="7">
        <v>5863.0</v>
      </c>
      <c r="B5876" s="14">
        <f t="shared" si="1"/>
        <v>0.09700785214</v>
      </c>
      <c r="C5876" s="39">
        <f t="array" ref="C5876">NPV(B5876,FCFF!$C$9:$I$9)+FCFF!$B$9+FCFF!$I$9*(1+Inputs!$B$6)/(B5876-Inputs!$B$6)/(1+B5876)^7</f>
        <v>-1295.177141</v>
      </c>
    </row>
    <row r="5877" ht="14.25" customHeight="1">
      <c r="A5877" s="7">
        <v>5864.0</v>
      </c>
      <c r="B5877" s="14">
        <f t="shared" si="1"/>
        <v>0.1210970378</v>
      </c>
      <c r="C5877" s="39">
        <f t="array" ref="C5877">NPV(B5877,FCFF!$C$9:$I$9)+FCFF!$B$9+FCFF!$I$9*(1+Inputs!$B$6)/(B5877-Inputs!$B$6)/(1+B5877)^7</f>
        <v>-1840.001081</v>
      </c>
    </row>
    <row r="5878" ht="14.25" customHeight="1">
      <c r="A5878" s="7">
        <v>5865.0</v>
      </c>
      <c r="B5878" s="14">
        <f t="shared" si="1"/>
        <v>0.1199862301</v>
      </c>
      <c r="C5878" s="39">
        <f t="array" ref="C5878">NPV(B5878,FCFF!$C$9:$I$9)+FCFF!$B$9+FCFF!$I$9*(1+Inputs!$B$6)/(B5878-Inputs!$B$6)/(1+B5878)^7</f>
        <v>-1821.510977</v>
      </c>
    </row>
    <row r="5879" ht="14.25" customHeight="1">
      <c r="A5879" s="7">
        <v>5866.0</v>
      </c>
      <c r="B5879" s="14">
        <f t="shared" si="1"/>
        <v>0.1062196168</v>
      </c>
      <c r="C5879" s="39">
        <f t="array" ref="C5879">NPV(B5879,FCFF!$C$9:$I$9)+FCFF!$B$9+FCFF!$I$9*(1+Inputs!$B$6)/(B5879-Inputs!$B$6)/(1+B5879)^7</f>
        <v>-1545.260771</v>
      </c>
    </row>
    <row r="5880" ht="14.25" customHeight="1">
      <c r="A5880" s="7">
        <v>5867.0</v>
      </c>
      <c r="B5880" s="14">
        <f t="shared" si="1"/>
        <v>0.1056712595</v>
      </c>
      <c r="C5880" s="39">
        <f t="array" ref="C5880">NPV(B5880,FCFF!$C$9:$I$9)+FCFF!$B$9+FCFF!$I$9*(1+Inputs!$B$6)/(B5880-Inputs!$B$6)/(1+B5880)^7</f>
        <v>-1532.101081</v>
      </c>
    </row>
    <row r="5881" ht="14.25" customHeight="1">
      <c r="A5881" s="7">
        <v>5868.0</v>
      </c>
      <c r="B5881" s="14">
        <f t="shared" si="1"/>
        <v>0.1108745244</v>
      </c>
      <c r="C5881" s="39">
        <f t="array" ref="C5881">NPV(B5881,FCFF!$C$9:$I$9)+FCFF!$B$9+FCFF!$I$9*(1+Inputs!$B$6)/(B5881-Inputs!$B$6)/(1+B5881)^7</f>
        <v>-1649.60271</v>
      </c>
    </row>
    <row r="5882" ht="14.25" customHeight="1">
      <c r="A5882" s="7">
        <v>5869.0</v>
      </c>
      <c r="B5882" s="14">
        <f t="shared" si="1"/>
        <v>0.1137035973</v>
      </c>
      <c r="C5882" s="39">
        <f t="array" ref="C5882">NPV(B5882,FCFF!$C$9:$I$9)+FCFF!$B$9+FCFF!$I$9*(1+Inputs!$B$6)/(B5882-Inputs!$B$6)/(1+B5882)^7</f>
        <v>-1707.167482</v>
      </c>
    </row>
    <row r="5883" ht="14.25" customHeight="1">
      <c r="A5883" s="7">
        <v>5870.0</v>
      </c>
      <c r="B5883" s="14">
        <f t="shared" si="1"/>
        <v>0.1144674948</v>
      </c>
      <c r="C5883" s="39">
        <f t="array" ref="C5883">NPV(B5883,FCFF!$C$9:$I$9)+FCFF!$B$9+FCFF!$I$9*(1+Inputs!$B$6)/(B5883-Inputs!$B$6)/(1+B5883)^7</f>
        <v>-1722.02347</v>
      </c>
    </row>
    <row r="5884" ht="14.25" customHeight="1">
      <c r="A5884" s="7">
        <v>5871.0</v>
      </c>
      <c r="B5884" s="14">
        <f t="shared" si="1"/>
        <v>0.1263903129</v>
      </c>
      <c r="C5884" s="39">
        <f t="array" ref="C5884">NPV(B5884,FCFF!$C$9:$I$9)+FCFF!$B$9+FCFF!$I$9*(1+Inputs!$B$6)/(B5884-Inputs!$B$6)/(1+B5884)^7</f>
        <v>-1921.891972</v>
      </c>
    </row>
    <row r="5885" ht="14.25" customHeight="1">
      <c r="A5885" s="7">
        <v>5872.0</v>
      </c>
      <c r="B5885" s="14">
        <f t="shared" si="1"/>
        <v>0.1221908263</v>
      </c>
      <c r="C5885" s="39">
        <f t="array" ref="C5885">NPV(B5885,FCFF!$C$9:$I$9)+FCFF!$B$9+FCFF!$I$9*(1+Inputs!$B$6)/(B5885-Inputs!$B$6)/(1+B5885)^7</f>
        <v>-1857.746005</v>
      </c>
    </row>
    <row r="5886" ht="14.25" customHeight="1">
      <c r="A5886" s="7">
        <v>5873.0</v>
      </c>
      <c r="B5886" s="14">
        <f t="shared" si="1"/>
        <v>0.113710404</v>
      </c>
      <c r="C5886" s="39">
        <f t="array" ref="C5886">NPV(B5886,FCFF!$C$9:$I$9)+FCFF!$B$9+FCFF!$I$9*(1+Inputs!$B$6)/(B5886-Inputs!$B$6)/(1+B5886)^7</f>
        <v>-1707.301104</v>
      </c>
    </row>
    <row r="5887" ht="14.25" customHeight="1">
      <c r="A5887" s="7">
        <v>5874.0</v>
      </c>
      <c r="B5887" s="14">
        <f t="shared" si="1"/>
        <v>0.13277119</v>
      </c>
      <c r="C5887" s="39">
        <f t="array" ref="C5887">NPV(B5887,FCFF!$C$9:$I$9)+FCFF!$B$9+FCFF!$I$9*(1+Inputs!$B$6)/(B5887-Inputs!$B$6)/(1+B5887)^7</f>
        <v>-2008.595402</v>
      </c>
    </row>
    <row r="5888" ht="14.25" customHeight="1">
      <c r="A5888" s="7">
        <v>5875.0</v>
      </c>
      <c r="B5888" s="14">
        <f t="shared" si="1"/>
        <v>0.1261489271</v>
      </c>
      <c r="C5888" s="39">
        <f t="array" ref="C5888">NPV(B5888,FCFF!$C$9:$I$9)+FCFF!$B$9+FCFF!$I$9*(1+Inputs!$B$6)/(B5888-Inputs!$B$6)/(1+B5888)^7</f>
        <v>-1918.367378</v>
      </c>
    </row>
    <row r="5889" ht="14.25" customHeight="1">
      <c r="A5889" s="7">
        <v>5876.0</v>
      </c>
      <c r="B5889" s="14">
        <f t="shared" si="1"/>
        <v>0.09822723612</v>
      </c>
      <c r="C5889" s="39">
        <f t="array" ref="C5889">NPV(B5889,FCFF!$C$9:$I$9)+FCFF!$B$9+FCFF!$I$9*(1+Inputs!$B$6)/(B5889-Inputs!$B$6)/(1+B5889)^7</f>
        <v>-1332.189112</v>
      </c>
    </row>
    <row r="5890" ht="14.25" customHeight="1">
      <c r="A5890" s="7">
        <v>5877.0</v>
      </c>
      <c r="B5890" s="14">
        <f t="shared" si="1"/>
        <v>0.1123856247</v>
      </c>
      <c r="C5890" s="39">
        <f t="array" ref="C5890">NPV(B5890,FCFF!$C$9:$I$9)+FCFF!$B$9+FCFF!$I$9*(1+Inputs!$B$6)/(B5890-Inputs!$B$6)/(1+B5890)^7</f>
        <v>-1680.86085</v>
      </c>
    </row>
    <row r="5891" ht="14.25" customHeight="1">
      <c r="A5891" s="7">
        <v>5878.0</v>
      </c>
      <c r="B5891" s="14">
        <f t="shared" si="1"/>
        <v>0.1096093583</v>
      </c>
      <c r="C5891" s="39">
        <f t="array" ref="C5891">NPV(B5891,FCFF!$C$9:$I$9)+FCFF!$B$9+FCFF!$I$9*(1+Inputs!$B$6)/(B5891-Inputs!$B$6)/(1+B5891)^7</f>
        <v>-1622.486553</v>
      </c>
    </row>
    <row r="5892" ht="14.25" customHeight="1">
      <c r="A5892" s="7">
        <v>5879.0</v>
      </c>
      <c r="B5892" s="14">
        <f t="shared" si="1"/>
        <v>0.0981994136</v>
      </c>
      <c r="C5892" s="39">
        <f t="array" ref="C5892">NPV(B5892,FCFF!$C$9:$I$9)+FCFF!$B$9+FCFF!$I$9*(1+Inputs!$B$6)/(B5892-Inputs!$B$6)/(1+B5892)^7</f>
        <v>-1331.35938</v>
      </c>
    </row>
    <row r="5893" ht="14.25" customHeight="1">
      <c r="A5893" s="7">
        <v>5880.0</v>
      </c>
      <c r="B5893" s="14">
        <f t="shared" si="1"/>
        <v>0.1317474987</v>
      </c>
      <c r="C5893" s="39">
        <f t="array" ref="C5893">NPV(B5893,FCFF!$C$9:$I$9)+FCFF!$B$9+FCFF!$I$9*(1+Inputs!$B$6)/(B5893-Inputs!$B$6)/(1+B5893)^7</f>
        <v>-1995.479757</v>
      </c>
    </row>
    <row r="5894" ht="14.25" customHeight="1">
      <c r="A5894" s="7">
        <v>5881.0</v>
      </c>
      <c r="B5894" s="14">
        <f t="shared" si="1"/>
        <v>0.1305204246</v>
      </c>
      <c r="C5894" s="39">
        <f t="array" ref="C5894">NPV(B5894,FCFF!$C$9:$I$9)+FCFF!$B$9+FCFF!$I$9*(1+Inputs!$B$6)/(B5894-Inputs!$B$6)/(1+B5894)^7</f>
        <v>-1979.374369</v>
      </c>
    </row>
    <row r="5895" ht="14.25" customHeight="1">
      <c r="A5895" s="7">
        <v>5882.0</v>
      </c>
      <c r="B5895" s="14">
        <f t="shared" si="1"/>
        <v>0.1049969721</v>
      </c>
      <c r="C5895" s="39">
        <f t="array" ref="C5895">NPV(B5895,FCFF!$C$9:$I$9)+FCFF!$B$9+FCFF!$I$9*(1+Inputs!$B$6)/(B5895-Inputs!$B$6)/(1+B5895)^7</f>
        <v>-1515.6498</v>
      </c>
    </row>
    <row r="5896" ht="14.25" customHeight="1">
      <c r="A5896" s="7">
        <v>5883.0</v>
      </c>
      <c r="B5896" s="14">
        <f t="shared" si="1"/>
        <v>0.1099993326</v>
      </c>
      <c r="C5896" s="39">
        <f t="array" ref="C5896">NPV(B5896,FCFF!$C$9:$I$9)+FCFF!$B$9+FCFF!$I$9*(1+Inputs!$B$6)/(B5896-Inputs!$B$6)/(1+B5896)^7</f>
        <v>-1630.939301</v>
      </c>
    </row>
    <row r="5897" ht="14.25" customHeight="1">
      <c r="A5897" s="7">
        <v>5884.0</v>
      </c>
      <c r="B5897" s="14">
        <f t="shared" si="1"/>
        <v>0.09429245276</v>
      </c>
      <c r="C5897" s="39">
        <f t="array" ref="C5897">NPV(B5897,FCFF!$C$9:$I$9)+FCFF!$B$9+FCFF!$I$9*(1+Inputs!$B$6)/(B5897-Inputs!$B$6)/(1+B5897)^7</f>
        <v>-1207.727157</v>
      </c>
    </row>
    <row r="5898" ht="14.25" customHeight="1">
      <c r="A5898" s="7">
        <v>5885.0</v>
      </c>
      <c r="B5898" s="14">
        <f t="shared" si="1"/>
        <v>0.1185271963</v>
      </c>
      <c r="C5898" s="39">
        <f t="array" ref="C5898">NPV(B5898,FCFF!$C$9:$I$9)+FCFF!$B$9+FCFF!$I$9*(1+Inputs!$B$6)/(B5898-Inputs!$B$6)/(1+B5898)^7</f>
        <v>-1796.477564</v>
      </c>
    </row>
    <row r="5899" ht="14.25" customHeight="1">
      <c r="A5899" s="7">
        <v>5886.0</v>
      </c>
      <c r="B5899" s="14">
        <f t="shared" si="1"/>
        <v>0.130066559</v>
      </c>
      <c r="C5899" s="39">
        <f t="array" ref="C5899">NPV(B5899,FCFF!$C$9:$I$9)+FCFF!$B$9+FCFF!$I$9*(1+Inputs!$B$6)/(B5899-Inputs!$B$6)/(1+B5899)^7</f>
        <v>-1973.308501</v>
      </c>
    </row>
    <row r="5900" ht="14.25" customHeight="1">
      <c r="A5900" s="7">
        <v>5887.0</v>
      </c>
      <c r="B5900" s="14">
        <f t="shared" si="1"/>
        <v>0.1247108432</v>
      </c>
      <c r="C5900" s="39">
        <f t="array" ref="C5900">NPV(B5900,FCFF!$C$9:$I$9)+FCFF!$B$9+FCFF!$I$9*(1+Inputs!$B$6)/(B5900-Inputs!$B$6)/(1+B5900)^7</f>
        <v>-1896.969003</v>
      </c>
    </row>
    <row r="5901" ht="14.25" customHeight="1">
      <c r="A5901" s="7">
        <v>5888.0</v>
      </c>
      <c r="B5901" s="14">
        <f t="shared" si="1"/>
        <v>0.1294574974</v>
      </c>
      <c r="C5901" s="39">
        <f t="array" ref="C5901">NPV(B5901,FCFF!$C$9:$I$9)+FCFF!$B$9+FCFF!$I$9*(1+Inputs!$B$6)/(B5901-Inputs!$B$6)/(1+B5901)^7</f>
        <v>-1965.073999</v>
      </c>
    </row>
    <row r="5902" ht="14.25" customHeight="1">
      <c r="A5902" s="7">
        <v>5889.0</v>
      </c>
      <c r="B5902" s="14">
        <f t="shared" si="1"/>
        <v>0.1183967712</v>
      </c>
      <c r="C5902" s="39">
        <f t="array" ref="C5902">NPV(B5902,FCFF!$C$9:$I$9)+FCFF!$B$9+FCFF!$I$9*(1+Inputs!$B$6)/(B5902-Inputs!$B$6)/(1+B5902)^7</f>
        <v>-1794.197281</v>
      </c>
    </row>
    <row r="5903" ht="14.25" customHeight="1">
      <c r="A5903" s="7">
        <v>5890.0</v>
      </c>
      <c r="B5903" s="14">
        <f t="shared" si="1"/>
        <v>0.1205400084</v>
      </c>
      <c r="C5903" s="39">
        <f t="array" ref="C5903">NPV(B5903,FCFF!$C$9:$I$9)+FCFF!$B$9+FCFF!$I$9*(1+Inputs!$B$6)/(B5903-Inputs!$B$6)/(1+B5903)^7</f>
        <v>-1830.789096</v>
      </c>
    </row>
    <row r="5904" ht="14.25" customHeight="1">
      <c r="A5904" s="7">
        <v>5891.0</v>
      </c>
      <c r="B5904" s="14">
        <f t="shared" si="1"/>
        <v>0.1210733539</v>
      </c>
      <c r="C5904" s="39">
        <f t="array" ref="C5904">NPV(B5904,FCFF!$C$9:$I$9)+FCFF!$B$9+FCFF!$I$9*(1+Inputs!$B$6)/(B5904-Inputs!$B$6)/(1+B5904)^7</f>
        <v>-1839.611838</v>
      </c>
    </row>
    <row r="5905" ht="14.25" customHeight="1">
      <c r="A5905" s="7">
        <v>5892.0</v>
      </c>
      <c r="B5905" s="14">
        <f t="shared" si="1"/>
        <v>0.1110109524</v>
      </c>
      <c r="C5905" s="39">
        <f t="array" ref="C5905">NPV(B5905,FCFF!$C$9:$I$9)+FCFF!$B$9+FCFF!$I$9*(1+Inputs!$B$6)/(B5905-Inputs!$B$6)/(1+B5905)^7</f>
        <v>-1652.474455</v>
      </c>
    </row>
    <row r="5906" ht="14.25" customHeight="1">
      <c r="A5906" s="7">
        <v>5893.0</v>
      </c>
      <c r="B5906" s="14">
        <f t="shared" si="1"/>
        <v>0.1266247581</v>
      </c>
      <c r="C5906" s="39">
        <f t="array" ref="C5906">NPV(B5906,FCFF!$C$9:$I$9)+FCFF!$B$9+FCFF!$I$9*(1+Inputs!$B$6)/(B5906-Inputs!$B$6)/(1+B5906)^7</f>
        <v>-1925.297095</v>
      </c>
    </row>
    <row r="5907" ht="14.25" customHeight="1">
      <c r="A5907" s="7">
        <v>5894.0</v>
      </c>
      <c r="B5907" s="14">
        <f t="shared" si="1"/>
        <v>0.1129154208</v>
      </c>
      <c r="C5907" s="39">
        <f t="array" ref="C5907">NPV(B5907,FCFF!$C$9:$I$9)+FCFF!$B$9+FCFF!$I$9*(1+Inputs!$B$6)/(B5907-Inputs!$B$6)/(1+B5907)^7</f>
        <v>-1691.540137</v>
      </c>
    </row>
    <row r="5908" ht="14.25" customHeight="1">
      <c r="A5908" s="7">
        <v>5895.0</v>
      </c>
      <c r="B5908" s="14">
        <f t="shared" si="1"/>
        <v>0.1288430836</v>
      </c>
      <c r="C5908" s="39">
        <f t="array" ref="C5908">NPV(B5908,FCFF!$C$9:$I$9)+FCFF!$B$9+FCFF!$I$9*(1+Inputs!$B$6)/(B5908-Inputs!$B$6)/(1+B5908)^7</f>
        <v>-1956.655646</v>
      </c>
    </row>
    <row r="5909" ht="14.25" customHeight="1">
      <c r="A5909" s="7">
        <v>5896.0</v>
      </c>
      <c r="B5909" s="14">
        <f t="shared" si="1"/>
        <v>0.1268066748</v>
      </c>
      <c r="C5909" s="39">
        <f t="array" ref="C5909">NPV(B5909,FCFF!$C$9:$I$9)+FCFF!$B$9+FCFF!$I$9*(1+Inputs!$B$6)/(B5909-Inputs!$B$6)/(1+B5909)^7</f>
        <v>-1927.927056</v>
      </c>
    </row>
    <row r="5910" ht="14.25" customHeight="1">
      <c r="A5910" s="7">
        <v>5897.0</v>
      </c>
      <c r="B5910" s="14">
        <f t="shared" si="1"/>
        <v>0.09883576374</v>
      </c>
      <c r="C5910" s="39">
        <f t="array" ref="C5910">NPV(B5910,FCFF!$C$9:$I$9)+FCFF!$B$9+FCFF!$I$9*(1+Inputs!$B$6)/(B5910-Inputs!$B$6)/(1+B5910)^7</f>
        <v>-1350.168668</v>
      </c>
    </row>
    <row r="5911" ht="14.25" customHeight="1">
      <c r="A5911" s="7">
        <v>5898.0</v>
      </c>
      <c r="B5911" s="14">
        <f t="shared" si="1"/>
        <v>0.1255137566</v>
      </c>
      <c r="C5911" s="39">
        <f t="array" ref="C5911">NPV(B5911,FCFF!$C$9:$I$9)+FCFF!$B$9+FCFF!$I$9*(1+Inputs!$B$6)/(B5911-Inputs!$B$6)/(1+B5911)^7</f>
        <v>-1909.001437</v>
      </c>
    </row>
    <row r="5912" ht="14.25" customHeight="1">
      <c r="A5912" s="7">
        <v>5899.0</v>
      </c>
      <c r="B5912" s="14">
        <f t="shared" si="1"/>
        <v>0.1156259256</v>
      </c>
      <c r="C5912" s="39">
        <f t="array" ref="C5912">NPV(B5912,FCFF!$C$9:$I$9)+FCFF!$B$9+FCFF!$I$9*(1+Inputs!$B$6)/(B5912-Inputs!$B$6)/(1+B5912)^7</f>
        <v>-1744.024106</v>
      </c>
    </row>
    <row r="5913" ht="14.25" customHeight="1">
      <c r="A5913" s="7">
        <v>5900.0</v>
      </c>
      <c r="B5913" s="14">
        <f t="shared" si="1"/>
        <v>0.1258896166</v>
      </c>
      <c r="C5913" s="39">
        <f t="array" ref="C5913">NPV(B5913,FCFF!$C$9:$I$9)+FCFF!$B$9+FCFF!$I$9*(1+Inputs!$B$6)/(B5913-Inputs!$B$6)/(1+B5913)^7</f>
        <v>-1914.5598</v>
      </c>
    </row>
    <row r="5914" ht="14.25" customHeight="1">
      <c r="A5914" s="7">
        <v>5901.0</v>
      </c>
      <c r="B5914" s="14">
        <f t="shared" si="1"/>
        <v>0.1035920653</v>
      </c>
      <c r="C5914" s="39">
        <f t="array" ref="C5914">NPV(B5914,FCFF!$C$9:$I$9)+FCFF!$B$9+FCFF!$I$9*(1+Inputs!$B$6)/(B5914-Inputs!$B$6)/(1+B5914)^7</f>
        <v>-1480.385732</v>
      </c>
    </row>
    <row r="5915" ht="14.25" customHeight="1">
      <c r="A5915" s="7">
        <v>5902.0</v>
      </c>
      <c r="B5915" s="14">
        <f t="shared" si="1"/>
        <v>0.09610039238</v>
      </c>
      <c r="C5915" s="39">
        <f t="array" ref="C5915">NPV(B5915,FCFF!$C$9:$I$9)+FCFF!$B$9+FCFF!$I$9*(1+Inputs!$B$6)/(B5915-Inputs!$B$6)/(1+B5915)^7</f>
        <v>-1266.747814</v>
      </c>
    </row>
    <row r="5916" ht="14.25" customHeight="1">
      <c r="A5916" s="7">
        <v>5903.0</v>
      </c>
      <c r="B5916" s="14">
        <f t="shared" si="1"/>
        <v>0.1258128755</v>
      </c>
      <c r="C5916" s="39">
        <f t="array" ref="C5916">NPV(B5916,FCFF!$C$9:$I$9)+FCFF!$B$9+FCFF!$I$9*(1+Inputs!$B$6)/(B5916-Inputs!$B$6)/(1+B5916)^7</f>
        <v>-1913.428727</v>
      </c>
    </row>
    <row r="5917" ht="14.25" customHeight="1">
      <c r="A5917" s="7">
        <v>5904.0</v>
      </c>
      <c r="B5917" s="14">
        <f t="shared" si="1"/>
        <v>0.09888831339</v>
      </c>
      <c r="C5917" s="39">
        <f t="array" ref="C5917">NPV(B5917,FCFF!$C$9:$I$9)+FCFF!$B$9+FCFF!$I$9*(1+Inputs!$B$6)/(B5917-Inputs!$B$6)/(1+B5917)^7</f>
        <v>-1351.706357</v>
      </c>
    </row>
    <row r="5918" ht="14.25" customHeight="1">
      <c r="A5918" s="7">
        <v>5905.0</v>
      </c>
      <c r="B5918" s="14">
        <f t="shared" si="1"/>
        <v>0.1258811295</v>
      </c>
      <c r="C5918" s="39">
        <f t="array" ref="C5918">NPV(B5918,FCFF!$C$9:$I$9)+FCFF!$B$9+FCFF!$I$9*(1+Inputs!$B$6)/(B5918-Inputs!$B$6)/(1+B5918)^7</f>
        <v>-1914.434806</v>
      </c>
    </row>
    <row r="5919" ht="14.25" customHeight="1">
      <c r="A5919" s="7">
        <v>5906.0</v>
      </c>
      <c r="B5919" s="14">
        <f t="shared" si="1"/>
        <v>0.09361696696</v>
      </c>
      <c r="C5919" s="39">
        <f t="array" ref="C5919">NPV(B5919,FCFF!$C$9:$I$9)+FCFF!$B$9+FCFF!$I$9*(1+Inputs!$B$6)/(B5919-Inputs!$B$6)/(1+B5919)^7</f>
        <v>-1184.821701</v>
      </c>
    </row>
    <row r="5920" ht="14.25" customHeight="1">
      <c r="A5920" s="7">
        <v>5907.0</v>
      </c>
      <c r="B5920" s="14">
        <f t="shared" si="1"/>
        <v>0.12346003</v>
      </c>
      <c r="C5920" s="39">
        <f t="array" ref="C5920">NPV(B5920,FCFF!$C$9:$I$9)+FCFF!$B$9+FCFF!$I$9*(1+Inputs!$B$6)/(B5920-Inputs!$B$6)/(1+B5920)^7</f>
        <v>-1877.782942</v>
      </c>
    </row>
    <row r="5921" ht="14.25" customHeight="1">
      <c r="A5921" s="7">
        <v>5908.0</v>
      </c>
      <c r="B5921" s="14">
        <f t="shared" si="1"/>
        <v>0.1107336163</v>
      </c>
      <c r="C5921" s="39">
        <f t="array" ref="C5921">NPV(B5921,FCFF!$C$9:$I$9)+FCFF!$B$9+FCFF!$I$9*(1+Inputs!$B$6)/(B5921-Inputs!$B$6)/(1+B5921)^7</f>
        <v>-1646.626111</v>
      </c>
    </row>
    <row r="5922" ht="14.25" customHeight="1">
      <c r="A5922" s="7">
        <v>5909.0</v>
      </c>
      <c r="B5922" s="14">
        <f t="shared" si="1"/>
        <v>0.1200341678</v>
      </c>
      <c r="C5922" s="39">
        <f t="array" ref="C5922">NPV(B5922,FCFF!$C$9:$I$9)+FCFF!$B$9+FCFF!$I$9*(1+Inputs!$B$6)/(B5922-Inputs!$B$6)/(1+B5922)^7</f>
        <v>-1822.318916</v>
      </c>
    </row>
    <row r="5923" ht="14.25" customHeight="1">
      <c r="A5923" s="7">
        <v>5910.0</v>
      </c>
      <c r="B5923" s="14">
        <f t="shared" si="1"/>
        <v>0.1036292442</v>
      </c>
      <c r="C5923" s="39">
        <f t="array" ref="C5923">NPV(B5923,FCFF!$C$9:$I$9)+FCFF!$B$9+FCFF!$I$9*(1+Inputs!$B$6)/(B5923-Inputs!$B$6)/(1+B5923)^7</f>
        <v>-1481.336583</v>
      </c>
    </row>
    <row r="5924" ht="14.25" customHeight="1">
      <c r="A5924" s="7">
        <v>5911.0</v>
      </c>
      <c r="B5924" s="14">
        <f t="shared" si="1"/>
        <v>0.1083380432</v>
      </c>
      <c r="C5924" s="39">
        <f t="array" ref="C5924">NPV(B5924,FCFF!$C$9:$I$9)+FCFF!$B$9+FCFF!$I$9*(1+Inputs!$B$6)/(B5924-Inputs!$B$6)/(1+B5924)^7</f>
        <v>-1594.327957</v>
      </c>
    </row>
    <row r="5925" ht="14.25" customHeight="1">
      <c r="A5925" s="7">
        <v>5912.0</v>
      </c>
      <c r="B5925" s="14">
        <f t="shared" si="1"/>
        <v>0.1299382863</v>
      </c>
      <c r="C5925" s="39">
        <f t="array" ref="C5925">NPV(B5925,FCFF!$C$9:$I$9)+FCFF!$B$9+FCFF!$I$9*(1+Inputs!$B$6)/(B5925-Inputs!$B$6)/(1+B5925)^7</f>
        <v>-1971.583306</v>
      </c>
    </row>
    <row r="5926" ht="14.25" customHeight="1">
      <c r="A5926" s="7">
        <v>5913.0</v>
      </c>
      <c r="B5926" s="14">
        <f t="shared" si="1"/>
        <v>0.09733573827</v>
      </c>
      <c r="C5926" s="39">
        <f t="array" ref="C5926">NPV(B5926,FCFF!$C$9:$I$9)+FCFF!$B$9+FCFF!$I$9*(1+Inputs!$B$6)/(B5926-Inputs!$B$6)/(1+B5926)^7</f>
        <v>-1305.261226</v>
      </c>
    </row>
    <row r="5927" ht="14.25" customHeight="1">
      <c r="A5927" s="7">
        <v>5914.0</v>
      </c>
      <c r="B5927" s="14">
        <f t="shared" si="1"/>
        <v>0.1054170102</v>
      </c>
      <c r="C5927" s="39">
        <f t="array" ref="C5927">NPV(B5927,FCFF!$C$9:$I$9)+FCFF!$B$9+FCFF!$I$9*(1+Inputs!$B$6)/(B5927-Inputs!$B$6)/(1+B5927)^7</f>
        <v>-1525.933161</v>
      </c>
    </row>
    <row r="5928" ht="14.25" customHeight="1">
      <c r="A5928" s="7">
        <v>5915.0</v>
      </c>
      <c r="B5928" s="14">
        <f t="shared" si="1"/>
        <v>0.09800867635</v>
      </c>
      <c r="C5928" s="39">
        <f t="array" ref="C5928">NPV(B5928,FCFF!$C$9:$I$9)+FCFF!$B$9+FCFF!$I$9*(1+Inputs!$B$6)/(B5928-Inputs!$B$6)/(1+B5928)^7</f>
        <v>-1325.652843</v>
      </c>
    </row>
    <row r="5929" ht="14.25" customHeight="1">
      <c r="A5929" s="7">
        <v>5916.0</v>
      </c>
      <c r="B5929" s="14">
        <f t="shared" si="1"/>
        <v>0.1001173683</v>
      </c>
      <c r="C5929" s="39">
        <f t="array" ref="C5929">NPV(B5929,FCFF!$C$9:$I$9)+FCFF!$B$9+FCFF!$I$9*(1+Inputs!$B$6)/(B5929-Inputs!$B$6)/(1+B5929)^7</f>
        <v>-1387.010178</v>
      </c>
    </row>
    <row r="5930" ht="14.25" customHeight="1">
      <c r="A5930" s="7">
        <v>5917.0</v>
      </c>
      <c r="B5930" s="14">
        <f t="shared" si="1"/>
        <v>0.1053422151</v>
      </c>
      <c r="C5930" s="39">
        <f t="array" ref="C5930">NPV(B5930,FCFF!$C$9:$I$9)+FCFF!$B$9+FCFF!$I$9*(1+Inputs!$B$6)/(B5930-Inputs!$B$6)/(1+B5930)^7</f>
        <v>-1524.110589</v>
      </c>
    </row>
    <row r="5931" ht="14.25" customHeight="1">
      <c r="A5931" s="7">
        <v>5918.0</v>
      </c>
      <c r="B5931" s="14">
        <f t="shared" si="1"/>
        <v>0.1132023463</v>
      </c>
      <c r="C5931" s="39">
        <f t="array" ref="C5931">NPV(B5931,FCFF!$C$9:$I$9)+FCFF!$B$9+FCFF!$I$9*(1+Inputs!$B$6)/(B5931-Inputs!$B$6)/(1+B5931)^7</f>
        <v>-1697.264758</v>
      </c>
    </row>
    <row r="5932" ht="14.25" customHeight="1">
      <c r="A5932" s="7">
        <v>5919.0</v>
      </c>
      <c r="B5932" s="14">
        <f t="shared" si="1"/>
        <v>0.09866894107</v>
      </c>
      <c r="C5932" s="39">
        <f t="array" ref="C5932">NPV(B5932,FCFF!$C$9:$I$9)+FCFF!$B$9+FCFF!$I$9*(1+Inputs!$B$6)/(B5932-Inputs!$B$6)/(1+B5932)^7</f>
        <v>-1345.271517</v>
      </c>
    </row>
    <row r="5933" ht="14.25" customHeight="1">
      <c r="A5933" s="7">
        <v>5920.0</v>
      </c>
      <c r="B5933" s="14">
        <f t="shared" si="1"/>
        <v>0.1171246173</v>
      </c>
      <c r="C5933" s="39">
        <f t="array" ref="C5933">NPV(B5933,FCFF!$C$9:$I$9)+FCFF!$B$9+FCFF!$I$9*(1+Inputs!$B$6)/(B5933-Inputs!$B$6)/(1+B5933)^7</f>
        <v>-1771.578176</v>
      </c>
    </row>
    <row r="5934" ht="14.25" customHeight="1">
      <c r="A5934" s="7">
        <v>5921.0</v>
      </c>
      <c r="B5934" s="14">
        <f t="shared" si="1"/>
        <v>0.1139347695</v>
      </c>
      <c r="C5934" s="39">
        <f t="array" ref="C5934">NPV(B5934,FCFF!$C$9:$I$9)+FCFF!$B$9+FCFF!$I$9*(1+Inputs!$B$6)/(B5934-Inputs!$B$6)/(1+B5934)^7</f>
        <v>-1711.693</v>
      </c>
    </row>
    <row r="5935" ht="14.25" customHeight="1">
      <c r="A5935" s="7">
        <v>5922.0</v>
      </c>
      <c r="B5935" s="14">
        <f t="shared" si="1"/>
        <v>0.1048329223</v>
      </c>
      <c r="C5935" s="39">
        <f t="array" ref="C5935">NPV(B5935,FCFF!$C$9:$I$9)+FCFF!$B$9+FCFF!$I$9*(1+Inputs!$B$6)/(B5935-Inputs!$B$6)/(1+B5935)^7</f>
        <v>-1511.601565</v>
      </c>
    </row>
    <row r="5936" ht="14.25" customHeight="1">
      <c r="A5936" s="7">
        <v>5923.0</v>
      </c>
      <c r="B5936" s="14">
        <f t="shared" si="1"/>
        <v>0.1036361159</v>
      </c>
      <c r="C5936" s="39">
        <f t="array" ref="C5936">NPV(B5936,FCFF!$C$9:$I$9)+FCFF!$B$9+FCFF!$I$9*(1+Inputs!$B$6)/(B5936-Inputs!$B$6)/(1+B5936)^7</f>
        <v>-1481.51222</v>
      </c>
    </row>
    <row r="5937" ht="14.25" customHeight="1">
      <c r="A5937" s="7">
        <v>5924.0</v>
      </c>
      <c r="B5937" s="14">
        <f t="shared" si="1"/>
        <v>0.1091255044</v>
      </c>
      <c r="C5937" s="39">
        <f t="array" ref="C5937">NPV(B5937,FCFF!$C$9:$I$9)+FCFF!$B$9+FCFF!$I$9*(1+Inputs!$B$6)/(B5937-Inputs!$B$6)/(1+B5937)^7</f>
        <v>-1611.87945</v>
      </c>
    </row>
    <row r="5938" ht="14.25" customHeight="1">
      <c r="A5938" s="7">
        <v>5925.0</v>
      </c>
      <c r="B5938" s="14">
        <f t="shared" si="1"/>
        <v>0.1073902944</v>
      </c>
      <c r="C5938" s="39">
        <f t="array" ref="C5938">NPV(B5938,FCFF!$C$9:$I$9)+FCFF!$B$9+FCFF!$I$9*(1+Inputs!$B$6)/(B5938-Inputs!$B$6)/(1+B5938)^7</f>
        <v>-1572.716699</v>
      </c>
    </row>
    <row r="5939" ht="14.25" customHeight="1">
      <c r="A5939" s="7">
        <v>5926.0</v>
      </c>
      <c r="B5939" s="14">
        <f t="shared" si="1"/>
        <v>0.108307284</v>
      </c>
      <c r="C5939" s="39">
        <f t="array" ref="C5939">NPV(B5939,FCFF!$C$9:$I$9)+FCFF!$B$9+FCFF!$I$9*(1+Inputs!$B$6)/(B5939-Inputs!$B$6)/(1+B5939)^7</f>
        <v>-1593.635001</v>
      </c>
    </row>
    <row r="5940" ht="14.25" customHeight="1">
      <c r="A5940" s="7">
        <v>5927.0</v>
      </c>
      <c r="B5940" s="14">
        <f t="shared" si="1"/>
        <v>0.1007297486</v>
      </c>
      <c r="C5940" s="39">
        <f t="array" ref="C5940">NPV(B5940,FCFF!$C$9:$I$9)+FCFF!$B$9+FCFF!$I$9*(1+Inputs!$B$6)/(B5940-Inputs!$B$6)/(1+B5940)^7</f>
        <v>-1404.139621</v>
      </c>
    </row>
    <row r="5941" ht="14.25" customHeight="1">
      <c r="A5941" s="7">
        <v>5928.0</v>
      </c>
      <c r="B5941" s="14">
        <f t="shared" si="1"/>
        <v>0.1071226869</v>
      </c>
      <c r="C5941" s="39">
        <f t="array" ref="C5941">NPV(B5941,FCFF!$C$9:$I$9)+FCFF!$B$9+FCFF!$I$9*(1+Inputs!$B$6)/(B5941-Inputs!$B$6)/(1+B5941)^7</f>
        <v>-1566.515793</v>
      </c>
    </row>
    <row r="5942" ht="14.25" customHeight="1">
      <c r="A5942" s="7">
        <v>5929.0</v>
      </c>
      <c r="B5942" s="14">
        <f t="shared" si="1"/>
        <v>0.1322615489</v>
      </c>
      <c r="C5942" s="39">
        <f t="array" ref="C5942">NPV(B5942,FCFF!$C$9:$I$9)+FCFF!$B$9+FCFF!$I$9*(1+Inputs!$B$6)/(B5942-Inputs!$B$6)/(1+B5942)^7</f>
        <v>-2002.101642</v>
      </c>
    </row>
    <row r="5943" ht="14.25" customHeight="1">
      <c r="A5943" s="7">
        <v>5930.0</v>
      </c>
      <c r="B5943" s="14">
        <f t="shared" si="1"/>
        <v>0.1198493969</v>
      </c>
      <c r="C5943" s="39">
        <f t="array" ref="C5943">NPV(B5943,FCFF!$C$9:$I$9)+FCFF!$B$9+FCFF!$I$9*(1+Inputs!$B$6)/(B5943-Inputs!$B$6)/(1+B5943)^7</f>
        <v>-1819.199779</v>
      </c>
    </row>
    <row r="5944" ht="14.25" customHeight="1">
      <c r="A5944" s="7">
        <v>5931.0</v>
      </c>
      <c r="B5944" s="14">
        <f t="shared" si="1"/>
        <v>0.1184395461</v>
      </c>
      <c r="C5944" s="39">
        <f t="array" ref="C5944">NPV(B5944,FCFF!$C$9:$I$9)+FCFF!$B$9+FCFF!$I$9*(1+Inputs!$B$6)/(B5944-Inputs!$B$6)/(1+B5944)^7</f>
        <v>-1794.945916</v>
      </c>
    </row>
    <row r="5945" ht="14.25" customHeight="1">
      <c r="A5945" s="7">
        <v>5932.0</v>
      </c>
      <c r="B5945" s="14">
        <f t="shared" si="1"/>
        <v>0.1198951227</v>
      </c>
      <c r="C5945" s="39">
        <f t="array" ref="C5945">NPV(B5945,FCFF!$C$9:$I$9)+FCFF!$B$9+FCFF!$I$9*(1+Inputs!$B$6)/(B5945-Inputs!$B$6)/(1+B5945)^7</f>
        <v>-1819.972946</v>
      </c>
    </row>
    <row r="5946" ht="14.25" customHeight="1">
      <c r="A5946" s="7">
        <v>5933.0</v>
      </c>
      <c r="B5946" s="14">
        <f t="shared" si="1"/>
        <v>0.107615581</v>
      </c>
      <c r="C5946" s="39">
        <f t="array" ref="C5946">NPV(B5946,FCFF!$C$9:$I$9)+FCFF!$B$9+FCFF!$I$9*(1+Inputs!$B$6)/(B5946-Inputs!$B$6)/(1+B5946)^7</f>
        <v>-1577.902955</v>
      </c>
    </row>
    <row r="5947" ht="14.25" customHeight="1">
      <c r="A5947" s="7">
        <v>5934.0</v>
      </c>
      <c r="B5947" s="14">
        <f t="shared" si="1"/>
        <v>0.1068100486</v>
      </c>
      <c r="C5947" s="39">
        <f t="array" ref="C5947">NPV(B5947,FCFF!$C$9:$I$9)+FCFF!$B$9+FCFF!$I$9*(1+Inputs!$B$6)/(B5947-Inputs!$B$6)/(1+B5947)^7</f>
        <v>-1559.215339</v>
      </c>
    </row>
    <row r="5948" ht="14.25" customHeight="1">
      <c r="A5948" s="7">
        <v>5935.0</v>
      </c>
      <c r="B5948" s="14">
        <f t="shared" si="1"/>
        <v>0.09565089672</v>
      </c>
      <c r="C5948" s="39">
        <f t="array" ref="C5948">NPV(B5948,FCFF!$C$9:$I$9)+FCFF!$B$9+FCFF!$I$9*(1+Inputs!$B$6)/(B5948-Inputs!$B$6)/(1+B5948)^7</f>
        <v>-1252.375758</v>
      </c>
    </row>
    <row r="5949" ht="14.25" customHeight="1">
      <c r="A5949" s="7">
        <v>5936.0</v>
      </c>
      <c r="B5949" s="14">
        <f t="shared" si="1"/>
        <v>0.1100073233</v>
      </c>
      <c r="C5949" s="39">
        <f t="array" ref="C5949">NPV(B5949,FCFF!$C$9:$I$9)+FCFF!$B$9+FCFF!$I$9*(1+Inputs!$B$6)/(B5949-Inputs!$B$6)/(1+B5949)^7</f>
        <v>-1631.111612</v>
      </c>
    </row>
    <row r="5950" ht="14.25" customHeight="1">
      <c r="A5950" s="7">
        <v>5937.0</v>
      </c>
      <c r="B5950" s="14">
        <f t="shared" si="1"/>
        <v>0.1071873193</v>
      </c>
      <c r="C5950" s="39">
        <f t="array" ref="C5950">NPV(B5950,FCFF!$C$9:$I$9)+FCFF!$B$9+FCFF!$I$9*(1+Inputs!$B$6)/(B5950-Inputs!$B$6)/(1+B5950)^7</f>
        <v>-1568.01747</v>
      </c>
    </row>
    <row r="5951" ht="14.25" customHeight="1">
      <c r="A5951" s="7">
        <v>5938.0</v>
      </c>
      <c r="B5951" s="14">
        <f t="shared" si="1"/>
        <v>0.1044929925</v>
      </c>
      <c r="C5951" s="39">
        <f t="array" ref="C5951">NPV(B5951,FCFF!$C$9:$I$9)+FCFF!$B$9+FCFF!$I$9*(1+Inputs!$B$6)/(B5951-Inputs!$B$6)/(1+B5951)^7</f>
        <v>-1503.155324</v>
      </c>
    </row>
    <row r="5952" ht="14.25" customHeight="1">
      <c r="A5952" s="7">
        <v>5939.0</v>
      </c>
      <c r="B5952" s="14">
        <f t="shared" si="1"/>
        <v>0.1008325537</v>
      </c>
      <c r="C5952" s="39">
        <f t="array" ref="C5952">NPV(B5952,FCFF!$C$9:$I$9)+FCFF!$B$9+FCFF!$I$9*(1+Inputs!$B$6)/(B5952-Inputs!$B$6)/(1+B5952)^7</f>
        <v>-1406.986011</v>
      </c>
    </row>
    <row r="5953" ht="14.25" customHeight="1">
      <c r="A5953" s="7">
        <v>5940.0</v>
      </c>
      <c r="B5953" s="14">
        <f t="shared" si="1"/>
        <v>0.1264905458</v>
      </c>
      <c r="C5953" s="39">
        <f t="array" ref="C5953">NPV(B5953,FCFF!$C$9:$I$9)+FCFF!$B$9+FCFF!$I$9*(1+Inputs!$B$6)/(B5953-Inputs!$B$6)/(1+B5953)^7</f>
        <v>-1923.349951</v>
      </c>
    </row>
    <row r="5954" ht="14.25" customHeight="1">
      <c r="A5954" s="7">
        <v>5941.0</v>
      </c>
      <c r="B5954" s="14">
        <f t="shared" si="1"/>
        <v>0.1322630353</v>
      </c>
      <c r="C5954" s="39">
        <f t="array" ref="C5954">NPV(B5954,FCFF!$C$9:$I$9)+FCFF!$B$9+FCFF!$I$9*(1+Inputs!$B$6)/(B5954-Inputs!$B$6)/(1+B5954)^7</f>
        <v>-2002.120684</v>
      </c>
    </row>
    <row r="5955" ht="14.25" customHeight="1">
      <c r="A5955" s="7">
        <v>5942.0</v>
      </c>
      <c r="B5955" s="14">
        <f t="shared" si="1"/>
        <v>0.1080740658</v>
      </c>
      <c r="C5955" s="39">
        <f t="array" ref="C5955">NPV(B5955,FCFF!$C$9:$I$9)+FCFF!$B$9+FCFF!$I$9*(1+Inputs!$B$6)/(B5955-Inputs!$B$6)/(1+B5955)^7</f>
        <v>-1588.362708</v>
      </c>
    </row>
    <row r="5956" ht="14.25" customHeight="1">
      <c r="A5956" s="7">
        <v>5943.0</v>
      </c>
      <c r="B5956" s="14">
        <f t="shared" si="1"/>
        <v>0.1139738416</v>
      </c>
      <c r="C5956" s="39">
        <f t="array" ref="C5956">NPV(B5956,FCFF!$C$9:$I$9)+FCFF!$B$9+FCFF!$I$9*(1+Inputs!$B$6)/(B5956-Inputs!$B$6)/(1+B5956)^7</f>
        <v>-1712.455323</v>
      </c>
    </row>
    <row r="5957" ht="14.25" customHeight="1">
      <c r="A5957" s="7">
        <v>5944.0</v>
      </c>
      <c r="B5957" s="14">
        <f t="shared" si="1"/>
        <v>0.1249930514</v>
      </c>
      <c r="C5957" s="39">
        <f t="array" ref="C5957">NPV(B5957,FCFF!$C$9:$I$9)+FCFF!$B$9+FCFF!$I$9*(1+Inputs!$B$6)/(B5957-Inputs!$B$6)/(1+B5957)^7</f>
        <v>-1901.223022</v>
      </c>
    </row>
    <row r="5958" ht="14.25" customHeight="1">
      <c r="A5958" s="7">
        <v>5945.0</v>
      </c>
      <c r="B5958" s="14">
        <f t="shared" si="1"/>
        <v>0.1096161775</v>
      </c>
      <c r="C5958" s="39">
        <f t="array" ref="C5958">NPV(B5958,FCFF!$C$9:$I$9)+FCFF!$B$9+FCFF!$I$9*(1+Inputs!$B$6)/(B5958-Inputs!$B$6)/(1+B5958)^7</f>
        <v>-1622.635095</v>
      </c>
    </row>
    <row r="5959" ht="14.25" customHeight="1">
      <c r="A5959" s="7">
        <v>5946.0</v>
      </c>
      <c r="B5959" s="14">
        <f t="shared" si="1"/>
        <v>0.1291017904</v>
      </c>
      <c r="C5959" s="39">
        <f t="array" ref="C5959">NPV(B5959,FCFF!$C$9:$I$9)+FCFF!$B$9+FCFF!$I$9*(1+Inputs!$B$6)/(B5959-Inputs!$B$6)/(1+B5959)^7</f>
        <v>-1960.214079</v>
      </c>
    </row>
    <row r="5960" ht="14.25" customHeight="1">
      <c r="A5960" s="7">
        <v>5947.0</v>
      </c>
      <c r="B5960" s="14">
        <f t="shared" si="1"/>
        <v>0.0981915456</v>
      </c>
      <c r="C5960" s="39">
        <f t="array" ref="C5960">NPV(B5960,FCFF!$C$9:$I$9)+FCFF!$B$9+FCFF!$I$9*(1+Inputs!$B$6)/(B5960-Inputs!$B$6)/(1+B5960)^7</f>
        <v>-1331.124615</v>
      </c>
    </row>
    <row r="5961" ht="14.25" customHeight="1">
      <c r="A5961" s="7">
        <v>5948.0</v>
      </c>
      <c r="B5961" s="14">
        <f t="shared" si="1"/>
        <v>0.1176418563</v>
      </c>
      <c r="C5961" s="39">
        <f t="array" ref="C5961">NPV(B5961,FCFF!$C$9:$I$9)+FCFF!$B$9+FCFF!$I$9*(1+Inputs!$B$6)/(B5961-Inputs!$B$6)/(1+B5961)^7</f>
        <v>-1780.858174</v>
      </c>
    </row>
    <row r="5962" ht="14.25" customHeight="1">
      <c r="A5962" s="7">
        <v>5949.0</v>
      </c>
      <c r="B5962" s="14">
        <f t="shared" si="1"/>
        <v>0.1305759025</v>
      </c>
      <c r="C5962" s="39">
        <f t="array" ref="C5962">NPV(B5962,FCFF!$C$9:$I$9)+FCFF!$B$9+FCFF!$I$9*(1+Inputs!$B$6)/(B5962-Inputs!$B$6)/(1+B5962)^7</f>
        <v>-1980.111747</v>
      </c>
    </row>
    <row r="5963" ht="14.25" customHeight="1">
      <c r="A5963" s="7">
        <v>5950.0</v>
      </c>
      <c r="B5963" s="14">
        <f t="shared" si="1"/>
        <v>0.1106383037</v>
      </c>
      <c r="C5963" s="39">
        <f t="array" ref="C5963">NPV(B5963,FCFF!$C$9:$I$9)+FCFF!$B$9+FCFF!$I$9*(1+Inputs!$B$6)/(B5963-Inputs!$B$6)/(1+B5963)^7</f>
        <v>-1644.606589</v>
      </c>
    </row>
    <row r="5964" ht="14.25" customHeight="1">
      <c r="A5964" s="7">
        <v>5951.0</v>
      </c>
      <c r="B5964" s="14">
        <f t="shared" si="1"/>
        <v>0.1078094648</v>
      </c>
      <c r="C5964" s="39">
        <f t="array" ref="C5964">NPV(B5964,FCFF!$C$9:$I$9)+FCFF!$B$9+FCFF!$I$9*(1+Inputs!$B$6)/(B5964-Inputs!$B$6)/(1+B5964)^7</f>
        <v>-1582.341619</v>
      </c>
    </row>
    <row r="5965" ht="14.25" customHeight="1">
      <c r="A5965" s="7">
        <v>5952.0</v>
      </c>
      <c r="B5965" s="14">
        <f t="shared" si="1"/>
        <v>0.1225537237</v>
      </c>
      <c r="C5965" s="39">
        <f t="array" ref="C5965">NPV(B5965,FCFF!$C$9:$I$9)+FCFF!$B$9+FCFF!$I$9*(1+Inputs!$B$6)/(B5965-Inputs!$B$6)/(1+B5965)^7</f>
        <v>-1863.53488</v>
      </c>
    </row>
    <row r="5966" ht="14.25" customHeight="1">
      <c r="A5966" s="7">
        <v>5953.0</v>
      </c>
      <c r="B5966" s="14">
        <f t="shared" si="1"/>
        <v>0.1153164446</v>
      </c>
      <c r="C5966" s="39">
        <f t="array" ref="C5966">NPV(B5966,FCFF!$C$9:$I$9)+FCFF!$B$9+FCFF!$I$9*(1+Inputs!$B$6)/(B5966-Inputs!$B$6)/(1+B5966)^7</f>
        <v>-1738.207694</v>
      </c>
    </row>
    <row r="5967" ht="14.25" customHeight="1">
      <c r="A5967" s="7">
        <v>5954.0</v>
      </c>
      <c r="B5967" s="14">
        <f t="shared" si="1"/>
        <v>0.09591976683</v>
      </c>
      <c r="C5967" s="39">
        <f t="array" ref="C5967">NPV(B5967,FCFF!$C$9:$I$9)+FCFF!$B$9+FCFF!$I$9*(1+Inputs!$B$6)/(B5967-Inputs!$B$6)/(1+B5967)^7</f>
        <v>-1260.995992</v>
      </c>
    </row>
    <row r="5968" ht="14.25" customHeight="1">
      <c r="A5968" s="7">
        <v>5955.0</v>
      </c>
      <c r="B5968" s="14">
        <f t="shared" si="1"/>
        <v>0.105846419</v>
      </c>
      <c r="C5968" s="39">
        <f t="array" ref="C5968">NPV(B5968,FCFF!$C$9:$I$9)+FCFF!$B$9+FCFF!$I$9*(1+Inputs!$B$6)/(B5968-Inputs!$B$6)/(1+B5968)^7</f>
        <v>-1536.325765</v>
      </c>
    </row>
    <row r="5969" ht="14.25" customHeight="1">
      <c r="A5969" s="7">
        <v>5956.0</v>
      </c>
      <c r="B5969" s="14">
        <f t="shared" si="1"/>
        <v>0.1268784475</v>
      </c>
      <c r="C5969" s="39">
        <f t="array" ref="C5969">NPV(B5969,FCFF!$C$9:$I$9)+FCFF!$B$9+FCFF!$I$9*(1+Inputs!$B$6)/(B5969-Inputs!$B$6)/(1+B5969)^7</f>
        <v>-1928.961745</v>
      </c>
    </row>
    <row r="5970" ht="14.25" customHeight="1">
      <c r="A5970" s="7">
        <v>5957.0</v>
      </c>
      <c r="B5970" s="14">
        <f t="shared" si="1"/>
        <v>0.1007132591</v>
      </c>
      <c r="C5970" s="39">
        <f t="array" ref="C5970">NPV(B5970,FCFF!$C$9:$I$9)+FCFF!$B$9+FCFF!$I$9*(1+Inputs!$B$6)/(B5970-Inputs!$B$6)/(1+B5970)^7</f>
        <v>-1403.682296</v>
      </c>
    </row>
    <row r="5971" ht="14.25" customHeight="1">
      <c r="A5971" s="7">
        <v>5958.0</v>
      </c>
      <c r="B5971" s="14">
        <f t="shared" si="1"/>
        <v>0.122485713</v>
      </c>
      <c r="C5971" s="39">
        <f t="array" ref="C5971">NPV(B5971,FCFF!$C$9:$I$9)+FCFF!$B$9+FCFF!$I$9*(1+Inputs!$B$6)/(B5971-Inputs!$B$6)/(1+B5971)^7</f>
        <v>-1862.453669</v>
      </c>
    </row>
    <row r="5972" ht="14.25" customHeight="1">
      <c r="A5972" s="7">
        <v>5959.0</v>
      </c>
      <c r="B5972" s="14">
        <f t="shared" si="1"/>
        <v>0.1162313216</v>
      </c>
      <c r="C5972" s="39">
        <f t="array" ref="C5972">NPV(B5972,FCFF!$C$9:$I$9)+FCFF!$B$9+FCFF!$I$9*(1+Inputs!$B$6)/(B5972-Inputs!$B$6)/(1+B5972)^7</f>
        <v>-1755.275545</v>
      </c>
    </row>
    <row r="5973" ht="14.25" customHeight="1">
      <c r="A5973" s="7">
        <v>5960.0</v>
      </c>
      <c r="B5973" s="14">
        <f t="shared" si="1"/>
        <v>0.09745280451</v>
      </c>
      <c r="C5973" s="39">
        <f t="array" ref="C5973">NPV(B5973,FCFF!$C$9:$I$9)+FCFF!$B$9+FCFF!$I$9*(1+Inputs!$B$6)/(B5973-Inputs!$B$6)/(1+B5973)^7</f>
        <v>-1308.837848</v>
      </c>
    </row>
    <row r="5974" ht="14.25" customHeight="1">
      <c r="A5974" s="7">
        <v>5961.0</v>
      </c>
      <c r="B5974" s="14">
        <f t="shared" si="1"/>
        <v>0.1306197097</v>
      </c>
      <c r="C5974" s="39">
        <f t="array" ref="C5974">NPV(B5974,FCFF!$C$9:$I$9)+FCFF!$B$9+FCFF!$I$9*(1+Inputs!$B$6)/(B5974-Inputs!$B$6)/(1+B5974)^7</f>
        <v>-1980.693381</v>
      </c>
    </row>
    <row r="5975" ht="14.25" customHeight="1">
      <c r="A5975" s="7">
        <v>5962.0</v>
      </c>
      <c r="B5975" s="14">
        <f t="shared" si="1"/>
        <v>0.1270471134</v>
      </c>
      <c r="C5975" s="39">
        <f t="array" ref="C5975">NPV(B5975,FCFF!$C$9:$I$9)+FCFF!$B$9+FCFF!$I$9*(1+Inputs!$B$6)/(B5975-Inputs!$B$6)/(1+B5975)^7</f>
        <v>-1931.386779</v>
      </c>
    </row>
    <row r="5976" ht="14.25" customHeight="1">
      <c r="A5976" s="7">
        <v>5963.0</v>
      </c>
      <c r="B5976" s="14">
        <f t="shared" si="1"/>
        <v>0.1146967161</v>
      </c>
      <c r="C5976" s="39">
        <f t="array" ref="C5976">NPV(B5976,FCFF!$C$9:$I$9)+FCFF!$B$9+FCFF!$I$9*(1+Inputs!$B$6)/(B5976-Inputs!$B$6)/(1+B5976)^7</f>
        <v>-1726.426728</v>
      </c>
    </row>
    <row r="5977" ht="14.25" customHeight="1">
      <c r="A5977" s="7">
        <v>5964.0</v>
      </c>
      <c r="B5977" s="14">
        <f t="shared" si="1"/>
        <v>0.129588848</v>
      </c>
      <c r="C5977" s="39">
        <f t="array" ref="C5977">NPV(B5977,FCFF!$C$9:$I$9)+FCFF!$B$9+FCFF!$I$9*(1+Inputs!$B$6)/(B5977-Inputs!$B$6)/(1+B5977)^7</f>
        <v>-1966.859095</v>
      </c>
    </row>
    <row r="5978" ht="14.25" customHeight="1">
      <c r="A5978" s="7">
        <v>5965.0</v>
      </c>
      <c r="B5978" s="14">
        <f t="shared" si="1"/>
        <v>0.1141758649</v>
      </c>
      <c r="C5978" s="39">
        <f t="array" ref="C5978">NPV(B5978,FCFF!$C$9:$I$9)+FCFF!$B$9+FCFF!$I$9*(1+Inputs!$B$6)/(B5978-Inputs!$B$6)/(1+B5978)^7</f>
        <v>-1716.385164</v>
      </c>
    </row>
    <row r="5979" ht="14.25" customHeight="1">
      <c r="A5979" s="7">
        <v>5966.0</v>
      </c>
      <c r="B5979" s="14">
        <f t="shared" si="1"/>
        <v>0.0959332465</v>
      </c>
      <c r="C5979" s="39">
        <f t="array" ref="C5979">NPV(B5979,FCFF!$C$9:$I$9)+FCFF!$B$9+FCFF!$I$9*(1+Inputs!$B$6)/(B5979-Inputs!$B$6)/(1+B5979)^7</f>
        <v>-1261.426321</v>
      </c>
    </row>
    <row r="5980" ht="14.25" customHeight="1">
      <c r="A5980" s="7">
        <v>5967.0</v>
      </c>
      <c r="B5980" s="14">
        <f t="shared" si="1"/>
        <v>0.1071850222</v>
      </c>
      <c r="C5980" s="39">
        <f t="array" ref="C5980">NPV(B5980,FCFF!$C$9:$I$9)+FCFF!$B$9+FCFF!$I$9*(1+Inputs!$B$6)/(B5980-Inputs!$B$6)/(1+B5980)^7</f>
        <v>-1567.964144</v>
      </c>
    </row>
    <row r="5981" ht="14.25" customHeight="1">
      <c r="A5981" s="7">
        <v>5968.0</v>
      </c>
      <c r="B5981" s="14">
        <f t="shared" si="1"/>
        <v>0.1172155449</v>
      </c>
      <c r="C5981" s="39">
        <f t="array" ref="C5981">NPV(B5981,FCFF!$C$9:$I$9)+FCFF!$B$9+FCFF!$I$9*(1+Inputs!$B$6)/(B5981-Inputs!$B$6)/(1+B5981)^7</f>
        <v>-1773.217932</v>
      </c>
    </row>
    <row r="5982" ht="14.25" customHeight="1">
      <c r="A5982" s="7">
        <v>5969.0</v>
      </c>
      <c r="B5982" s="14">
        <f t="shared" si="1"/>
        <v>0.1307687958</v>
      </c>
      <c r="C5982" s="39">
        <f t="array" ref="C5982">NPV(B5982,FCFF!$C$9:$I$9)+FCFF!$B$9+FCFF!$I$9*(1+Inputs!$B$6)/(B5982-Inputs!$B$6)/(1+B5982)^7</f>
        <v>-1982.6687</v>
      </c>
    </row>
    <row r="5983" ht="14.25" customHeight="1">
      <c r="A5983" s="7">
        <v>5970.0</v>
      </c>
      <c r="B5983" s="14">
        <f t="shared" si="1"/>
        <v>0.1017777722</v>
      </c>
      <c r="C5983" s="39">
        <f t="array" ref="C5983">NPV(B5983,FCFF!$C$9:$I$9)+FCFF!$B$9+FCFF!$I$9*(1+Inputs!$B$6)/(B5983-Inputs!$B$6)/(1+B5983)^7</f>
        <v>-1432.770806</v>
      </c>
    </row>
    <row r="5984" ht="14.25" customHeight="1">
      <c r="A5984" s="7">
        <v>5971.0</v>
      </c>
      <c r="B5984" s="14">
        <f t="shared" si="1"/>
        <v>0.1157345245</v>
      </c>
      <c r="C5984" s="39">
        <f t="array" ref="C5984">NPV(B5984,FCFF!$C$9:$I$9)+FCFF!$B$9+FCFF!$I$9*(1+Inputs!$B$6)/(B5984-Inputs!$B$6)/(1+B5984)^7</f>
        <v>-1746.054702</v>
      </c>
    </row>
    <row r="5985" ht="14.25" customHeight="1">
      <c r="A5985" s="7">
        <v>5972.0</v>
      </c>
      <c r="B5985" s="14">
        <f t="shared" si="1"/>
        <v>0.09653805988</v>
      </c>
      <c r="C5985" s="39">
        <f t="array" ref="C5985">NPV(B5985,FCFF!$C$9:$I$9)+FCFF!$B$9+FCFF!$I$9*(1+Inputs!$B$6)/(B5985-Inputs!$B$6)/(1+B5985)^7</f>
        <v>-1280.555819</v>
      </c>
    </row>
    <row r="5986" ht="14.25" customHeight="1">
      <c r="A5986" s="7">
        <v>5973.0</v>
      </c>
      <c r="B5986" s="14">
        <f t="shared" si="1"/>
        <v>0.09952156186</v>
      </c>
      <c r="C5986" s="39">
        <f t="array" ref="C5986">NPV(B5986,FCFF!$C$9:$I$9)+FCFF!$B$9+FCFF!$I$9*(1+Inputs!$B$6)/(B5986-Inputs!$B$6)/(1+B5986)^7</f>
        <v>-1370.052715</v>
      </c>
    </row>
    <row r="5987" ht="14.25" customHeight="1">
      <c r="A5987" s="7">
        <v>5974.0</v>
      </c>
      <c r="B5987" s="14">
        <f t="shared" si="1"/>
        <v>0.1291747196</v>
      </c>
      <c r="C5987" s="39">
        <f t="array" ref="C5987">NPV(B5987,FCFF!$C$9:$I$9)+FCFF!$B$9+FCFF!$I$9*(1+Inputs!$B$6)/(B5987-Inputs!$B$6)/(1+B5987)^7</f>
        <v>-1961.213566</v>
      </c>
    </row>
    <row r="5988" ht="14.25" customHeight="1">
      <c r="A5988" s="7">
        <v>5975.0</v>
      </c>
      <c r="B5988" s="14">
        <f t="shared" si="1"/>
        <v>0.1291949568</v>
      </c>
      <c r="C5988" s="39">
        <f t="array" ref="C5988">NPV(B5988,FCFF!$C$9:$I$9)+FCFF!$B$9+FCFF!$I$9*(1+Inputs!$B$6)/(B5988-Inputs!$B$6)/(1+B5988)^7</f>
        <v>-1961.490634</v>
      </c>
    </row>
    <row r="5989" ht="14.25" customHeight="1">
      <c r="A5989" s="7">
        <v>5976.0</v>
      </c>
      <c r="B5989" s="14">
        <f t="shared" si="1"/>
        <v>0.1005743029</v>
      </c>
      <c r="C5989" s="39">
        <f t="array" ref="C5989">NPV(B5989,FCFF!$C$9:$I$9)+FCFF!$B$9+FCFF!$I$9*(1+Inputs!$B$6)/(B5989-Inputs!$B$6)/(1+B5989)^7</f>
        <v>-1399.819879</v>
      </c>
    </row>
    <row r="5990" ht="14.25" customHeight="1">
      <c r="A5990" s="7">
        <v>5977.0</v>
      </c>
      <c r="B5990" s="14">
        <f t="shared" si="1"/>
        <v>0.0966959079</v>
      </c>
      <c r="C5990" s="39">
        <f t="array" ref="C5990">NPV(B5990,FCFF!$C$9:$I$9)+FCFF!$B$9+FCFF!$I$9*(1+Inputs!$B$6)/(B5990-Inputs!$B$6)/(1+B5990)^7</f>
        <v>-1285.491443</v>
      </c>
    </row>
    <row r="5991" ht="14.25" customHeight="1">
      <c r="A5991" s="7">
        <v>5978.0</v>
      </c>
      <c r="B5991" s="14">
        <f t="shared" si="1"/>
        <v>0.1103554244</v>
      </c>
      <c r="C5991" s="39">
        <f t="array" ref="C5991">NPV(B5991,FCFF!$C$9:$I$9)+FCFF!$B$9+FCFF!$I$9*(1+Inputs!$B$6)/(B5991-Inputs!$B$6)/(1+B5991)^7</f>
        <v>-1638.583648</v>
      </c>
    </row>
    <row r="5992" ht="14.25" customHeight="1">
      <c r="A5992" s="7">
        <v>5979.0</v>
      </c>
      <c r="B5992" s="14">
        <f t="shared" si="1"/>
        <v>0.1197553551</v>
      </c>
      <c r="C5992" s="39">
        <f t="array" ref="C5992">NPV(B5992,FCFF!$C$9:$I$9)+FCFF!$B$9+FCFF!$I$9*(1+Inputs!$B$6)/(B5992-Inputs!$B$6)/(1+B5992)^7</f>
        <v>-1817.607029</v>
      </c>
    </row>
    <row r="5993" ht="14.25" customHeight="1">
      <c r="A5993" s="7">
        <v>5980.0</v>
      </c>
      <c r="B5993" s="14">
        <f t="shared" si="1"/>
        <v>0.1233736746</v>
      </c>
      <c r="C5993" s="39">
        <f t="array" ref="C5993">NPV(B5993,FCFF!$C$9:$I$9)+FCFF!$B$9+FCFF!$I$9*(1+Inputs!$B$6)/(B5993-Inputs!$B$6)/(1+B5993)^7</f>
        <v>-1876.438066</v>
      </c>
    </row>
    <row r="5994" ht="14.25" customHeight="1">
      <c r="A5994" s="7">
        <v>5981.0</v>
      </c>
      <c r="B5994" s="14">
        <f t="shared" si="1"/>
        <v>0.09615147844</v>
      </c>
      <c r="C5994" s="39">
        <f t="array" ref="C5994">NPV(B5994,FCFF!$C$9:$I$9)+FCFF!$B$9+FCFF!$I$9*(1+Inputs!$B$6)/(B5994-Inputs!$B$6)/(1+B5994)^7</f>
        <v>-1268.368919</v>
      </c>
    </row>
    <row r="5995" ht="14.25" customHeight="1">
      <c r="A5995" s="7">
        <v>5982.0</v>
      </c>
      <c r="B5995" s="14">
        <f t="shared" si="1"/>
        <v>0.1265077397</v>
      </c>
      <c r="C5995" s="39">
        <f t="array" ref="C5995">NPV(B5995,FCFF!$C$9:$I$9)+FCFF!$B$9+FCFF!$I$9*(1+Inputs!$B$6)/(B5995-Inputs!$B$6)/(1+B5995)^7</f>
        <v>-1923.599724</v>
      </c>
    </row>
    <row r="5996" ht="14.25" customHeight="1">
      <c r="A5996" s="7">
        <v>5983.0</v>
      </c>
      <c r="B5996" s="14">
        <f t="shared" si="1"/>
        <v>0.09614964634</v>
      </c>
      <c r="C5996" s="39">
        <f t="array" ref="C5996">NPV(B5996,FCFF!$C$9:$I$9)+FCFF!$B$9+FCFF!$I$9*(1+Inputs!$B$6)/(B5996-Inputs!$B$6)/(1+B5996)^7</f>
        <v>-1268.310824</v>
      </c>
    </row>
    <row r="5997" ht="14.25" customHeight="1">
      <c r="A5997" s="7">
        <v>5984.0</v>
      </c>
      <c r="B5997" s="14">
        <f t="shared" si="1"/>
        <v>0.1104182566</v>
      </c>
      <c r="C5997" s="39">
        <f t="array" ref="C5997">NPV(B5997,FCFF!$C$9:$I$9)+FCFF!$B$9+FCFF!$I$9*(1+Inputs!$B$6)/(B5997-Inputs!$B$6)/(1+B5997)^7</f>
        <v>-1639.925229</v>
      </c>
    </row>
    <row r="5998" ht="14.25" customHeight="1">
      <c r="A5998" s="7">
        <v>5985.0</v>
      </c>
      <c r="B5998" s="14">
        <f t="shared" si="1"/>
        <v>0.1260122022</v>
      </c>
      <c r="C5998" s="39">
        <f t="array" ref="C5998">NPV(B5998,FCFF!$C$9:$I$9)+FCFF!$B$9+FCFF!$I$9*(1+Inputs!$B$6)/(B5998-Inputs!$B$6)/(1+B5998)^7</f>
        <v>-1916.362536</v>
      </c>
    </row>
    <row r="5999" ht="14.25" customHeight="1">
      <c r="A5999" s="7">
        <v>5986.0</v>
      </c>
      <c r="B5999" s="14">
        <f t="shared" si="1"/>
        <v>0.1211791847</v>
      </c>
      <c r="C5999" s="39">
        <f t="array" ref="C5999">NPV(B5999,FCFF!$C$9:$I$9)+FCFF!$B$9+FCFF!$I$9*(1+Inputs!$B$6)/(B5999-Inputs!$B$6)/(1+B5999)^7</f>
        <v>-1841.349496</v>
      </c>
    </row>
    <row r="6000" ht="14.25" customHeight="1">
      <c r="A6000" s="7">
        <v>5987.0</v>
      </c>
      <c r="B6000" s="14">
        <f t="shared" si="1"/>
        <v>0.1005382717</v>
      </c>
      <c r="C6000" s="39">
        <f t="array" ref="C6000">NPV(B6000,FCFF!$C$9:$I$9)+FCFF!$B$9+FCFF!$I$9*(1+Inputs!$B$6)/(B6000-Inputs!$B$6)/(1+B6000)^7</f>
        <v>-1398.815855</v>
      </c>
    </row>
    <row r="6001" ht="14.25" customHeight="1">
      <c r="A6001" s="7">
        <v>5988.0</v>
      </c>
      <c r="B6001" s="14">
        <f t="shared" si="1"/>
        <v>0.1256519978</v>
      </c>
      <c r="C6001" s="39">
        <f t="array" ref="C6001">NPV(B6001,FCFF!$C$9:$I$9)+FCFF!$B$9+FCFF!$I$9*(1+Inputs!$B$6)/(B6001-Inputs!$B$6)/(1+B6001)^7</f>
        <v>-1911.051254</v>
      </c>
    </row>
    <row r="6002" ht="14.25" customHeight="1">
      <c r="A6002" s="7">
        <v>5989.0</v>
      </c>
      <c r="B6002" s="14">
        <f t="shared" si="1"/>
        <v>0.09894827855</v>
      </c>
      <c r="C6002" s="39">
        <f t="array" ref="C6002">NPV(B6002,FCFF!$C$9:$I$9)+FCFF!$B$9+FCFF!$I$9*(1+Inputs!$B$6)/(B6002-Inputs!$B$6)/(1+B6002)^7</f>
        <v>-1353.458162</v>
      </c>
    </row>
    <row r="6003" ht="14.25" customHeight="1">
      <c r="A6003" s="7">
        <v>5990.0</v>
      </c>
      <c r="B6003" s="14">
        <f t="shared" si="1"/>
        <v>0.1192759793</v>
      </c>
      <c r="C6003" s="39">
        <f t="array" ref="C6003">NPV(B6003,FCFF!$C$9:$I$9)+FCFF!$B$9+FCFF!$I$9*(1+Inputs!$B$6)/(B6003-Inputs!$B$6)/(1+B6003)^7</f>
        <v>-1809.432848</v>
      </c>
    </row>
    <row r="6004" ht="14.25" customHeight="1">
      <c r="A6004" s="7">
        <v>5991.0</v>
      </c>
      <c r="B6004" s="14">
        <f t="shared" si="1"/>
        <v>0.09844695241</v>
      </c>
      <c r="C6004" s="39">
        <f t="array" ref="C6004">NPV(B6004,FCFF!$C$9:$I$9)+FCFF!$B$9+FCFF!$I$9*(1+Inputs!$B$6)/(B6004-Inputs!$B$6)/(1+B6004)^7</f>
        <v>-1338.717819</v>
      </c>
    </row>
    <row r="6005" ht="14.25" customHeight="1">
      <c r="A6005" s="7">
        <v>5992.0</v>
      </c>
      <c r="B6005" s="14">
        <f t="shared" si="1"/>
        <v>0.1157787656</v>
      </c>
      <c r="C6005" s="39">
        <f t="array" ref="C6005">NPV(B6005,FCFF!$C$9:$I$9)+FCFF!$B$9+FCFF!$I$9*(1+Inputs!$B$6)/(B6005-Inputs!$B$6)/(1+B6005)^7</f>
        <v>-1746.880383</v>
      </c>
    </row>
    <row r="6006" ht="14.25" customHeight="1">
      <c r="A6006" s="7">
        <v>5993.0</v>
      </c>
      <c r="B6006" s="14">
        <f t="shared" si="1"/>
        <v>0.1239900327</v>
      </c>
      <c r="C6006" s="39">
        <f t="array" ref="C6006">NPV(B6006,FCFF!$C$9:$I$9)+FCFF!$B$9+FCFF!$I$9*(1+Inputs!$B$6)/(B6006-Inputs!$B$6)/(1+B6006)^7</f>
        <v>-1885.979263</v>
      </c>
    </row>
    <row r="6007" ht="14.25" customHeight="1">
      <c r="A6007" s="7">
        <v>5994.0</v>
      </c>
      <c r="B6007" s="14">
        <f t="shared" si="1"/>
        <v>0.1284902564</v>
      </c>
      <c r="C6007" s="39">
        <f t="array" ref="C6007">NPV(B6007,FCFF!$C$9:$I$9)+FCFF!$B$9+FCFF!$I$9*(1+Inputs!$B$6)/(B6007-Inputs!$B$6)/(1+B6007)^7</f>
        <v>-1951.770002</v>
      </c>
    </row>
    <row r="6008" ht="14.25" customHeight="1">
      <c r="A6008" s="7">
        <v>5995.0</v>
      </c>
      <c r="B6008" s="14">
        <f t="shared" si="1"/>
        <v>0.09977649626</v>
      </c>
      <c r="C6008" s="39">
        <f t="array" ref="C6008">NPV(B6008,FCFF!$C$9:$I$9)+FCFF!$B$9+FCFF!$I$9*(1+Inputs!$B$6)/(B6008-Inputs!$B$6)/(1+B6008)^7</f>
        <v>-1377.344154</v>
      </c>
    </row>
    <row r="6009" ht="14.25" customHeight="1">
      <c r="A6009" s="7">
        <v>5996.0</v>
      </c>
      <c r="B6009" s="14">
        <f t="shared" si="1"/>
        <v>0.1189154542</v>
      </c>
      <c r="C6009" s="39">
        <f t="array" ref="C6009">NPV(B6009,FCFF!$C$9:$I$9)+FCFF!$B$9+FCFF!$I$9*(1+Inputs!$B$6)/(B6009-Inputs!$B$6)/(1+B6009)^7</f>
        <v>-1803.223879</v>
      </c>
    </row>
    <row r="6010" ht="14.25" customHeight="1">
      <c r="A6010" s="7">
        <v>5997.0</v>
      </c>
      <c r="B6010" s="14">
        <f t="shared" si="1"/>
        <v>0.1045477166</v>
      </c>
      <c r="C6010" s="39">
        <f t="array" ref="C6010">NPV(B6010,FCFF!$C$9:$I$9)+FCFF!$B$9+FCFF!$I$9*(1+Inputs!$B$6)/(B6010-Inputs!$B$6)/(1+B6010)^7</f>
        <v>-1504.520354</v>
      </c>
    </row>
    <row r="6011" ht="14.25" customHeight="1">
      <c r="A6011" s="7">
        <v>5998.0</v>
      </c>
      <c r="B6011" s="14">
        <f t="shared" si="1"/>
        <v>0.09955802416</v>
      </c>
      <c r="C6011" s="39">
        <f t="array" ref="C6011">NPV(B6011,FCFF!$C$9:$I$9)+FCFF!$B$9+FCFF!$I$9*(1+Inputs!$B$6)/(B6011-Inputs!$B$6)/(1+B6011)^7</f>
        <v>-1371.098875</v>
      </c>
    </row>
    <row r="6012" ht="14.25" customHeight="1">
      <c r="A6012" s="7">
        <v>5999.0</v>
      </c>
      <c r="B6012" s="14">
        <f t="shared" si="1"/>
        <v>0.1037803996</v>
      </c>
      <c r="C6012" s="39">
        <f t="array" ref="C6012">NPV(B6012,FCFF!$C$9:$I$9)+FCFF!$B$9+FCFF!$I$9*(1+Inputs!$B$6)/(B6012-Inputs!$B$6)/(1+B6012)^7</f>
        <v>-1485.192353</v>
      </c>
    </row>
    <row r="6013" ht="14.25" customHeight="1">
      <c r="A6013" s="7">
        <v>6000.0</v>
      </c>
      <c r="B6013" s="14">
        <f t="shared" si="1"/>
        <v>0.1073816246</v>
      </c>
      <c r="C6013" s="39">
        <f t="array" ref="C6013">NPV(B6013,FCFF!$C$9:$I$9)+FCFF!$B$9+FCFF!$I$9*(1+Inputs!$B$6)/(B6013-Inputs!$B$6)/(1+B6013)^7</f>
        <v>-1572.516495</v>
      </c>
    </row>
    <row r="6014" ht="14.25" customHeight="1">
      <c r="A6014" s="7">
        <v>6001.0</v>
      </c>
      <c r="B6014" s="14">
        <f t="shared" si="1"/>
        <v>0.1103191242</v>
      </c>
      <c r="C6014" s="39">
        <f t="array" ref="C6014">NPV(B6014,FCFF!$C$9:$I$9)+FCFF!$B$9+FCFF!$I$9*(1+Inputs!$B$6)/(B6014-Inputs!$B$6)/(1+B6014)^7</f>
        <v>-1637.807584</v>
      </c>
    </row>
    <row r="6015" ht="14.25" customHeight="1">
      <c r="A6015" s="7">
        <v>6002.0</v>
      </c>
      <c r="B6015" s="14">
        <f t="shared" si="1"/>
        <v>0.09757079056</v>
      </c>
      <c r="C6015" s="39">
        <f t="array" ref="C6015">NPV(B6015,FCFF!$C$9:$I$9)+FCFF!$B$9+FCFF!$I$9*(1+Inputs!$B$6)/(B6015-Inputs!$B$6)/(1+B6015)^7</f>
        <v>-1312.430035</v>
      </c>
    </row>
    <row r="6016" ht="14.25" customHeight="1">
      <c r="A6016" s="7">
        <v>6003.0</v>
      </c>
      <c r="B6016" s="14">
        <f t="shared" si="1"/>
        <v>0.1020397594</v>
      </c>
      <c r="C6016" s="39">
        <f t="array" ref="C6016">NPV(B6016,FCFF!$C$9:$I$9)+FCFF!$B$9+FCFF!$I$9*(1+Inputs!$B$6)/(B6016-Inputs!$B$6)/(1+B6016)^7</f>
        <v>-1439.796583</v>
      </c>
    </row>
    <row r="6017" ht="14.25" customHeight="1">
      <c r="A6017" s="7">
        <v>6004.0</v>
      </c>
      <c r="B6017" s="14">
        <f t="shared" si="1"/>
        <v>0.1133525061</v>
      </c>
      <c r="C6017" s="39">
        <f t="array" ref="C6017">NPV(B6017,FCFF!$C$9:$I$9)+FCFF!$B$9+FCFF!$I$9*(1+Inputs!$B$6)/(B6017-Inputs!$B$6)/(1+B6017)^7</f>
        <v>-1700.244333</v>
      </c>
    </row>
    <row r="6018" ht="14.25" customHeight="1">
      <c r="A6018" s="7">
        <v>6005.0</v>
      </c>
      <c r="B6018" s="14">
        <f t="shared" si="1"/>
        <v>0.10002474</v>
      </c>
      <c r="C6018" s="39">
        <f t="array" ref="C6018">NPV(B6018,FCFF!$C$9:$I$9)+FCFF!$B$9+FCFF!$I$9*(1+Inputs!$B$6)/(B6018-Inputs!$B$6)/(1+B6018)^7</f>
        <v>-1384.392912</v>
      </c>
    </row>
    <row r="6019" ht="14.25" customHeight="1">
      <c r="A6019" s="7">
        <v>6006.0</v>
      </c>
      <c r="B6019" s="14">
        <f t="shared" si="1"/>
        <v>0.1086340568</v>
      </c>
      <c r="C6019" s="39">
        <f t="array" ref="C6019">NPV(B6019,FCFF!$C$9:$I$9)+FCFF!$B$9+FCFF!$I$9*(1+Inputs!$B$6)/(B6019-Inputs!$B$6)/(1+B6019)^7</f>
        <v>-1600.968162</v>
      </c>
    </row>
    <row r="6020" ht="14.25" customHeight="1">
      <c r="A6020" s="7">
        <v>6007.0</v>
      </c>
      <c r="B6020" s="14">
        <f t="shared" si="1"/>
        <v>0.1208478664</v>
      </c>
      <c r="C6020" s="39">
        <f t="array" ref="C6020">NPV(B6020,FCFF!$C$9:$I$9)+FCFF!$B$9+FCFF!$I$9*(1+Inputs!$B$6)/(B6020-Inputs!$B$6)/(1+B6020)^7</f>
        <v>-1835.895174</v>
      </c>
    </row>
    <row r="6021" ht="14.25" customHeight="1">
      <c r="A6021" s="7">
        <v>6008.0</v>
      </c>
      <c r="B6021" s="14">
        <f t="shared" si="1"/>
        <v>0.1012974597</v>
      </c>
      <c r="C6021" s="39">
        <f t="array" ref="C6021">NPV(B6021,FCFF!$C$9:$I$9)+FCFF!$B$9+FCFF!$I$9*(1+Inputs!$B$6)/(B6021-Inputs!$B$6)/(1+B6021)^7</f>
        <v>-1419.754557</v>
      </c>
    </row>
    <row r="6022" ht="14.25" customHeight="1">
      <c r="A6022" s="7">
        <v>6009.0</v>
      </c>
      <c r="B6022" s="14">
        <f t="shared" si="1"/>
        <v>0.1074179167</v>
      </c>
      <c r="C6022" s="39">
        <f t="array" ref="C6022">NPV(B6022,FCFF!$C$9:$I$9)+FCFF!$B$9+FCFF!$I$9*(1+Inputs!$B$6)/(B6022-Inputs!$B$6)/(1+B6022)^7</f>
        <v>-1573.35425</v>
      </c>
    </row>
    <row r="6023" ht="14.25" customHeight="1">
      <c r="A6023" s="7">
        <v>6010.0</v>
      </c>
      <c r="B6023" s="14">
        <f t="shared" si="1"/>
        <v>0.1144862044</v>
      </c>
      <c r="C6023" s="39">
        <f t="array" ref="C6023">NPV(B6023,FCFF!$C$9:$I$9)+FCFF!$B$9+FCFF!$I$9*(1+Inputs!$B$6)/(B6023-Inputs!$B$6)/(1+B6023)^7</f>
        <v>-1722.38381</v>
      </c>
    </row>
    <row r="6024" ht="14.25" customHeight="1">
      <c r="A6024" s="7">
        <v>6011.0</v>
      </c>
      <c r="B6024" s="14">
        <f t="shared" si="1"/>
        <v>0.09804963827</v>
      </c>
      <c r="C6024" s="39">
        <f t="array" ref="C6024">NPV(B6024,FCFF!$C$9:$I$9)+FCFF!$B$9+FCFF!$I$9*(1+Inputs!$B$6)/(B6024-Inputs!$B$6)/(1+B6024)^7</f>
        <v>-1326.881056</v>
      </c>
    </row>
    <row r="6025" ht="14.25" customHeight="1">
      <c r="A6025" s="7">
        <v>6012.0</v>
      </c>
      <c r="B6025" s="14">
        <f t="shared" si="1"/>
        <v>0.1025713429</v>
      </c>
      <c r="C6025" s="39">
        <f t="array" ref="C6025">NPV(B6025,FCFF!$C$9:$I$9)+FCFF!$B$9+FCFF!$I$9*(1+Inputs!$B$6)/(B6025-Inputs!$B$6)/(1+B6025)^7</f>
        <v>-1453.894427</v>
      </c>
    </row>
    <row r="6026" ht="14.25" customHeight="1">
      <c r="A6026" s="7">
        <v>6013.0</v>
      </c>
      <c r="B6026" s="14">
        <f t="shared" si="1"/>
        <v>0.1047753981</v>
      </c>
      <c r="C6026" s="39">
        <f t="array" ref="C6026">NPV(B6026,FCFF!$C$9:$I$9)+FCFF!$B$9+FCFF!$I$9*(1+Inputs!$B$6)/(B6026-Inputs!$B$6)/(1+B6026)^7</f>
        <v>-1510.17776</v>
      </c>
    </row>
    <row r="6027" ht="14.25" customHeight="1">
      <c r="A6027" s="7">
        <v>6014.0</v>
      </c>
      <c r="B6027" s="14">
        <f t="shared" si="1"/>
        <v>0.1322616205</v>
      </c>
      <c r="C6027" s="39">
        <f t="array" ref="C6027">NPV(B6027,FCFF!$C$9:$I$9)+FCFF!$B$9+FCFF!$I$9*(1+Inputs!$B$6)/(B6027-Inputs!$B$6)/(1+B6027)^7</f>
        <v>-2002.102559</v>
      </c>
    </row>
    <row r="6028" ht="14.25" customHeight="1">
      <c r="A6028" s="7">
        <v>6015.0</v>
      </c>
      <c r="B6028" s="14">
        <f t="shared" si="1"/>
        <v>0.1092638777</v>
      </c>
      <c r="C6028" s="39">
        <f t="array" ref="C6028">NPV(B6028,FCFF!$C$9:$I$9)+FCFF!$B$9+FCFF!$I$9*(1+Inputs!$B$6)/(B6028-Inputs!$B$6)/(1+B6028)^7</f>
        <v>-1614.926517</v>
      </c>
    </row>
    <row r="6029" ht="14.25" customHeight="1">
      <c r="A6029" s="7">
        <v>6016.0</v>
      </c>
      <c r="B6029" s="14">
        <f t="shared" si="1"/>
        <v>0.09522152219</v>
      </c>
      <c r="C6029" s="39">
        <f t="array" ref="C6029">NPV(B6029,FCFF!$C$9:$I$9)+FCFF!$B$9+FCFF!$I$9*(1+Inputs!$B$6)/(B6029-Inputs!$B$6)/(1+B6029)^7</f>
        <v>-1238.462996</v>
      </c>
    </row>
    <row r="6030" ht="14.25" customHeight="1">
      <c r="A6030" s="7">
        <v>6017.0</v>
      </c>
      <c r="B6030" s="14">
        <f t="shared" si="1"/>
        <v>0.1060813446</v>
      </c>
      <c r="C6030" s="39">
        <f t="array" ref="C6030">NPV(B6030,FCFF!$C$9:$I$9)+FCFF!$B$9+FCFF!$I$9*(1+Inputs!$B$6)/(B6030-Inputs!$B$6)/(1+B6030)^7</f>
        <v>-1541.960746</v>
      </c>
    </row>
    <row r="6031" ht="14.25" customHeight="1">
      <c r="A6031" s="7">
        <v>6018.0</v>
      </c>
      <c r="B6031" s="14">
        <f t="shared" si="1"/>
        <v>0.1174022034</v>
      </c>
      <c r="C6031" s="39">
        <f t="array" ref="C6031">NPV(B6031,FCFF!$C$9:$I$9)+FCFF!$B$9+FCFF!$I$9*(1+Inputs!$B$6)/(B6031-Inputs!$B$6)/(1+B6031)^7</f>
        <v>-1776.572829</v>
      </c>
    </row>
    <row r="6032" ht="14.25" customHeight="1">
      <c r="A6032" s="7">
        <v>6019.0</v>
      </c>
      <c r="B6032" s="14">
        <f t="shared" si="1"/>
        <v>0.1245491317</v>
      </c>
      <c r="C6032" s="39">
        <f t="array" ref="C6032">NPV(B6032,FCFF!$C$9:$I$9)+FCFF!$B$9+FCFF!$I$9*(1+Inputs!$B$6)/(B6032-Inputs!$B$6)/(1+B6032)^7</f>
        <v>-1894.519096</v>
      </c>
    </row>
    <row r="6033" ht="14.25" customHeight="1">
      <c r="A6033" s="7">
        <v>6020.0</v>
      </c>
      <c r="B6033" s="14">
        <f t="shared" si="1"/>
        <v>0.1160185856</v>
      </c>
      <c r="C6033" s="39">
        <f t="array" ref="C6033">NPV(B6033,FCFF!$C$9:$I$9)+FCFF!$B$9+FCFF!$I$9*(1+Inputs!$B$6)/(B6033-Inputs!$B$6)/(1+B6033)^7</f>
        <v>-1751.340711</v>
      </c>
    </row>
    <row r="6034" ht="14.25" customHeight="1">
      <c r="A6034" s="7">
        <v>6021.0</v>
      </c>
      <c r="B6034" s="14">
        <f t="shared" si="1"/>
        <v>0.1063757888</v>
      </c>
      <c r="C6034" s="39">
        <f t="array" ref="C6034">NPV(B6034,FCFF!$C$9:$I$9)+FCFF!$B$9+FCFF!$I$9*(1+Inputs!$B$6)/(B6034-Inputs!$B$6)/(1+B6034)^7</f>
        <v>-1548.973301</v>
      </c>
    </row>
    <row r="6035" ht="14.25" customHeight="1">
      <c r="A6035" s="7">
        <v>6022.0</v>
      </c>
      <c r="B6035" s="14">
        <f t="shared" si="1"/>
        <v>0.1247917162</v>
      </c>
      <c r="C6035" s="39">
        <f t="array" ref="C6035">NPV(B6035,FCFF!$C$9:$I$9)+FCFF!$B$9+FCFF!$I$9*(1+Inputs!$B$6)/(B6035-Inputs!$B$6)/(1+B6035)^7</f>
        <v>-1898.190861</v>
      </c>
    </row>
    <row r="6036" ht="14.25" customHeight="1">
      <c r="A6036" s="7">
        <v>6023.0</v>
      </c>
      <c r="B6036" s="14">
        <f t="shared" si="1"/>
        <v>0.128956775</v>
      </c>
      <c r="C6036" s="39">
        <f t="array" ref="C6036">NPV(B6036,FCFF!$C$9:$I$9)+FCFF!$B$9+FCFF!$I$9*(1+Inputs!$B$6)/(B6036-Inputs!$B$6)/(1+B6036)^7</f>
        <v>-1958.221917</v>
      </c>
    </row>
    <row r="6037" ht="14.25" customHeight="1">
      <c r="A6037" s="7">
        <v>6024.0</v>
      </c>
      <c r="B6037" s="14">
        <f t="shared" si="1"/>
        <v>0.1319141259</v>
      </c>
      <c r="C6037" s="39">
        <f t="array" ref="C6037">NPV(B6037,FCFF!$C$9:$I$9)+FCFF!$B$9+FCFF!$I$9*(1+Inputs!$B$6)/(B6037-Inputs!$B$6)/(1+B6037)^7</f>
        <v>-1997.634192</v>
      </c>
    </row>
    <row r="6038" ht="14.25" customHeight="1">
      <c r="A6038" s="7">
        <v>6025.0</v>
      </c>
      <c r="B6038" s="14">
        <f t="shared" si="1"/>
        <v>0.09424628292</v>
      </c>
      <c r="C6038" s="39">
        <f t="array" ref="C6038">NPV(B6038,FCFF!$C$9:$I$9)+FCFF!$B$9+FCFF!$I$9*(1+Inputs!$B$6)/(B6038-Inputs!$B$6)/(1+B6038)^7</f>
        <v>-1206.176748</v>
      </c>
    </row>
    <row r="6039" ht="14.25" customHeight="1">
      <c r="A6039" s="7">
        <v>6026.0</v>
      </c>
      <c r="B6039" s="14">
        <f t="shared" si="1"/>
        <v>0.1165077633</v>
      </c>
      <c r="C6039" s="39">
        <f t="array" ref="C6039">NPV(B6039,FCFF!$C$9:$I$9)+FCFF!$B$9+FCFF!$I$9*(1+Inputs!$B$6)/(B6039-Inputs!$B$6)/(1+B6039)^7</f>
        <v>-1760.358375</v>
      </c>
    </row>
    <row r="6040" ht="14.25" customHeight="1">
      <c r="A6040" s="7">
        <v>6027.0</v>
      </c>
      <c r="B6040" s="14">
        <f t="shared" si="1"/>
        <v>0.1190477226</v>
      </c>
      <c r="C6040" s="39">
        <f t="array" ref="C6040">NPV(B6040,FCFF!$C$9:$I$9)+FCFF!$B$9+FCFF!$I$9*(1+Inputs!$B$6)/(B6040-Inputs!$B$6)/(1+B6040)^7</f>
        <v>-1805.507976</v>
      </c>
    </row>
    <row r="6041" ht="14.25" customHeight="1">
      <c r="A6041" s="7">
        <v>6028.0</v>
      </c>
      <c r="B6041" s="14">
        <f t="shared" si="1"/>
        <v>0.114574274</v>
      </c>
      <c r="C6041" s="39">
        <f t="array" ref="C6041">NPV(B6041,FCFF!$C$9:$I$9)+FCFF!$B$9+FCFF!$I$9*(1+Inputs!$B$6)/(B6041-Inputs!$B$6)/(1+B6041)^7</f>
        <v>-1724.077762</v>
      </c>
    </row>
    <row r="6042" ht="14.25" customHeight="1">
      <c r="A6042" s="7">
        <v>6029.0</v>
      </c>
      <c r="B6042" s="14">
        <f t="shared" si="1"/>
        <v>0.1011993235</v>
      </c>
      <c r="C6042" s="39">
        <f t="array" ref="C6042">NPV(B6042,FCFF!$C$9:$I$9)+FCFF!$B$9+FCFF!$I$9*(1+Inputs!$B$6)/(B6042-Inputs!$B$6)/(1+B6042)^7</f>
        <v>-1417.073281</v>
      </c>
    </row>
    <row r="6043" ht="14.25" customHeight="1">
      <c r="A6043" s="7">
        <v>6030.0</v>
      </c>
      <c r="B6043" s="14">
        <f t="shared" si="1"/>
        <v>0.09415647969</v>
      </c>
      <c r="C6043" s="39">
        <f t="array" ref="C6043">NPV(B6043,FCFF!$C$9:$I$9)+FCFF!$B$9+FCFF!$I$9*(1+Inputs!$B$6)/(B6043-Inputs!$B$6)/(1+B6043)^7</f>
        <v>-1203.154771</v>
      </c>
    </row>
    <row r="6044" ht="14.25" customHeight="1">
      <c r="A6044" s="7">
        <v>6031.0</v>
      </c>
      <c r="B6044" s="14">
        <f t="shared" si="1"/>
        <v>0.1123319923</v>
      </c>
      <c r="C6044" s="39">
        <f t="array" ref="C6044">NPV(B6044,FCFF!$C$9:$I$9)+FCFF!$B$9+FCFF!$I$9*(1+Inputs!$B$6)/(B6044-Inputs!$B$6)/(1+B6044)^7</f>
        <v>-1679.7718</v>
      </c>
    </row>
    <row r="6045" ht="14.25" customHeight="1">
      <c r="A6045" s="7">
        <v>6032.0</v>
      </c>
      <c r="B6045" s="14">
        <f t="shared" si="1"/>
        <v>0.1143329806</v>
      </c>
      <c r="C6045" s="39">
        <f t="array" ref="C6045">NPV(B6045,FCFF!$C$9:$I$9)+FCFF!$B$9+FCFF!$I$9*(1+Inputs!$B$6)/(B6045-Inputs!$B$6)/(1+B6045)^7</f>
        <v>-1719.427861</v>
      </c>
    </row>
    <row r="6046" ht="14.25" customHeight="1">
      <c r="A6046" s="7">
        <v>6033.0</v>
      </c>
      <c r="B6046" s="14">
        <f t="shared" si="1"/>
        <v>0.1046559221</v>
      </c>
      <c r="C6046" s="39">
        <f t="array" ref="C6046">NPV(B6046,FCFF!$C$9:$I$9)+FCFF!$B$9+FCFF!$I$9*(1+Inputs!$B$6)/(B6046-Inputs!$B$6)/(1+B6046)^7</f>
        <v>-1507.213418</v>
      </c>
    </row>
    <row r="6047" ht="14.25" customHeight="1">
      <c r="A6047" s="7">
        <v>6034.0</v>
      </c>
      <c r="B6047" s="14">
        <f t="shared" si="1"/>
        <v>0.09957532144</v>
      </c>
      <c r="C6047" s="39">
        <f t="array" ref="C6047">NPV(B6047,FCFF!$C$9:$I$9)+FCFF!$B$9+FCFF!$I$9*(1+Inputs!$B$6)/(B6047-Inputs!$B$6)/(1+B6047)^7</f>
        <v>-1371.594775</v>
      </c>
    </row>
    <row r="6048" ht="14.25" customHeight="1">
      <c r="A6048" s="7">
        <v>6035.0</v>
      </c>
      <c r="B6048" s="14">
        <f t="shared" si="1"/>
        <v>0.1177231833</v>
      </c>
      <c r="C6048" s="39">
        <f t="array" ref="C6048">NPV(B6048,FCFF!$C$9:$I$9)+FCFF!$B$9+FCFF!$I$9*(1+Inputs!$B$6)/(B6048-Inputs!$B$6)/(1+B6048)^7</f>
        <v>-1782.306821</v>
      </c>
    </row>
    <row r="6049" ht="14.25" customHeight="1">
      <c r="A6049" s="7">
        <v>6036.0</v>
      </c>
      <c r="B6049" s="14">
        <f t="shared" si="1"/>
        <v>0.1188543547</v>
      </c>
      <c r="C6049" s="39">
        <f t="array" ref="C6049">NPV(B6049,FCFF!$C$9:$I$9)+FCFF!$B$9+FCFF!$I$9*(1+Inputs!$B$6)/(B6049-Inputs!$B$6)/(1+B6049)^7</f>
        <v>-1802.16635</v>
      </c>
    </row>
    <row r="6050" ht="14.25" customHeight="1">
      <c r="A6050" s="7">
        <v>6037.0</v>
      </c>
      <c r="B6050" s="14">
        <f t="shared" si="1"/>
        <v>0.1005735303</v>
      </c>
      <c r="C6050" s="39">
        <f t="array" ref="C6050">NPV(B6050,FCFF!$C$9:$I$9)+FCFF!$B$9+FCFF!$I$9*(1+Inputs!$B$6)/(B6050-Inputs!$B$6)/(1+B6050)^7</f>
        <v>-1399.798362</v>
      </c>
    </row>
    <row r="6051" ht="14.25" customHeight="1">
      <c r="A6051" s="7">
        <v>6038.0</v>
      </c>
      <c r="B6051" s="14">
        <f t="shared" si="1"/>
        <v>0.1097596937</v>
      </c>
      <c r="C6051" s="39">
        <f t="array" ref="C6051">NPV(B6051,FCFF!$C$9:$I$9)+FCFF!$B$9+FCFF!$I$9*(1+Inputs!$B$6)/(B6051-Inputs!$B$6)/(1+B6051)^7</f>
        <v>-1625.755199</v>
      </c>
    </row>
    <row r="6052" ht="14.25" customHeight="1">
      <c r="A6052" s="7">
        <v>6039.0</v>
      </c>
      <c r="B6052" s="14">
        <f t="shared" si="1"/>
        <v>0.1324826925</v>
      </c>
      <c r="C6052" s="39">
        <f t="array" ref="C6052">NPV(B6052,FCFF!$C$9:$I$9)+FCFF!$B$9+FCFF!$I$9*(1+Inputs!$B$6)/(B6052-Inputs!$B$6)/(1+B6052)^7</f>
        <v>-2004.928077</v>
      </c>
    </row>
    <row r="6053" ht="14.25" customHeight="1">
      <c r="A6053" s="7">
        <v>6040.0</v>
      </c>
      <c r="B6053" s="14">
        <f t="shared" si="1"/>
        <v>0.1069886659</v>
      </c>
      <c r="C6053" s="39">
        <f t="array" ref="C6053">NPV(B6053,FCFF!$C$9:$I$9)+FCFF!$B$9+FCFF!$I$9*(1+Inputs!$B$6)/(B6053-Inputs!$B$6)/(1+B6053)^7</f>
        <v>-1563.393692</v>
      </c>
    </row>
    <row r="6054" ht="14.25" customHeight="1">
      <c r="A6054" s="7">
        <v>6041.0</v>
      </c>
      <c r="B6054" s="14">
        <f t="shared" si="1"/>
        <v>0.1272043218</v>
      </c>
      <c r="C6054" s="39">
        <f t="array" ref="C6054">NPV(B6054,FCFF!$C$9:$I$9)+FCFF!$B$9+FCFF!$I$9*(1+Inputs!$B$6)/(B6054-Inputs!$B$6)/(1+B6054)^7</f>
        <v>-1933.638918</v>
      </c>
    </row>
    <row r="6055" ht="14.25" customHeight="1">
      <c r="A6055" s="7">
        <v>6042.0</v>
      </c>
      <c r="B6055" s="14">
        <f t="shared" si="1"/>
        <v>0.1101894167</v>
      </c>
      <c r="C6055" s="39">
        <f t="array" ref="C6055">NPV(B6055,FCFF!$C$9:$I$9)+FCFF!$B$9+FCFF!$I$9*(1+Inputs!$B$6)/(B6055-Inputs!$B$6)/(1+B6055)^7</f>
        <v>-1635.028629</v>
      </c>
    </row>
    <row r="6056" ht="14.25" customHeight="1">
      <c r="A6056" s="7">
        <v>6043.0</v>
      </c>
      <c r="B6056" s="14">
        <f t="shared" si="1"/>
        <v>0.09476136232</v>
      </c>
      <c r="C6056" s="39">
        <f t="array" ref="C6056">NPV(B6056,FCFF!$C$9:$I$9)+FCFF!$B$9+FCFF!$I$9*(1+Inputs!$B$6)/(B6056-Inputs!$B$6)/(1+B6056)^7</f>
        <v>-1223.349206</v>
      </c>
    </row>
    <row r="6057" ht="14.25" customHeight="1">
      <c r="A6057" s="7">
        <v>6044.0</v>
      </c>
      <c r="B6057" s="14">
        <f t="shared" si="1"/>
        <v>0.1297519568</v>
      </c>
      <c r="C6057" s="39">
        <f t="array" ref="C6057">NPV(B6057,FCFF!$C$9:$I$9)+FCFF!$B$9+FCFF!$I$9*(1+Inputs!$B$6)/(B6057-Inputs!$B$6)/(1+B6057)^7</f>
        <v>-1969.068702</v>
      </c>
    </row>
    <row r="6058" ht="14.25" customHeight="1">
      <c r="A6058" s="7">
        <v>6045.0</v>
      </c>
      <c r="B6058" s="14">
        <f t="shared" si="1"/>
        <v>0.09325766076</v>
      </c>
      <c r="C6058" s="39">
        <f t="array" ref="C6058">NPV(B6058,FCFF!$C$9:$I$9)+FCFF!$B$9+FCFF!$I$9*(1+Inputs!$B$6)/(B6058-Inputs!$B$6)/(1+B6058)^7</f>
        <v>-1172.440526</v>
      </c>
    </row>
    <row r="6059" ht="14.25" customHeight="1">
      <c r="A6059" s="7">
        <v>6046.0</v>
      </c>
      <c r="B6059" s="14">
        <f t="shared" si="1"/>
        <v>0.1053013815</v>
      </c>
      <c r="C6059" s="39">
        <f t="array" ref="C6059">NPV(B6059,FCFF!$C$9:$I$9)+FCFF!$B$9+FCFF!$I$9*(1+Inputs!$B$6)/(B6059-Inputs!$B$6)/(1+B6059)^7</f>
        <v>-1523.114018</v>
      </c>
    </row>
    <row r="6060" ht="14.25" customHeight="1">
      <c r="A6060" s="7">
        <v>6047.0</v>
      </c>
      <c r="B6060" s="14">
        <f t="shared" si="1"/>
        <v>0.1307290219</v>
      </c>
      <c r="C6060" s="39">
        <f t="array" ref="C6060">NPV(B6060,FCFF!$C$9:$I$9)+FCFF!$B$9+FCFF!$I$9*(1+Inputs!$B$6)/(B6060-Inputs!$B$6)/(1+B6060)^7</f>
        <v>-1982.142336</v>
      </c>
    </row>
    <row r="6061" ht="14.25" customHeight="1">
      <c r="A6061" s="7">
        <v>6048.0</v>
      </c>
      <c r="B6061" s="14">
        <f t="shared" si="1"/>
        <v>0.108054503</v>
      </c>
      <c r="C6061" s="39">
        <f t="array" ref="C6061">NPV(B6061,FCFF!$C$9:$I$9)+FCFF!$B$9+FCFF!$I$9*(1+Inputs!$B$6)/(B6061-Inputs!$B$6)/(1+B6061)^7</f>
        <v>-1587.918984</v>
      </c>
    </row>
    <row r="6062" ht="14.25" customHeight="1">
      <c r="A6062" s="7">
        <v>6049.0</v>
      </c>
      <c r="B6062" s="14">
        <f t="shared" si="1"/>
        <v>0.1017423846</v>
      </c>
      <c r="C6062" s="39">
        <f t="array" ref="C6062">NPV(B6062,FCFF!$C$9:$I$9)+FCFF!$B$9+FCFF!$I$9*(1+Inputs!$B$6)/(B6062-Inputs!$B$6)/(1+B6062)^7</f>
        <v>-1431.817828</v>
      </c>
    </row>
    <row r="6063" ht="14.25" customHeight="1">
      <c r="A6063" s="7">
        <v>6050.0</v>
      </c>
      <c r="B6063" s="14">
        <f t="shared" si="1"/>
        <v>0.1156750461</v>
      </c>
      <c r="C6063" s="39">
        <f t="array" ref="C6063">NPV(B6063,FCFF!$C$9:$I$9)+FCFF!$B$9+FCFF!$I$9*(1+Inputs!$B$6)/(B6063-Inputs!$B$6)/(1+B6063)^7</f>
        <v>-1744.943236</v>
      </c>
    </row>
    <row r="6064" ht="14.25" customHeight="1">
      <c r="A6064" s="7">
        <v>6051.0</v>
      </c>
      <c r="B6064" s="14">
        <f t="shared" si="1"/>
        <v>0.111415215</v>
      </c>
      <c r="C6064" s="39">
        <f t="array" ref="C6064">NPV(B6064,FCFF!$C$9:$I$9)+FCFF!$B$9+FCFF!$I$9*(1+Inputs!$B$6)/(B6064-Inputs!$B$6)/(1+B6064)^7</f>
        <v>-1660.925484</v>
      </c>
    </row>
    <row r="6065" ht="14.25" customHeight="1">
      <c r="A6065" s="7">
        <v>6052.0</v>
      </c>
      <c r="B6065" s="14">
        <f t="shared" si="1"/>
        <v>0.1307486729</v>
      </c>
      <c r="C6065" s="39">
        <f t="array" ref="C6065">NPV(B6065,FCFF!$C$9:$I$9)+FCFF!$B$9+FCFF!$I$9*(1+Inputs!$B$6)/(B6065-Inputs!$B$6)/(1+B6065)^7</f>
        <v>-1982.402452</v>
      </c>
    </row>
    <row r="6066" ht="14.25" customHeight="1">
      <c r="A6066" s="7">
        <v>6053.0</v>
      </c>
      <c r="B6066" s="14">
        <f t="shared" si="1"/>
        <v>0.1250223507</v>
      </c>
      <c r="C6066" s="39">
        <f t="array" ref="C6066">NPV(B6066,FCFF!$C$9:$I$9)+FCFF!$B$9+FCFF!$I$9*(1+Inputs!$B$6)/(B6066-Inputs!$B$6)/(1+B6066)^7</f>
        <v>-1901.66313</v>
      </c>
    </row>
    <row r="6067" ht="14.25" customHeight="1">
      <c r="A6067" s="7">
        <v>6054.0</v>
      </c>
      <c r="B6067" s="14">
        <f t="shared" si="1"/>
        <v>0.1185677271</v>
      </c>
      <c r="C6067" s="39">
        <f t="array" ref="C6067">NPV(B6067,FCFF!$C$9:$I$9)+FCFF!$B$9+FCFF!$I$9*(1+Inputs!$B$6)/(B6067-Inputs!$B$6)/(1+B6067)^7</f>
        <v>-1797.18474</v>
      </c>
    </row>
    <row r="6068" ht="14.25" customHeight="1">
      <c r="A6068" s="7">
        <v>6055.0</v>
      </c>
      <c r="B6068" s="14">
        <f t="shared" si="1"/>
        <v>0.1167672292</v>
      </c>
      <c r="C6068" s="39">
        <f t="array" ref="C6068">NPV(B6068,FCFF!$C$9:$I$9)+FCFF!$B$9+FCFF!$I$9*(1+Inputs!$B$6)/(B6068-Inputs!$B$6)/(1+B6068)^7</f>
        <v>-1765.098153</v>
      </c>
    </row>
    <row r="6069" ht="14.25" customHeight="1">
      <c r="A6069" s="7">
        <v>6056.0</v>
      </c>
      <c r="B6069" s="14">
        <f t="shared" si="1"/>
        <v>0.1267620696</v>
      </c>
      <c r="C6069" s="39">
        <f t="array" ref="C6069">NPV(B6069,FCFF!$C$9:$I$9)+FCFF!$B$9+FCFF!$I$9*(1+Inputs!$B$6)/(B6069-Inputs!$B$6)/(1+B6069)^7</f>
        <v>-1927.283186</v>
      </c>
    </row>
    <row r="6070" ht="14.25" customHeight="1">
      <c r="A6070" s="7">
        <v>6057.0</v>
      </c>
      <c r="B6070" s="14">
        <f t="shared" si="1"/>
        <v>0.09712651051</v>
      </c>
      <c r="C6070" s="39">
        <f t="array" ref="C6070">NPV(B6070,FCFF!$C$9:$I$9)+FCFF!$B$9+FCFF!$I$9*(1+Inputs!$B$6)/(B6070-Inputs!$B$6)/(1+B6070)^7</f>
        <v>-1298.837823</v>
      </c>
    </row>
    <row r="6071" ht="14.25" customHeight="1">
      <c r="A6071" s="7">
        <v>6058.0</v>
      </c>
      <c r="B6071" s="14">
        <f t="shared" si="1"/>
        <v>0.1317569723</v>
      </c>
      <c r="C6071" s="39">
        <f t="array" ref="C6071">NPV(B6071,FCFF!$C$9:$I$9)+FCFF!$B$9+FCFF!$I$9*(1+Inputs!$B$6)/(B6071-Inputs!$B$6)/(1+B6071)^7</f>
        <v>-1995.602453</v>
      </c>
    </row>
    <row r="6072" ht="14.25" customHeight="1">
      <c r="A6072" s="7">
        <v>6059.0</v>
      </c>
      <c r="B6072" s="14">
        <f t="shared" si="1"/>
        <v>0.09306432102</v>
      </c>
      <c r="C6072" s="39">
        <f t="array" ref="C6072">NPV(B6072,FCFF!$C$9:$I$9)+FCFF!$B$9+FCFF!$I$9*(1+Inputs!$B$6)/(B6072-Inputs!$B$6)/(1+B6072)^7</f>
        <v>-1165.720602</v>
      </c>
    </row>
    <row r="6073" ht="14.25" customHeight="1">
      <c r="A6073" s="7">
        <v>6060.0</v>
      </c>
      <c r="B6073" s="14">
        <f t="shared" si="1"/>
        <v>0.1115271188</v>
      </c>
      <c r="C6073" s="39">
        <f t="array" ref="C6073">NPV(B6073,FCFF!$C$9:$I$9)+FCFF!$B$9+FCFF!$I$9*(1+Inputs!$B$6)/(B6073-Inputs!$B$6)/(1+B6073)^7</f>
        <v>-1663.249465</v>
      </c>
    </row>
    <row r="6074" ht="14.25" customHeight="1">
      <c r="A6074" s="7">
        <v>6061.0</v>
      </c>
      <c r="B6074" s="14">
        <f t="shared" si="1"/>
        <v>0.1061125776</v>
      </c>
      <c r="C6074" s="39">
        <f t="array" ref="C6074">NPV(B6074,FCFF!$C$9:$I$9)+FCFF!$B$9+FCFF!$I$9*(1+Inputs!$B$6)/(B6074-Inputs!$B$6)/(1+B6074)^7</f>
        <v>-1542.70723</v>
      </c>
    </row>
    <row r="6075" ht="14.25" customHeight="1">
      <c r="A6075" s="7">
        <v>6062.0</v>
      </c>
      <c r="B6075" s="14">
        <f t="shared" si="1"/>
        <v>0.1002175879</v>
      </c>
      <c r="C6075" s="39">
        <f t="array" ref="C6075">NPV(B6075,FCFF!$C$9:$I$9)+FCFF!$B$9+FCFF!$I$9*(1+Inputs!$B$6)/(B6075-Inputs!$B$6)/(1+B6075)^7</f>
        <v>-1389.834112</v>
      </c>
    </row>
    <row r="6076" ht="14.25" customHeight="1">
      <c r="A6076" s="7">
        <v>6063.0</v>
      </c>
      <c r="B6076" s="14">
        <f t="shared" si="1"/>
        <v>0.1047098925</v>
      </c>
      <c r="C6076" s="39">
        <f t="array" ref="C6076">NPV(B6076,FCFF!$C$9:$I$9)+FCFF!$B$9+FCFF!$I$9*(1+Inputs!$B$6)/(B6076-Inputs!$B$6)/(1+B6076)^7</f>
        <v>-1508.553683</v>
      </c>
    </row>
    <row r="6077" ht="14.25" customHeight="1">
      <c r="A6077" s="7">
        <v>6064.0</v>
      </c>
      <c r="B6077" s="14">
        <f t="shared" si="1"/>
        <v>0.1306136133</v>
      </c>
      <c r="C6077" s="39">
        <f t="array" ref="C6077">NPV(B6077,FCFF!$C$9:$I$9)+FCFF!$B$9+FCFF!$I$9*(1+Inputs!$B$6)/(B6077-Inputs!$B$6)/(1+B6077)^7</f>
        <v>-1980.612471</v>
      </c>
    </row>
    <row r="6078" ht="14.25" customHeight="1">
      <c r="A6078" s="7">
        <v>6065.0</v>
      </c>
      <c r="B6078" s="14">
        <f t="shared" si="1"/>
        <v>0.1122911756</v>
      </c>
      <c r="C6078" s="39">
        <f t="array" ref="C6078">NPV(B6078,FCFF!$C$9:$I$9)+FCFF!$B$9+FCFF!$I$9*(1+Inputs!$B$6)/(B6078-Inputs!$B$6)/(1+B6078)^7</f>
        <v>-1678.941994</v>
      </c>
    </row>
    <row r="6079" ht="14.25" customHeight="1">
      <c r="A6079" s="7">
        <v>6066.0</v>
      </c>
      <c r="B6079" s="14">
        <f t="shared" si="1"/>
        <v>0.1209812405</v>
      </c>
      <c r="C6079" s="39">
        <f t="array" ref="C6079">NPV(B6079,FCFF!$C$9:$I$9)+FCFF!$B$9+FCFF!$I$9*(1+Inputs!$B$6)/(B6079-Inputs!$B$6)/(1+B6079)^7</f>
        <v>-1838.095914</v>
      </c>
    </row>
    <row r="6080" ht="14.25" customHeight="1">
      <c r="A6080" s="7">
        <v>6067.0</v>
      </c>
      <c r="B6080" s="14">
        <f t="shared" si="1"/>
        <v>0.122556136</v>
      </c>
      <c r="C6080" s="39">
        <f t="array" ref="C6080">NPV(B6080,FCFF!$C$9:$I$9)+FCFF!$B$9+FCFF!$I$9*(1+Inputs!$B$6)/(B6080-Inputs!$B$6)/(1+B6080)^7</f>
        <v>-1863.573199</v>
      </c>
    </row>
    <row r="6081" ht="14.25" customHeight="1">
      <c r="A6081" s="7">
        <v>6068.0</v>
      </c>
      <c r="B6081" s="14">
        <f t="shared" si="1"/>
        <v>0.1024160089</v>
      </c>
      <c r="C6081" s="39">
        <f t="array" ref="C6081">NPV(B6081,FCFF!$C$9:$I$9)+FCFF!$B$9+FCFF!$I$9*(1+Inputs!$B$6)/(B6081-Inputs!$B$6)/(1+B6081)^7</f>
        <v>-1449.79657</v>
      </c>
    </row>
    <row r="6082" ht="14.25" customHeight="1">
      <c r="A6082" s="7">
        <v>6069.0</v>
      </c>
      <c r="B6082" s="14">
        <f t="shared" si="1"/>
        <v>0.1273751714</v>
      </c>
      <c r="C6082" s="39">
        <f t="array" ref="C6082">NPV(B6082,FCFF!$C$9:$I$9)+FCFF!$B$9+FCFF!$I$9*(1+Inputs!$B$6)/(B6082-Inputs!$B$6)/(1+B6082)^7</f>
        <v>-1936.077592</v>
      </c>
    </row>
    <row r="6083" ht="14.25" customHeight="1">
      <c r="A6083" s="7">
        <v>6070.0</v>
      </c>
      <c r="B6083" s="14">
        <f t="shared" si="1"/>
        <v>0.1135968278</v>
      </c>
      <c r="C6083" s="39">
        <f t="array" ref="C6083">NPV(B6083,FCFF!$C$9:$I$9)+FCFF!$B$9+FCFF!$I$9*(1+Inputs!$B$6)/(B6083-Inputs!$B$6)/(1+B6083)^7</f>
        <v>-1705.068511</v>
      </c>
    </row>
    <row r="6084" ht="14.25" customHeight="1">
      <c r="A6084" s="7">
        <v>6071.0</v>
      </c>
      <c r="B6084" s="14">
        <f t="shared" si="1"/>
        <v>0.09829851387</v>
      </c>
      <c r="C6084" s="39">
        <f t="array" ref="C6084">NPV(B6084,FCFF!$C$9:$I$9)+FCFF!$B$9+FCFF!$I$9*(1+Inputs!$B$6)/(B6084-Inputs!$B$6)/(1+B6084)^7</f>
        <v>-1334.311691</v>
      </c>
    </row>
    <row r="6085" ht="14.25" customHeight="1">
      <c r="A6085" s="7">
        <v>6072.0</v>
      </c>
      <c r="B6085" s="14">
        <f t="shared" si="1"/>
        <v>0.1169426007</v>
      </c>
      <c r="C6085" s="39">
        <f t="array" ref="C6085">NPV(B6085,FCFF!$C$9:$I$9)+FCFF!$B$9+FCFF!$I$9*(1+Inputs!$B$6)/(B6085-Inputs!$B$6)/(1+B6085)^7</f>
        <v>-1768.284917</v>
      </c>
    </row>
    <row r="6086" ht="14.25" customHeight="1">
      <c r="A6086" s="7">
        <v>6073.0</v>
      </c>
      <c r="B6086" s="14">
        <f t="shared" si="1"/>
        <v>0.1051266863</v>
      </c>
      <c r="C6086" s="39">
        <f t="array" ref="C6086">NPV(B6086,FCFF!$C$9:$I$9)+FCFF!$B$9+FCFF!$I$9*(1+Inputs!$B$6)/(B6086-Inputs!$B$6)/(1+B6086)^7</f>
        <v>-1518.837979</v>
      </c>
    </row>
    <row r="6087" ht="14.25" customHeight="1">
      <c r="A6087" s="7">
        <v>6074.0</v>
      </c>
      <c r="B6087" s="14">
        <f t="shared" si="1"/>
        <v>0.1119301529</v>
      </c>
      <c r="C6087" s="39">
        <f t="array" ref="C6087">NPV(B6087,FCFF!$C$9:$I$9)+FCFF!$B$9+FCFF!$I$9*(1+Inputs!$B$6)/(B6087-Inputs!$B$6)/(1+B6087)^7</f>
        <v>-1671.565003</v>
      </c>
    </row>
    <row r="6088" ht="14.25" customHeight="1">
      <c r="A6088" s="7">
        <v>6075.0</v>
      </c>
      <c r="B6088" s="14">
        <f t="shared" si="1"/>
        <v>0.1081102395</v>
      </c>
      <c r="C6088" s="39">
        <f t="array" ref="C6088">NPV(B6088,FCFF!$C$9:$I$9)+FCFF!$B$9+FCFF!$I$9*(1+Inputs!$B$6)/(B6088-Inputs!$B$6)/(1+B6088)^7</f>
        <v>-1589.182597</v>
      </c>
    </row>
    <row r="6089" ht="14.25" customHeight="1">
      <c r="A6089" s="7">
        <v>6076.0</v>
      </c>
      <c r="B6089" s="14">
        <f t="shared" si="1"/>
        <v>0.09919900028</v>
      </c>
      <c r="C6089" s="39">
        <f t="array" ref="C6089">NPV(B6089,FCFF!$C$9:$I$9)+FCFF!$B$9+FCFF!$I$9*(1+Inputs!$B$6)/(B6089-Inputs!$B$6)/(1+B6089)^7</f>
        <v>-1360.749662</v>
      </c>
    </row>
    <row r="6090" ht="14.25" customHeight="1">
      <c r="A6090" s="7">
        <v>6077.0</v>
      </c>
      <c r="B6090" s="14">
        <f t="shared" si="1"/>
        <v>0.1158321271</v>
      </c>
      <c r="C6090" s="39">
        <f t="array" ref="C6090">NPV(B6090,FCFF!$C$9:$I$9)+FCFF!$B$9+FCFF!$I$9*(1+Inputs!$B$6)/(B6090-Inputs!$B$6)/(1+B6090)^7</f>
        <v>-1747.875095</v>
      </c>
    </row>
    <row r="6091" ht="14.25" customHeight="1">
      <c r="A6091" s="7">
        <v>6078.0</v>
      </c>
      <c r="B6091" s="14">
        <f t="shared" si="1"/>
        <v>0.1176117412</v>
      </c>
      <c r="C6091" s="39">
        <f t="array" ref="C6091">NPV(B6091,FCFF!$C$9:$I$9)+FCFF!$B$9+FCFF!$I$9*(1+Inputs!$B$6)/(B6091-Inputs!$B$6)/(1+B6091)^7</f>
        <v>-1780.321028</v>
      </c>
    </row>
    <row r="6092" ht="14.25" customHeight="1">
      <c r="A6092" s="7">
        <v>6079.0</v>
      </c>
      <c r="B6092" s="14">
        <f t="shared" si="1"/>
        <v>0.1285697263</v>
      </c>
      <c r="C6092" s="39">
        <f t="array" ref="C6092">NPV(B6092,FCFF!$C$9:$I$9)+FCFF!$B$9+FCFF!$I$9*(1+Inputs!$B$6)/(B6092-Inputs!$B$6)/(1+B6092)^7</f>
        <v>-1952.873732</v>
      </c>
    </row>
    <row r="6093" ht="14.25" customHeight="1">
      <c r="A6093" s="7">
        <v>6080.0</v>
      </c>
      <c r="B6093" s="14">
        <f t="shared" si="1"/>
        <v>0.09335367016</v>
      </c>
      <c r="C6093" s="39">
        <f t="array" ref="C6093">NPV(B6093,FCFF!$C$9:$I$9)+FCFF!$B$9+FCFF!$I$9*(1+Inputs!$B$6)/(B6093-Inputs!$B$6)/(1+B6093)^7</f>
        <v>-1175.762468</v>
      </c>
    </row>
    <row r="6094" ht="14.25" customHeight="1">
      <c r="A6094" s="7">
        <v>6081.0</v>
      </c>
      <c r="B6094" s="14">
        <f t="shared" si="1"/>
        <v>0.1049433569</v>
      </c>
      <c r="C6094" s="39">
        <f t="array" ref="C6094">NPV(B6094,FCFF!$C$9:$I$9)+FCFF!$B$9+FCFF!$I$9*(1+Inputs!$B$6)/(B6094-Inputs!$B$6)/(1+B6094)^7</f>
        <v>-1514.328733</v>
      </c>
    </row>
    <row r="6095" ht="14.25" customHeight="1">
      <c r="A6095" s="7">
        <v>6082.0</v>
      </c>
      <c r="B6095" s="14">
        <f t="shared" si="1"/>
        <v>0.1162619462</v>
      </c>
      <c r="C6095" s="39">
        <f t="array" ref="C6095">NPV(B6095,FCFF!$C$9:$I$9)+FCFF!$B$9+FCFF!$I$9*(1+Inputs!$B$6)/(B6095-Inputs!$B$6)/(1+B6095)^7</f>
        <v>-1755.840311</v>
      </c>
    </row>
    <row r="6096" ht="14.25" customHeight="1">
      <c r="A6096" s="7">
        <v>6083.0</v>
      </c>
      <c r="B6096" s="14">
        <f t="shared" si="1"/>
        <v>0.09406681482</v>
      </c>
      <c r="C6096" s="39">
        <f t="array" ref="C6096">NPV(B6096,FCFF!$C$9:$I$9)+FCFF!$B$9+FCFF!$I$9*(1+Inputs!$B$6)/(B6096-Inputs!$B$6)/(1+B6096)^7</f>
        <v>-1200.129075</v>
      </c>
    </row>
    <row r="6097" ht="14.25" customHeight="1">
      <c r="A6097" s="7">
        <v>6084.0</v>
      </c>
      <c r="B6097" s="14">
        <f t="shared" si="1"/>
        <v>0.1278185602</v>
      </c>
      <c r="C6097" s="39">
        <f t="array" ref="C6097">NPV(B6097,FCFF!$C$9:$I$9)+FCFF!$B$9+FCFF!$I$9*(1+Inputs!$B$6)/(B6097-Inputs!$B$6)/(1+B6097)^7</f>
        <v>-1942.36359</v>
      </c>
    </row>
    <row r="6098" ht="14.25" customHeight="1">
      <c r="A6098" s="7">
        <v>6085.0</v>
      </c>
      <c r="B6098" s="14">
        <f t="shared" si="1"/>
        <v>0.1104809622</v>
      </c>
      <c r="C6098" s="39">
        <f t="array" ref="C6098">NPV(B6098,FCFF!$C$9:$I$9)+FCFF!$B$9+FCFF!$I$9*(1+Inputs!$B$6)/(B6098-Inputs!$B$6)/(1+B6098)^7</f>
        <v>-1641.261946</v>
      </c>
    </row>
    <row r="6099" ht="14.25" customHeight="1">
      <c r="A6099" s="7">
        <v>6086.0</v>
      </c>
      <c r="B6099" s="14">
        <f t="shared" si="1"/>
        <v>0.09469280547</v>
      </c>
      <c r="C6099" s="39">
        <f t="array" ref="C6099">NPV(B6099,FCFF!$C$9:$I$9)+FCFF!$B$9+FCFF!$I$9*(1+Inputs!$B$6)/(B6099-Inputs!$B$6)/(1+B6099)^7</f>
        <v>-1221.079209</v>
      </c>
    </row>
    <row r="6100" ht="14.25" customHeight="1">
      <c r="A6100" s="7">
        <v>6087.0</v>
      </c>
      <c r="B6100" s="14">
        <f t="shared" si="1"/>
        <v>0.117256361</v>
      </c>
      <c r="C6100" s="39">
        <f t="array" ref="C6100">NPV(B6100,FCFF!$C$9:$I$9)+FCFF!$B$9+FCFF!$I$9*(1+Inputs!$B$6)/(B6100-Inputs!$B$6)/(1+B6100)^7</f>
        <v>-1773.952827</v>
      </c>
    </row>
    <row r="6101" ht="14.25" customHeight="1">
      <c r="A6101" s="7">
        <v>6088.0</v>
      </c>
      <c r="B6101" s="14">
        <f t="shared" si="1"/>
        <v>0.1215732245</v>
      </c>
      <c r="C6101" s="39">
        <f t="array" ref="C6101">NPV(B6101,FCFF!$C$9:$I$9)+FCFF!$B$9+FCFF!$I$9*(1+Inputs!$B$6)/(B6101-Inputs!$B$6)/(1+B6101)^7</f>
        <v>-1847.781817</v>
      </c>
    </row>
    <row r="6102" ht="14.25" customHeight="1">
      <c r="A6102" s="7">
        <v>6089.0</v>
      </c>
      <c r="B6102" s="14">
        <f t="shared" si="1"/>
        <v>0.1143033681</v>
      </c>
      <c r="C6102" s="39">
        <f t="array" ref="C6102">NPV(B6102,FCFF!$C$9:$I$9)+FCFF!$B$9+FCFF!$I$9*(1+Inputs!$B$6)/(B6102-Inputs!$B$6)/(1+B6102)^7</f>
        <v>-1718.855292</v>
      </c>
    </row>
    <row r="6103" ht="14.25" customHeight="1">
      <c r="A6103" s="7">
        <v>6090.0</v>
      </c>
      <c r="B6103" s="14">
        <f t="shared" si="1"/>
        <v>0.1106064323</v>
      </c>
      <c r="C6103" s="39">
        <f t="array" ref="C6103">NPV(B6103,FCFF!$C$9:$I$9)+FCFF!$B$9+FCFF!$I$9*(1+Inputs!$B$6)/(B6103-Inputs!$B$6)/(1+B6103)^7</f>
        <v>-1643.930182</v>
      </c>
    </row>
    <row r="6104" ht="14.25" customHeight="1">
      <c r="A6104" s="7">
        <v>6091.0</v>
      </c>
      <c r="B6104" s="14">
        <f t="shared" si="1"/>
        <v>0.1327606179</v>
      </c>
      <c r="C6104" s="39">
        <f t="array" ref="C6104">NPV(B6104,FCFF!$C$9:$I$9)+FCFF!$B$9+FCFF!$I$9*(1+Inputs!$B$6)/(B6104-Inputs!$B$6)/(1+B6104)^7</f>
        <v>-2008.461408</v>
      </c>
    </row>
    <row r="6105" ht="14.25" customHeight="1">
      <c r="A6105" s="7">
        <v>6092.0</v>
      </c>
      <c r="B6105" s="14">
        <f t="shared" si="1"/>
        <v>0.1085060973</v>
      </c>
      <c r="C6105" s="39">
        <f t="array" ref="C6105">NPV(B6105,FCFF!$C$9:$I$9)+FCFF!$B$9+FCFF!$I$9*(1+Inputs!$B$6)/(B6105-Inputs!$B$6)/(1+B6105)^7</f>
        <v>-1598.104085</v>
      </c>
    </row>
    <row r="6106" ht="14.25" customHeight="1">
      <c r="A6106" s="7">
        <v>6093.0</v>
      </c>
      <c r="B6106" s="14">
        <f t="shared" si="1"/>
        <v>0.1291033827</v>
      </c>
      <c r="C6106" s="39">
        <f t="array" ref="C6106">NPV(B6106,FCFF!$C$9:$I$9)+FCFF!$B$9+FCFF!$I$9*(1+Inputs!$B$6)/(B6106-Inputs!$B$6)/(1+B6106)^7</f>
        <v>-1960.235919</v>
      </c>
    </row>
    <row r="6107" ht="14.25" customHeight="1">
      <c r="A6107" s="7">
        <v>6094.0</v>
      </c>
      <c r="B6107" s="14">
        <f t="shared" si="1"/>
        <v>0.09588001467</v>
      </c>
      <c r="C6107" s="39">
        <f t="array" ref="C6107">NPV(B6107,FCFF!$C$9:$I$9)+FCFF!$B$9+FCFF!$I$9*(1+Inputs!$B$6)/(B6107-Inputs!$B$6)/(1+B6107)^7</f>
        <v>-1259.725911</v>
      </c>
    </row>
    <row r="6108" ht="14.25" customHeight="1">
      <c r="A6108" s="7">
        <v>6095.0</v>
      </c>
      <c r="B6108" s="14">
        <f t="shared" si="1"/>
        <v>0.1092046312</v>
      </c>
      <c r="C6108" s="39">
        <f t="array" ref="C6108">NPV(B6108,FCFF!$C$9:$I$9)+FCFF!$B$9+FCFF!$I$9*(1+Inputs!$B$6)/(B6108-Inputs!$B$6)/(1+B6108)^7</f>
        <v>-1613.623217</v>
      </c>
    </row>
    <row r="6109" ht="14.25" customHeight="1">
      <c r="A6109" s="7">
        <v>6096.0</v>
      </c>
      <c r="B6109" s="14">
        <f t="shared" si="1"/>
        <v>0.1092419186</v>
      </c>
      <c r="C6109" s="39">
        <f t="array" ref="C6109">NPV(B6109,FCFF!$C$9:$I$9)+FCFF!$B$9+FCFF!$I$9*(1+Inputs!$B$6)/(B6109-Inputs!$B$6)/(1+B6109)^7</f>
        <v>-1614.443696</v>
      </c>
    </row>
    <row r="6110" ht="14.25" customHeight="1">
      <c r="A6110" s="7">
        <v>6097.0</v>
      </c>
      <c r="B6110" s="14">
        <f t="shared" si="1"/>
        <v>0.1160015481</v>
      </c>
      <c r="C6110" s="39">
        <f t="array" ref="C6110">NPV(B6110,FCFF!$C$9:$I$9)+FCFF!$B$9+FCFF!$I$9*(1+Inputs!$B$6)/(B6110-Inputs!$B$6)/(1+B6110)^7</f>
        <v>-1751.024695</v>
      </c>
    </row>
    <row r="6111" ht="14.25" customHeight="1">
      <c r="A6111" s="7">
        <v>6098.0</v>
      </c>
      <c r="B6111" s="14">
        <f t="shared" si="1"/>
        <v>0.1203478411</v>
      </c>
      <c r="C6111" s="39">
        <f t="array" ref="C6111">NPV(B6111,FCFF!$C$9:$I$9)+FCFF!$B$9+FCFF!$I$9*(1+Inputs!$B$6)/(B6111-Inputs!$B$6)/(1+B6111)^7</f>
        <v>-1827.583138</v>
      </c>
    </row>
    <row r="6112" ht="14.25" customHeight="1">
      <c r="A6112" s="7">
        <v>6099.0</v>
      </c>
      <c r="B6112" s="14">
        <f t="shared" si="1"/>
        <v>0.1258016873</v>
      </c>
      <c r="C6112" s="39">
        <f t="array" ref="C6112">NPV(B6112,FCFF!$C$9:$I$9)+FCFF!$B$9+FCFF!$I$9*(1+Inputs!$B$6)/(B6112-Inputs!$B$6)/(1+B6112)^7</f>
        <v>-1913.263664</v>
      </c>
    </row>
    <row r="6113" ht="14.25" customHeight="1">
      <c r="A6113" s="7">
        <v>6100.0</v>
      </c>
      <c r="B6113" s="14">
        <f t="shared" si="1"/>
        <v>0.1088696206</v>
      </c>
      <c r="C6113" s="39">
        <f t="array" ref="C6113">NPV(B6113,FCFF!$C$9:$I$9)+FCFF!$B$9+FCFF!$I$9*(1+Inputs!$B$6)/(B6113-Inputs!$B$6)/(1+B6113)^7</f>
        <v>-1606.215704</v>
      </c>
    </row>
    <row r="6114" ht="14.25" customHeight="1">
      <c r="A6114" s="7">
        <v>6101.0</v>
      </c>
      <c r="B6114" s="14">
        <f t="shared" si="1"/>
        <v>0.1268634969</v>
      </c>
      <c r="C6114" s="39">
        <f t="array" ref="C6114">NPV(B6114,FCFF!$C$9:$I$9)+FCFF!$B$9+FCFF!$I$9*(1+Inputs!$B$6)/(B6114-Inputs!$B$6)/(1+B6114)^7</f>
        <v>-1928.746351</v>
      </c>
    </row>
    <row r="6115" ht="14.25" customHeight="1">
      <c r="A6115" s="7">
        <v>6102.0</v>
      </c>
      <c r="B6115" s="14">
        <f t="shared" si="1"/>
        <v>0.1050610468</v>
      </c>
      <c r="C6115" s="39">
        <f t="array" ref="C6115">NPV(B6115,FCFF!$C$9:$I$9)+FCFF!$B$9+FCFF!$I$9*(1+Inputs!$B$6)/(B6115-Inputs!$B$6)/(1+B6115)^7</f>
        <v>-1517.226063</v>
      </c>
    </row>
    <row r="6116" ht="14.25" customHeight="1">
      <c r="A6116" s="7">
        <v>6103.0</v>
      </c>
      <c r="B6116" s="14">
        <f t="shared" si="1"/>
        <v>0.1070886793</v>
      </c>
      <c r="C6116" s="39">
        <f t="array" ref="C6116">NPV(B6116,FCFF!$C$9:$I$9)+FCFF!$B$9+FCFF!$I$9*(1+Inputs!$B$6)/(B6116-Inputs!$B$6)/(1+B6116)^7</f>
        <v>-1565.724618</v>
      </c>
    </row>
    <row r="6117" ht="14.25" customHeight="1">
      <c r="A6117" s="7">
        <v>6104.0</v>
      </c>
      <c r="B6117" s="14">
        <f t="shared" si="1"/>
        <v>0.1241802927</v>
      </c>
      <c r="C6117" s="39">
        <f t="array" ref="C6117">NPV(B6117,FCFF!$C$9:$I$9)+FCFF!$B$9+FCFF!$I$9*(1+Inputs!$B$6)/(B6117-Inputs!$B$6)/(1+B6117)^7</f>
        <v>-1888.897525</v>
      </c>
    </row>
    <row r="6118" ht="14.25" customHeight="1">
      <c r="A6118" s="7">
        <v>6105.0</v>
      </c>
      <c r="B6118" s="14">
        <f t="shared" si="1"/>
        <v>0.1109763295</v>
      </c>
      <c r="C6118" s="39">
        <f t="array" ref="C6118">NPV(B6118,FCFF!$C$9:$I$9)+FCFF!$B$9+FCFF!$I$9*(1+Inputs!$B$6)/(B6118-Inputs!$B$6)/(1+B6118)^7</f>
        <v>-1651.746609</v>
      </c>
    </row>
    <row r="6119" ht="14.25" customHeight="1">
      <c r="A6119" s="7">
        <v>6106.0</v>
      </c>
      <c r="B6119" s="14">
        <f t="shared" si="1"/>
        <v>0.1323261235</v>
      </c>
      <c r="C6119" s="39">
        <f t="array" ref="C6119">NPV(B6119,FCFF!$C$9:$I$9)+FCFF!$B$9+FCFF!$I$9*(1+Inputs!$B$6)/(B6119-Inputs!$B$6)/(1+B6119)^7</f>
        <v>-2002.928348</v>
      </c>
    </row>
    <row r="6120" ht="14.25" customHeight="1">
      <c r="A6120" s="7">
        <v>6107.0</v>
      </c>
      <c r="B6120" s="14">
        <f t="shared" si="1"/>
        <v>0.09304404048</v>
      </c>
      <c r="C6120" s="39">
        <f t="array" ref="C6120">NPV(B6120,FCFF!$C$9:$I$9)+FCFF!$B$9+FCFF!$I$9*(1+Inputs!$B$6)/(B6120-Inputs!$B$6)/(1+B6120)^7</f>
        <v>-1165.01335</v>
      </c>
    </row>
    <row r="6121" ht="14.25" customHeight="1">
      <c r="A6121" s="7">
        <v>6108.0</v>
      </c>
      <c r="B6121" s="14">
        <f t="shared" si="1"/>
        <v>0.1054701575</v>
      </c>
      <c r="C6121" s="39">
        <f t="array" ref="C6121">NPV(B6121,FCFF!$C$9:$I$9)+FCFF!$B$9+FCFF!$I$9*(1+Inputs!$B$6)/(B6121-Inputs!$B$6)/(1+B6121)^7</f>
        <v>-1527.225987</v>
      </c>
    </row>
    <row r="6122" ht="14.25" customHeight="1">
      <c r="A6122" s="7">
        <v>6109.0</v>
      </c>
      <c r="B6122" s="14">
        <f t="shared" si="1"/>
        <v>0.117476826</v>
      </c>
      <c r="C6122" s="39">
        <f t="array" ref="C6122">NPV(B6122,FCFF!$C$9:$I$9)+FCFF!$B$9+FCFF!$I$9*(1+Inputs!$B$6)/(B6122-Inputs!$B$6)/(1+B6122)^7</f>
        <v>-1777.909839</v>
      </c>
    </row>
    <row r="6123" ht="14.25" customHeight="1">
      <c r="A6123" s="7">
        <v>6110.0</v>
      </c>
      <c r="B6123" s="14">
        <f t="shared" si="1"/>
        <v>0.1143935135</v>
      </c>
      <c r="C6123" s="39">
        <f t="array" ref="C6123">NPV(B6123,FCFF!$C$9:$I$9)+FCFF!$B$9+FCFF!$I$9*(1+Inputs!$B$6)/(B6123-Inputs!$B$6)/(1+B6123)^7</f>
        <v>-1720.596984</v>
      </c>
    </row>
    <row r="6124" ht="14.25" customHeight="1">
      <c r="A6124" s="7">
        <v>6111.0</v>
      </c>
      <c r="B6124" s="14">
        <f t="shared" si="1"/>
        <v>0.1117037372</v>
      </c>
      <c r="C6124" s="39">
        <f t="array" ref="C6124">NPV(B6124,FCFF!$C$9:$I$9)+FCFF!$B$9+FCFF!$I$9*(1+Inputs!$B$6)/(B6124-Inputs!$B$6)/(1+B6124)^7</f>
        <v>-1666.90399</v>
      </c>
    </row>
    <row r="6125" ht="14.25" customHeight="1">
      <c r="A6125" s="7">
        <v>6112.0</v>
      </c>
      <c r="B6125" s="14">
        <f t="shared" si="1"/>
        <v>0.0956587992</v>
      </c>
      <c r="C6125" s="39">
        <f t="array" ref="C6125">NPV(B6125,FCFF!$C$9:$I$9)+FCFF!$B$9+FCFF!$I$9*(1+Inputs!$B$6)/(B6125-Inputs!$B$6)/(1+B6125)^7</f>
        <v>-1252.630121</v>
      </c>
    </row>
    <row r="6126" ht="14.25" customHeight="1">
      <c r="A6126" s="7">
        <v>6113.0</v>
      </c>
      <c r="B6126" s="14">
        <f t="shared" si="1"/>
        <v>0.1229321323</v>
      </c>
      <c r="C6126" s="39">
        <f t="array" ref="C6126">NPV(B6126,FCFF!$C$9:$I$9)+FCFF!$B$9+FCFF!$I$9*(1+Inputs!$B$6)/(B6126-Inputs!$B$6)/(1+B6126)^7</f>
        <v>-1869.519897</v>
      </c>
    </row>
    <row r="6127" ht="14.25" customHeight="1">
      <c r="A6127" s="7">
        <v>6114.0</v>
      </c>
      <c r="B6127" s="14">
        <f t="shared" si="1"/>
        <v>0.09348795725</v>
      </c>
      <c r="C6127" s="39">
        <f t="array" ref="C6127">NPV(B6127,FCFF!$C$9:$I$9)+FCFF!$B$9+FCFF!$I$9*(1+Inputs!$B$6)/(B6127-Inputs!$B$6)/(1+B6127)^7</f>
        <v>-1180.392159</v>
      </c>
    </row>
    <row r="6128" ht="14.25" customHeight="1">
      <c r="A6128" s="7">
        <v>6115.0</v>
      </c>
      <c r="B6128" s="14">
        <f t="shared" si="1"/>
        <v>0.09752360721</v>
      </c>
      <c r="C6128" s="39">
        <f t="array" ref="C6128">NPV(B6128,FCFF!$C$9:$I$9)+FCFF!$B$9+FCFF!$I$9*(1+Inputs!$B$6)/(B6128-Inputs!$B$6)/(1+B6128)^7</f>
        <v>-1310.995004</v>
      </c>
    </row>
    <row r="6129" ht="14.25" customHeight="1">
      <c r="A6129" s="7">
        <v>6116.0</v>
      </c>
      <c r="B6129" s="14">
        <f t="shared" si="1"/>
        <v>0.1034182021</v>
      </c>
      <c r="C6129" s="39">
        <f t="array" ref="C6129">NPV(B6129,FCFF!$C$9:$I$9)+FCFF!$B$9+FCFF!$I$9*(1+Inputs!$B$6)/(B6129-Inputs!$B$6)/(1+B6129)^7</f>
        <v>-1475.9262</v>
      </c>
    </row>
    <row r="6130" ht="14.25" customHeight="1">
      <c r="A6130" s="7">
        <v>6117.0</v>
      </c>
      <c r="B6130" s="14">
        <f t="shared" si="1"/>
        <v>0.09773137009</v>
      </c>
      <c r="C6130" s="39">
        <f t="array" ref="C6130">NPV(B6130,FCFF!$C$9:$I$9)+FCFF!$B$9+FCFF!$I$9*(1+Inputs!$B$6)/(B6130-Inputs!$B$6)/(1+B6130)^7</f>
        <v>-1317.298909</v>
      </c>
    </row>
    <row r="6131" ht="14.25" customHeight="1">
      <c r="A6131" s="7">
        <v>6118.0</v>
      </c>
      <c r="B6131" s="14">
        <f t="shared" si="1"/>
        <v>0.1329425392</v>
      </c>
      <c r="C6131" s="39">
        <f t="array" ref="C6131">NPV(B6131,FCFF!$C$9:$I$9)+FCFF!$B$9+FCFF!$I$9*(1+Inputs!$B$6)/(B6131-Inputs!$B$6)/(1+B6131)^7</f>
        <v>-2010.762932</v>
      </c>
    </row>
    <row r="6132" ht="14.25" customHeight="1">
      <c r="A6132" s="7">
        <v>6119.0</v>
      </c>
      <c r="B6132" s="14">
        <f t="shared" si="1"/>
        <v>0.1011191457</v>
      </c>
      <c r="C6132" s="39">
        <f t="array" ref="C6132">NPV(B6132,FCFF!$C$9:$I$9)+FCFF!$B$9+FCFF!$I$9*(1+Inputs!$B$6)/(B6132-Inputs!$B$6)/(1+B6132)^7</f>
        <v>-1414.877119</v>
      </c>
    </row>
    <row r="6133" ht="14.25" customHeight="1">
      <c r="A6133" s="7">
        <v>6120.0</v>
      </c>
      <c r="B6133" s="14">
        <f t="shared" si="1"/>
        <v>0.09720347309</v>
      </c>
      <c r="C6133" s="39">
        <f t="array" ref="C6133">NPV(B6133,FCFF!$C$9:$I$9)+FCFF!$B$9+FCFF!$I$9*(1+Inputs!$B$6)/(B6133-Inputs!$B$6)/(1+B6133)^7</f>
        <v>-1301.205261</v>
      </c>
    </row>
    <row r="6134" ht="14.25" customHeight="1">
      <c r="A6134" s="7">
        <v>6121.0</v>
      </c>
      <c r="B6134" s="14">
        <f t="shared" si="1"/>
        <v>0.115454422</v>
      </c>
      <c r="C6134" s="39">
        <f t="array" ref="C6134">NPV(B6134,FCFF!$C$9:$I$9)+FCFF!$B$9+FCFF!$I$9*(1+Inputs!$B$6)/(B6134-Inputs!$B$6)/(1+B6134)^7</f>
        <v>-1740.8063</v>
      </c>
    </row>
    <row r="6135" ht="14.25" customHeight="1">
      <c r="A6135" s="7">
        <v>6122.0</v>
      </c>
      <c r="B6135" s="14">
        <f t="shared" si="1"/>
        <v>0.1025187168</v>
      </c>
      <c r="C6135" s="39">
        <f t="array" ref="C6135">NPV(B6135,FCFF!$C$9:$I$9)+FCFF!$B$9+FCFF!$I$9*(1+Inputs!$B$6)/(B6135-Inputs!$B$6)/(1+B6135)^7</f>
        <v>-1452.508092</v>
      </c>
    </row>
    <row r="6136" ht="14.25" customHeight="1">
      <c r="A6136" s="7">
        <v>6123.0</v>
      </c>
      <c r="B6136" s="14">
        <f t="shared" si="1"/>
        <v>0.1046466556</v>
      </c>
      <c r="C6136" s="39">
        <f t="array" ref="C6136">NPV(B6136,FCFF!$C$9:$I$9)+FCFF!$B$9+FCFF!$I$9*(1+Inputs!$B$6)/(B6136-Inputs!$B$6)/(1+B6136)^7</f>
        <v>-1506.9831</v>
      </c>
    </row>
    <row r="6137" ht="14.25" customHeight="1">
      <c r="A6137" s="7">
        <v>6124.0</v>
      </c>
      <c r="B6137" s="14">
        <f t="shared" si="1"/>
        <v>0.1135214228</v>
      </c>
      <c r="C6137" s="39">
        <f t="array" ref="C6137">NPV(B6137,FCFF!$C$9:$I$9)+FCFF!$B$9+FCFF!$I$9*(1+Inputs!$B$6)/(B6137-Inputs!$B$6)/(1+B6137)^7</f>
        <v>-1703.582762</v>
      </c>
    </row>
    <row r="6138" ht="14.25" customHeight="1">
      <c r="A6138" s="7">
        <v>6125.0</v>
      </c>
      <c r="B6138" s="14">
        <f t="shared" si="1"/>
        <v>0.1061419743</v>
      </c>
      <c r="C6138" s="39">
        <f t="array" ref="C6138">NPV(B6138,FCFF!$C$9:$I$9)+FCFF!$B$9+FCFF!$I$9*(1+Inputs!$B$6)/(B6138-Inputs!$B$6)/(1+B6138)^7</f>
        <v>-1543.409253</v>
      </c>
    </row>
    <row r="6139" ht="14.25" customHeight="1">
      <c r="A6139" s="7">
        <v>6126.0</v>
      </c>
      <c r="B6139" s="14">
        <f t="shared" si="1"/>
        <v>0.1005649249</v>
      </c>
      <c r="C6139" s="39">
        <f t="array" ref="C6139">NPV(B6139,FCFF!$C$9:$I$9)+FCFF!$B$9+FCFF!$I$9*(1+Inputs!$B$6)/(B6139-Inputs!$B$6)/(1+B6139)^7</f>
        <v>-1399.558657</v>
      </c>
    </row>
    <row r="6140" ht="14.25" customHeight="1">
      <c r="A6140" s="7">
        <v>6127.0</v>
      </c>
      <c r="B6140" s="14">
        <f t="shared" si="1"/>
        <v>0.1319724943</v>
      </c>
      <c r="C6140" s="39">
        <f t="array" ref="C6140">NPV(B6140,FCFF!$C$9:$I$9)+FCFF!$B$9+FCFF!$I$9*(1+Inputs!$B$6)/(B6140-Inputs!$B$6)/(1+B6140)^7</f>
        <v>-1998.387061</v>
      </c>
    </row>
    <row r="6141" ht="14.25" customHeight="1">
      <c r="A6141" s="7">
        <v>6128.0</v>
      </c>
      <c r="B6141" s="14">
        <f t="shared" si="1"/>
        <v>0.09546850247</v>
      </c>
      <c r="C6141" s="39">
        <f t="array" ref="C6141">NPV(B6141,FCFF!$C$9:$I$9)+FCFF!$B$9+FCFF!$I$9*(1+Inputs!$B$6)/(B6141-Inputs!$B$6)/(1+B6141)^7</f>
        <v>-1246.487918</v>
      </c>
    </row>
    <row r="6142" ht="14.25" customHeight="1">
      <c r="A6142" s="7">
        <v>6129.0</v>
      </c>
      <c r="B6142" s="14">
        <f t="shared" si="1"/>
        <v>0.09739869566</v>
      </c>
      <c r="C6142" s="39">
        <f t="array" ref="C6142">NPV(B6142,FCFF!$C$9:$I$9)+FCFF!$B$9+FCFF!$I$9*(1+Inputs!$B$6)/(B6142-Inputs!$B$6)/(1+B6142)^7</f>
        <v>-1307.186251</v>
      </c>
    </row>
    <row r="6143" ht="14.25" customHeight="1">
      <c r="A6143" s="7">
        <v>6130.0</v>
      </c>
      <c r="B6143" s="14">
        <f t="shared" si="1"/>
        <v>0.1114866417</v>
      </c>
      <c r="C6143" s="39">
        <f t="array" ref="C6143">NPV(B6143,FCFF!$C$9:$I$9)+FCFF!$B$9+FCFF!$I$9*(1+Inputs!$B$6)/(B6143-Inputs!$B$6)/(1+B6143)^7</f>
        <v>-1662.409614</v>
      </c>
    </row>
    <row r="6144" ht="14.25" customHeight="1">
      <c r="A6144" s="7">
        <v>6131.0</v>
      </c>
      <c r="B6144" s="14">
        <f t="shared" si="1"/>
        <v>0.1039099507</v>
      </c>
      <c r="C6144" s="39">
        <f t="array" ref="C6144">NPV(B6144,FCFF!$C$9:$I$9)+FCFF!$B$9+FCFF!$I$9*(1+Inputs!$B$6)/(B6144-Inputs!$B$6)/(1+B6144)^7</f>
        <v>-1488.484271</v>
      </c>
    </row>
    <row r="6145" ht="14.25" customHeight="1">
      <c r="A6145" s="7">
        <v>6132.0</v>
      </c>
      <c r="B6145" s="14">
        <f t="shared" si="1"/>
        <v>0.09651490139</v>
      </c>
      <c r="C6145" s="39">
        <f t="array" ref="C6145">NPV(B6145,FCFF!$C$9:$I$9)+FCFF!$B$9+FCFF!$I$9*(1+Inputs!$B$6)/(B6145-Inputs!$B$6)/(1+B6145)^7</f>
        <v>-1279.829729</v>
      </c>
    </row>
    <row r="6146" ht="14.25" customHeight="1">
      <c r="A6146" s="7">
        <v>6133.0</v>
      </c>
      <c r="B6146" s="14">
        <f t="shared" si="1"/>
        <v>0.1165192469</v>
      </c>
      <c r="C6146" s="39">
        <f t="array" ref="C6146">NPV(B6146,FCFF!$C$9:$I$9)+FCFF!$B$9+FCFF!$I$9*(1+Inputs!$B$6)/(B6146-Inputs!$B$6)/(1+B6146)^7</f>
        <v>-1760.568782</v>
      </c>
    </row>
    <row r="6147" ht="14.25" customHeight="1">
      <c r="A6147" s="7">
        <v>6134.0</v>
      </c>
      <c r="B6147" s="14">
        <f t="shared" si="1"/>
        <v>0.1290711438</v>
      </c>
      <c r="C6147" s="39">
        <f t="array" ref="C6147">NPV(B6147,FCFF!$C$9:$I$9)+FCFF!$B$9+FCFF!$I$9*(1+Inputs!$B$6)/(B6147-Inputs!$B$6)/(1+B6147)^7</f>
        <v>-1959.793594</v>
      </c>
    </row>
    <row r="6148" ht="14.25" customHeight="1">
      <c r="A6148" s="7">
        <v>6135.0</v>
      </c>
      <c r="B6148" s="14">
        <f t="shared" si="1"/>
        <v>0.1161861164</v>
      </c>
      <c r="C6148" s="39">
        <f t="array" ref="C6148">NPV(B6148,FCFF!$C$9:$I$9)+FCFF!$B$9+FCFF!$I$9*(1+Inputs!$B$6)/(B6148-Inputs!$B$6)/(1+B6148)^7</f>
        <v>-1754.441119</v>
      </c>
    </row>
    <row r="6149" ht="14.25" customHeight="1">
      <c r="A6149" s="7">
        <v>6136.0</v>
      </c>
      <c r="B6149" s="14">
        <f t="shared" si="1"/>
        <v>0.09970693267</v>
      </c>
      <c r="C6149" s="39">
        <f t="array" ref="C6149">NPV(B6149,FCFF!$C$9:$I$9)+FCFF!$B$9+FCFF!$I$9*(1+Inputs!$B$6)/(B6149-Inputs!$B$6)/(1+B6149)^7</f>
        <v>-1375.35987</v>
      </c>
    </row>
    <row r="6150" ht="14.25" customHeight="1">
      <c r="A6150" s="7">
        <v>6137.0</v>
      </c>
      <c r="B6150" s="14">
        <f t="shared" si="1"/>
        <v>0.1023346428</v>
      </c>
      <c r="C6150" s="39">
        <f t="array" ref="C6150">NPV(B6150,FCFF!$C$9:$I$9)+FCFF!$B$9+FCFF!$I$9*(1+Inputs!$B$6)/(B6150-Inputs!$B$6)/(1+B6150)^7</f>
        <v>-1447.642941</v>
      </c>
    </row>
    <row r="6151" ht="14.25" customHeight="1">
      <c r="A6151" s="7">
        <v>6138.0</v>
      </c>
      <c r="B6151" s="14">
        <f t="shared" si="1"/>
        <v>0.1045304689</v>
      </c>
      <c r="C6151" s="39">
        <f t="array" ref="C6151">NPV(B6151,FCFF!$C$9:$I$9)+FCFF!$B$9+FCFF!$I$9*(1+Inputs!$B$6)/(B6151-Inputs!$B$6)/(1+B6151)^7</f>
        <v>-1504.090351</v>
      </c>
    </row>
    <row r="6152" ht="14.25" customHeight="1">
      <c r="A6152" s="7">
        <v>6139.0</v>
      </c>
      <c r="B6152" s="14">
        <f t="shared" si="1"/>
        <v>0.1114339053</v>
      </c>
      <c r="C6152" s="39">
        <f t="array" ref="C6152">NPV(B6152,FCFF!$C$9:$I$9)+FCFF!$B$9+FCFF!$I$9*(1+Inputs!$B$6)/(B6152-Inputs!$B$6)/(1+B6152)^7</f>
        <v>-1661.314097</v>
      </c>
    </row>
    <row r="6153" ht="14.25" customHeight="1">
      <c r="A6153" s="7">
        <v>6140.0</v>
      </c>
      <c r="B6153" s="14">
        <f t="shared" si="1"/>
        <v>0.1139051256</v>
      </c>
      <c r="C6153" s="39">
        <f t="array" ref="C6153">NPV(B6153,FCFF!$C$9:$I$9)+FCFF!$B$9+FCFF!$I$9*(1+Inputs!$B$6)/(B6153-Inputs!$B$6)/(1+B6153)^7</f>
        <v>-1711.114132</v>
      </c>
    </row>
    <row r="6154" ht="14.25" customHeight="1">
      <c r="A6154" s="7">
        <v>6141.0</v>
      </c>
      <c r="B6154" s="14">
        <f t="shared" si="1"/>
        <v>0.1172342726</v>
      </c>
      <c r="C6154" s="39">
        <f t="array" ref="C6154">NPV(B6154,FCFF!$C$9:$I$9)+FCFF!$B$9+FCFF!$I$9*(1+Inputs!$B$6)/(B6154-Inputs!$B$6)/(1+B6154)^7</f>
        <v>-1773.555216</v>
      </c>
    </row>
    <row r="6155" ht="14.25" customHeight="1">
      <c r="A6155" s="7">
        <v>6142.0</v>
      </c>
      <c r="B6155" s="14">
        <f t="shared" si="1"/>
        <v>0.1026964192</v>
      </c>
      <c r="C6155" s="39">
        <f t="array" ref="C6155">NPV(B6155,FCFF!$C$9:$I$9)+FCFF!$B$9+FCFF!$I$9*(1+Inputs!$B$6)/(B6155-Inputs!$B$6)/(1+B6155)^7</f>
        <v>-1457.18116</v>
      </c>
    </row>
    <row r="6156" ht="14.25" customHeight="1">
      <c r="A6156" s="7">
        <v>6143.0</v>
      </c>
      <c r="B6156" s="14">
        <f t="shared" si="1"/>
        <v>0.116387208</v>
      </c>
      <c r="C6156" s="39">
        <f t="array" ref="C6156">NPV(B6156,FCFF!$C$9:$I$9)+FCFF!$B$9+FCFF!$I$9*(1+Inputs!$B$6)/(B6156-Inputs!$B$6)/(1+B6156)^7</f>
        <v>-1758.145966</v>
      </c>
    </row>
    <row r="6157" ht="14.25" customHeight="1">
      <c r="A6157" s="7">
        <v>6144.0</v>
      </c>
      <c r="B6157" s="14">
        <f t="shared" si="1"/>
        <v>0.0963707768</v>
      </c>
      <c r="C6157" s="39">
        <f t="array" ref="C6157">NPV(B6157,FCFF!$C$9:$I$9)+FCFF!$B$9+FCFF!$I$9*(1+Inputs!$B$6)/(B6157-Inputs!$B$6)/(1+B6157)^7</f>
        <v>-1275.299623</v>
      </c>
    </row>
    <row r="6158" ht="14.25" customHeight="1">
      <c r="A6158" s="7">
        <v>6145.0</v>
      </c>
      <c r="B6158" s="14">
        <f t="shared" si="1"/>
        <v>0.09782672879</v>
      </c>
      <c r="C6158" s="39">
        <f t="array" ref="C6158">NPV(B6158,FCFF!$C$9:$I$9)+FCFF!$B$9+FCFF!$I$9*(1+Inputs!$B$6)/(B6158-Inputs!$B$6)/(1+B6158)^7</f>
        <v>-1320.179331</v>
      </c>
    </row>
    <row r="6159" ht="14.25" customHeight="1">
      <c r="A6159" s="7">
        <v>6146.0</v>
      </c>
      <c r="B6159" s="14">
        <f t="shared" si="1"/>
        <v>0.1306217687</v>
      </c>
      <c r="C6159" s="39">
        <f t="array" ref="C6159">NPV(B6159,FCFF!$C$9:$I$9)+FCFF!$B$9+FCFF!$I$9*(1+Inputs!$B$6)/(B6159-Inputs!$B$6)/(1+B6159)^7</f>
        <v>-1980.720705</v>
      </c>
    </row>
    <row r="6160" ht="14.25" customHeight="1">
      <c r="A6160" s="7">
        <v>6147.0</v>
      </c>
      <c r="B6160" s="14">
        <f t="shared" si="1"/>
        <v>0.1215899689</v>
      </c>
      <c r="C6160" s="39">
        <f t="array" ref="C6160">NPV(B6160,FCFF!$C$9:$I$9)+FCFF!$B$9+FCFF!$I$9*(1+Inputs!$B$6)/(B6160-Inputs!$B$6)/(1+B6160)^7</f>
        <v>-1848.05385</v>
      </c>
    </row>
    <row r="6161" ht="14.25" customHeight="1">
      <c r="A6161" s="7">
        <v>6148.0</v>
      </c>
      <c r="B6161" s="14">
        <f t="shared" si="1"/>
        <v>0.09495901963</v>
      </c>
      <c r="C6161" s="39">
        <f t="array" ref="C6161">NPV(B6161,FCFF!$C$9:$I$9)+FCFF!$B$9+FCFF!$I$9*(1+Inputs!$B$6)/(B6161-Inputs!$B$6)/(1+B6161)^7</f>
        <v>-1229.867245</v>
      </c>
    </row>
    <row r="6162" ht="14.25" customHeight="1">
      <c r="A6162" s="7">
        <v>6149.0</v>
      </c>
      <c r="B6162" s="14">
        <f t="shared" si="1"/>
        <v>0.09696038258</v>
      </c>
      <c r="C6162" s="39">
        <f t="array" ref="C6162">NPV(B6162,FCFF!$C$9:$I$9)+FCFF!$B$9+FCFF!$I$9*(1+Inputs!$B$6)/(B6162-Inputs!$B$6)/(1+B6162)^7</f>
        <v>-1293.709049</v>
      </c>
    </row>
    <row r="6163" ht="14.25" customHeight="1">
      <c r="A6163" s="7">
        <v>6150.0</v>
      </c>
      <c r="B6163" s="14">
        <f t="shared" si="1"/>
        <v>0.1199121272</v>
      </c>
      <c r="C6163" s="39">
        <f t="array" ref="C6163">NPV(B6163,FCFF!$C$9:$I$9)+FCFF!$B$9+FCFF!$I$9*(1+Inputs!$B$6)/(B6163-Inputs!$B$6)/(1+B6163)^7</f>
        <v>-1820.260257</v>
      </c>
    </row>
    <row r="6164" ht="14.25" customHeight="1">
      <c r="A6164" s="7">
        <v>6151.0</v>
      </c>
      <c r="B6164" s="14">
        <f t="shared" si="1"/>
        <v>0.09331279543</v>
      </c>
      <c r="C6164" s="39">
        <f t="array" ref="C6164">NPV(B6164,FCFF!$C$9:$I$9)+FCFF!$B$9+FCFF!$I$9*(1+Inputs!$B$6)/(B6164-Inputs!$B$6)/(1+B6164)^7</f>
        <v>-1174.349412</v>
      </c>
    </row>
    <row r="6165" ht="14.25" customHeight="1">
      <c r="A6165" s="7">
        <v>6152.0</v>
      </c>
      <c r="B6165" s="14">
        <f t="shared" si="1"/>
        <v>0.1233717661</v>
      </c>
      <c r="C6165" s="39">
        <f t="array" ref="C6165">NPV(B6165,FCFF!$C$9:$I$9)+FCFF!$B$9+FCFF!$I$9*(1+Inputs!$B$6)/(B6165-Inputs!$B$6)/(1+B6165)^7</f>
        <v>-1876.408314</v>
      </c>
    </row>
    <row r="6166" ht="14.25" customHeight="1">
      <c r="A6166" s="7">
        <v>6153.0</v>
      </c>
      <c r="B6166" s="14">
        <f t="shared" si="1"/>
        <v>0.1303324621</v>
      </c>
      <c r="C6166" s="39">
        <f t="array" ref="C6166">NPV(B6166,FCFF!$C$9:$I$9)+FCFF!$B$9+FCFF!$I$9*(1+Inputs!$B$6)/(B6166-Inputs!$B$6)/(1+B6166)^7</f>
        <v>-1976.869499</v>
      </c>
    </row>
    <row r="6167" ht="14.25" customHeight="1">
      <c r="A6167" s="7">
        <v>6154.0</v>
      </c>
      <c r="B6167" s="14">
        <f t="shared" si="1"/>
        <v>0.09743323794</v>
      </c>
      <c r="C6167" s="39">
        <f t="array" ref="C6167">NPV(B6167,FCFF!$C$9:$I$9)+FCFF!$B$9+FCFF!$I$9*(1+Inputs!$B$6)/(B6167-Inputs!$B$6)/(1+B6167)^7</f>
        <v>-1308.240912</v>
      </c>
    </row>
    <row r="6168" ht="14.25" customHeight="1">
      <c r="A6168" s="7">
        <v>6155.0</v>
      </c>
      <c r="B6168" s="14">
        <f t="shared" si="1"/>
        <v>0.1260035021</v>
      </c>
      <c r="C6168" s="39">
        <f t="array" ref="C6168">NPV(B6168,FCFF!$C$9:$I$9)+FCFF!$B$9+FCFF!$I$9*(1+Inputs!$B$6)/(B6168-Inputs!$B$6)/(1+B6168)^7</f>
        <v>-1916.234757</v>
      </c>
    </row>
    <row r="6169" ht="14.25" customHeight="1">
      <c r="A6169" s="7">
        <v>6156.0</v>
      </c>
      <c r="B6169" s="14">
        <f t="shared" si="1"/>
        <v>0.1193692292</v>
      </c>
      <c r="C6169" s="39">
        <f t="array" ref="C6169">NPV(B6169,FCFF!$C$9:$I$9)+FCFF!$B$9+FCFF!$I$9*(1+Inputs!$B$6)/(B6169-Inputs!$B$6)/(1+B6169)^7</f>
        <v>-1811.030184</v>
      </c>
    </row>
    <row r="6170" ht="14.25" customHeight="1">
      <c r="A6170" s="7">
        <v>6157.0</v>
      </c>
      <c r="B6170" s="14">
        <f t="shared" si="1"/>
        <v>0.107673224</v>
      </c>
      <c r="C6170" s="39">
        <f t="array" ref="C6170">NPV(B6170,FCFF!$C$9:$I$9)+FCFF!$B$9+FCFF!$I$9*(1+Inputs!$B$6)/(B6170-Inputs!$B$6)/(1+B6170)^7</f>
        <v>-1579.224978</v>
      </c>
    </row>
    <row r="6171" ht="14.25" customHeight="1">
      <c r="A6171" s="7">
        <v>6158.0</v>
      </c>
      <c r="B6171" s="14">
        <f t="shared" si="1"/>
        <v>0.1086087978</v>
      </c>
      <c r="C6171" s="39">
        <f t="array" ref="C6171">NPV(B6171,FCFF!$C$9:$I$9)+FCFF!$B$9+FCFF!$I$9*(1+Inputs!$B$6)/(B6171-Inputs!$B$6)/(1+B6171)^7</f>
        <v>-1600.403559</v>
      </c>
    </row>
    <row r="6172" ht="14.25" customHeight="1">
      <c r="A6172" s="7">
        <v>6159.0</v>
      </c>
      <c r="B6172" s="14">
        <f t="shared" si="1"/>
        <v>0.1284808328</v>
      </c>
      <c r="C6172" s="39">
        <f t="array" ref="C6172">NPV(B6172,FCFF!$C$9:$I$9)+FCFF!$B$9+FCFF!$I$9*(1+Inputs!$B$6)/(B6172-Inputs!$B$6)/(1+B6172)^7</f>
        <v>-1951.638992</v>
      </c>
    </row>
    <row r="6173" ht="14.25" customHeight="1">
      <c r="A6173" s="7">
        <v>6160.0</v>
      </c>
      <c r="B6173" s="14">
        <f t="shared" si="1"/>
        <v>0.1285339887</v>
      </c>
      <c r="C6173" s="39">
        <f t="array" ref="C6173">NPV(B6173,FCFF!$C$9:$I$9)+FCFF!$B$9+FCFF!$I$9*(1+Inputs!$B$6)/(B6173-Inputs!$B$6)/(1+B6173)^7</f>
        <v>-1952.377623</v>
      </c>
    </row>
    <row r="6174" ht="14.25" customHeight="1">
      <c r="A6174" s="7">
        <v>6161.0</v>
      </c>
      <c r="B6174" s="14">
        <f t="shared" si="1"/>
        <v>0.1014995763</v>
      </c>
      <c r="C6174" s="39">
        <f t="array" ref="C6174">NPV(B6174,FCFF!$C$9:$I$9)+FCFF!$B$9+FCFF!$I$9*(1+Inputs!$B$6)/(B6174-Inputs!$B$6)/(1+B6174)^7</f>
        <v>-1425.253359</v>
      </c>
    </row>
    <row r="6175" ht="14.25" customHeight="1">
      <c r="A6175" s="7">
        <v>6162.0</v>
      </c>
      <c r="B6175" s="14">
        <f t="shared" si="1"/>
        <v>0.1233442031</v>
      </c>
      <c r="C6175" s="39">
        <f t="array" ref="C6175">NPV(B6175,FCFF!$C$9:$I$9)+FCFF!$B$9+FCFF!$I$9*(1+Inputs!$B$6)/(B6175-Inputs!$B$6)/(1+B6175)^7</f>
        <v>-1875.978476</v>
      </c>
    </row>
    <row r="6176" ht="14.25" customHeight="1">
      <c r="A6176" s="7">
        <v>6163.0</v>
      </c>
      <c r="B6176" s="14">
        <f t="shared" si="1"/>
        <v>0.1282133924</v>
      </c>
      <c r="C6176" s="39">
        <f t="array" ref="C6176">NPV(B6176,FCFF!$C$9:$I$9)+FCFF!$B$9+FCFF!$I$9*(1+Inputs!$B$6)/(B6176-Inputs!$B$6)/(1+B6176)^7</f>
        <v>-1947.909645</v>
      </c>
    </row>
    <row r="6177" ht="14.25" customHeight="1">
      <c r="A6177" s="7">
        <v>6164.0</v>
      </c>
      <c r="B6177" s="14">
        <f t="shared" si="1"/>
        <v>0.1251269336</v>
      </c>
      <c r="C6177" s="39">
        <f t="array" ref="C6177">NPV(B6177,FCFF!$C$9:$I$9)+FCFF!$B$9+FCFF!$I$9*(1+Inputs!$B$6)/(B6177-Inputs!$B$6)/(1+B6177)^7</f>
        <v>-1903.231707</v>
      </c>
    </row>
    <row r="6178" ht="14.25" customHeight="1">
      <c r="A6178" s="7">
        <v>6165.0</v>
      </c>
      <c r="B6178" s="14">
        <f t="shared" si="1"/>
        <v>0.1056903761</v>
      </c>
      <c r="C6178" s="39">
        <f t="array" ref="C6178">NPV(B6178,FCFF!$C$9:$I$9)+FCFF!$B$9+FCFF!$I$9*(1+Inputs!$B$6)/(B6178-Inputs!$B$6)/(1+B6178)^7</f>
        <v>-1532.563126</v>
      </c>
    </row>
    <row r="6179" ht="14.25" customHeight="1">
      <c r="A6179" s="7">
        <v>6166.0</v>
      </c>
      <c r="B6179" s="14">
        <f t="shared" si="1"/>
        <v>0.1166819294</v>
      </c>
      <c r="C6179" s="39">
        <f t="array" ref="C6179">NPV(B6179,FCFF!$C$9:$I$9)+FCFF!$B$9+FCFF!$I$9*(1+Inputs!$B$6)/(B6179-Inputs!$B$6)/(1+B6179)^7</f>
        <v>-1763.543231</v>
      </c>
    </row>
    <row r="6180" ht="14.25" customHeight="1">
      <c r="A6180" s="7">
        <v>6167.0</v>
      </c>
      <c r="B6180" s="14">
        <f t="shared" si="1"/>
        <v>0.1154086486</v>
      </c>
      <c r="C6180" s="39">
        <f t="array" ref="C6180">NPV(B6180,FCFF!$C$9:$I$9)+FCFF!$B$9+FCFF!$I$9*(1+Inputs!$B$6)/(B6180-Inputs!$B$6)/(1+B6180)^7</f>
        <v>-1739.945199</v>
      </c>
    </row>
    <row r="6181" ht="14.25" customHeight="1">
      <c r="A6181" s="7">
        <v>6168.0</v>
      </c>
      <c r="B6181" s="14">
        <f t="shared" si="1"/>
        <v>0.1067696832</v>
      </c>
      <c r="C6181" s="39">
        <f t="array" ref="C6181">NPV(B6181,FCFF!$C$9:$I$9)+FCFF!$B$9+FCFF!$I$9*(1+Inputs!$B$6)/(B6181-Inputs!$B$6)/(1+B6181)^7</f>
        <v>-1558.268321</v>
      </c>
    </row>
    <row r="6182" ht="14.25" customHeight="1">
      <c r="A6182" s="7">
        <v>6169.0</v>
      </c>
      <c r="B6182" s="14">
        <f t="shared" si="1"/>
        <v>0.1016433948</v>
      </c>
      <c r="C6182" s="39">
        <f t="array" ref="C6182">NPV(B6182,FCFF!$C$9:$I$9)+FCFF!$B$9+FCFF!$I$9*(1+Inputs!$B$6)/(B6182-Inputs!$B$6)/(1+B6182)^7</f>
        <v>-1429.147009</v>
      </c>
    </row>
    <row r="6183" ht="14.25" customHeight="1">
      <c r="A6183" s="7">
        <v>6170.0</v>
      </c>
      <c r="B6183" s="14">
        <f t="shared" si="1"/>
        <v>0.09461457475</v>
      </c>
      <c r="C6183" s="39">
        <f t="array" ref="C6183">NPV(B6183,FCFF!$C$9:$I$9)+FCFF!$B$9+FCFF!$I$9*(1+Inputs!$B$6)/(B6183-Inputs!$B$6)/(1+B6183)^7</f>
        <v>-1218.48306</v>
      </c>
    </row>
    <row r="6184" ht="14.25" customHeight="1">
      <c r="A6184" s="7">
        <v>6171.0</v>
      </c>
      <c r="B6184" s="14">
        <f t="shared" si="1"/>
        <v>0.1322696577</v>
      </c>
      <c r="C6184" s="39">
        <f t="array" ref="C6184">NPV(B6184,FCFF!$C$9:$I$9)+FCFF!$B$9+FCFF!$I$9*(1+Inputs!$B$6)/(B6184-Inputs!$B$6)/(1+B6184)^7</f>
        <v>-2002.205516</v>
      </c>
    </row>
    <row r="6185" ht="14.25" customHeight="1">
      <c r="A6185" s="7">
        <v>6172.0</v>
      </c>
      <c r="B6185" s="14">
        <f t="shared" si="1"/>
        <v>0.1211334258</v>
      </c>
      <c r="C6185" s="39">
        <f t="array" ref="C6185">NPV(B6185,FCFF!$C$9:$I$9)+FCFF!$B$9+FCFF!$I$9*(1+Inputs!$B$6)/(B6185-Inputs!$B$6)/(1+B6185)^7</f>
        <v>-1840.598696</v>
      </c>
    </row>
    <row r="6186" ht="14.25" customHeight="1">
      <c r="A6186" s="7">
        <v>6173.0</v>
      </c>
      <c r="B6186" s="14">
        <f t="shared" si="1"/>
        <v>0.1215317766</v>
      </c>
      <c r="C6186" s="39">
        <f t="array" ref="C6186">NPV(B6186,FCFF!$C$9:$I$9)+FCFF!$B$9+FCFF!$I$9*(1+Inputs!$B$6)/(B6186-Inputs!$B$6)/(1+B6186)^7</f>
        <v>-1847.107989</v>
      </c>
    </row>
    <row r="6187" ht="14.25" customHeight="1">
      <c r="A6187" s="7">
        <v>6174.0</v>
      </c>
      <c r="B6187" s="14">
        <f t="shared" si="1"/>
        <v>0.1100518978</v>
      </c>
      <c r="C6187" s="39">
        <f t="array" ref="C6187">NPV(B6187,FCFF!$C$9:$I$9)+FCFF!$B$9+FCFF!$I$9*(1+Inputs!$B$6)/(B6187-Inputs!$B$6)/(1+B6187)^7</f>
        <v>-1632.072156</v>
      </c>
    </row>
    <row r="6188" ht="14.25" customHeight="1">
      <c r="A6188" s="7">
        <v>6175.0</v>
      </c>
      <c r="B6188" s="14">
        <f t="shared" si="1"/>
        <v>0.1226600138</v>
      </c>
      <c r="C6188" s="39">
        <f t="array" ref="C6188">NPV(B6188,FCFF!$C$9:$I$9)+FCFF!$B$9+FCFF!$I$9*(1+Inputs!$B$6)/(B6188-Inputs!$B$6)/(1+B6188)^7</f>
        <v>-1865.221257</v>
      </c>
    </row>
    <row r="6189" ht="14.25" customHeight="1">
      <c r="A6189" s="7">
        <v>6176.0</v>
      </c>
      <c r="B6189" s="14">
        <f t="shared" si="1"/>
        <v>0.1005094211</v>
      </c>
      <c r="C6189" s="39">
        <f t="array" ref="C6189">NPV(B6189,FCFF!$C$9:$I$9)+FCFF!$B$9+FCFF!$I$9*(1+Inputs!$B$6)/(B6189-Inputs!$B$6)/(1+B6189)^7</f>
        <v>-1398.011173</v>
      </c>
    </row>
    <row r="6190" ht="14.25" customHeight="1">
      <c r="A6190" s="7">
        <v>6177.0</v>
      </c>
      <c r="B6190" s="14">
        <f t="shared" si="1"/>
        <v>0.1161856262</v>
      </c>
      <c r="C6190" s="39">
        <f t="array" ref="C6190">NPV(B6190,FCFF!$C$9:$I$9)+FCFF!$B$9+FCFF!$I$9*(1+Inputs!$B$6)/(B6190-Inputs!$B$6)/(1+B6190)^7</f>
        <v>-1754.432066</v>
      </c>
    </row>
    <row r="6191" ht="14.25" customHeight="1">
      <c r="A6191" s="7">
        <v>6178.0</v>
      </c>
      <c r="B6191" s="14">
        <f t="shared" si="1"/>
        <v>0.1247585141</v>
      </c>
      <c r="C6191" s="39">
        <f t="array" ref="C6191">NPV(B6191,FCFF!$C$9:$I$9)+FCFF!$B$9+FCFF!$I$9*(1+Inputs!$B$6)/(B6191-Inputs!$B$6)/(1+B6191)^7</f>
        <v>-1897.689502</v>
      </c>
    </row>
    <row r="6192" ht="14.25" customHeight="1">
      <c r="A6192" s="7">
        <v>6179.0</v>
      </c>
      <c r="B6192" s="14">
        <f t="shared" si="1"/>
        <v>0.09355028563</v>
      </c>
      <c r="C6192" s="39">
        <f t="array" ref="C6192">NPV(B6192,FCFF!$C$9:$I$9)+FCFF!$B$9+FCFF!$I$9*(1+Inputs!$B$6)/(B6192-Inputs!$B$6)/(1+B6192)^7</f>
        <v>-1182.534422</v>
      </c>
    </row>
    <row r="6193" ht="14.25" customHeight="1">
      <c r="A6193" s="7">
        <v>6180.0</v>
      </c>
      <c r="B6193" s="14">
        <f t="shared" si="1"/>
        <v>0.1140817128</v>
      </c>
      <c r="C6193" s="39">
        <f t="array" ref="C6193">NPV(B6193,FCFF!$C$9:$I$9)+FCFF!$B$9+FCFF!$I$9*(1+Inputs!$B$6)/(B6193-Inputs!$B$6)/(1+B6193)^7</f>
        <v>-1714.556131</v>
      </c>
    </row>
    <row r="6194" ht="14.25" customHeight="1">
      <c r="A6194" s="7">
        <v>6181.0</v>
      </c>
      <c r="B6194" s="14">
        <f t="shared" si="1"/>
        <v>0.1193821834</v>
      </c>
      <c r="C6194" s="39">
        <f t="array" ref="C6194">NPV(B6194,FCFF!$C$9:$I$9)+FCFF!$B$9+FCFF!$I$9*(1+Inputs!$B$6)/(B6194-Inputs!$B$6)/(1+B6194)^7</f>
        <v>-1811.251806</v>
      </c>
    </row>
    <row r="6195" ht="14.25" customHeight="1">
      <c r="A6195" s="7">
        <v>6182.0</v>
      </c>
      <c r="B6195" s="14">
        <f t="shared" si="1"/>
        <v>0.1201491941</v>
      </c>
      <c r="C6195" s="39">
        <f t="array" ref="C6195">NPV(B6195,FCFF!$C$9:$I$9)+FCFF!$B$9+FCFF!$I$9*(1+Inputs!$B$6)/(B6195-Inputs!$B$6)/(1+B6195)^7</f>
        <v>-1824.25385</v>
      </c>
    </row>
    <row r="6196" ht="14.25" customHeight="1">
      <c r="A6196" s="7">
        <v>6183.0</v>
      </c>
      <c r="B6196" s="14">
        <f t="shared" si="1"/>
        <v>0.1220020708</v>
      </c>
      <c r="C6196" s="39">
        <f t="array" ref="C6196">NPV(B6196,FCFF!$C$9:$I$9)+FCFF!$B$9+FCFF!$I$9*(1+Inputs!$B$6)/(B6196-Inputs!$B$6)/(1+B6196)^7</f>
        <v>-1854.715784</v>
      </c>
    </row>
    <row r="6197" ht="14.25" customHeight="1">
      <c r="A6197" s="7">
        <v>6184.0</v>
      </c>
      <c r="B6197" s="14">
        <f t="shared" si="1"/>
        <v>0.09791793416</v>
      </c>
      <c r="C6197" s="39">
        <f t="array" ref="C6197">NPV(B6197,FCFF!$C$9:$I$9)+FCFF!$B$9+FCFF!$I$9*(1+Inputs!$B$6)/(B6197-Inputs!$B$6)/(1+B6197)^7</f>
        <v>-1322.926723</v>
      </c>
    </row>
    <row r="6198" ht="14.25" customHeight="1">
      <c r="A6198" s="7">
        <v>6185.0</v>
      </c>
      <c r="B6198" s="14">
        <f t="shared" si="1"/>
        <v>0.1308358203</v>
      </c>
      <c r="C6198" s="39">
        <f t="array" ref="C6198">NPV(B6198,FCFF!$C$9:$I$9)+FCFF!$B$9+FCFF!$I$9*(1+Inputs!$B$6)/(B6198-Inputs!$B$6)/(1+B6198)^7</f>
        <v>-1983.554673</v>
      </c>
    </row>
    <row r="6199" ht="14.25" customHeight="1">
      <c r="A6199" s="7">
        <v>6186.0</v>
      </c>
      <c r="B6199" s="14">
        <f t="shared" si="1"/>
        <v>0.1031490565</v>
      </c>
      <c r="C6199" s="39">
        <f t="array" ref="C6199">NPV(B6199,FCFF!$C$9:$I$9)+FCFF!$B$9+FCFF!$I$9*(1+Inputs!$B$6)/(B6199-Inputs!$B$6)/(1+B6199)^7</f>
        <v>-1468.980246</v>
      </c>
    </row>
    <row r="6200" ht="14.25" customHeight="1">
      <c r="A6200" s="7">
        <v>6187.0</v>
      </c>
      <c r="B6200" s="14">
        <f t="shared" si="1"/>
        <v>0.1100785636</v>
      </c>
      <c r="C6200" s="39">
        <f t="array" ref="C6200">NPV(B6200,FCFF!$C$9:$I$9)+FCFF!$B$9+FCFF!$I$9*(1+Inputs!$B$6)/(B6200-Inputs!$B$6)/(1+B6200)^7</f>
        <v>-1632.646255</v>
      </c>
    </row>
    <row r="6201" ht="14.25" customHeight="1">
      <c r="A6201" s="7">
        <v>6188.0</v>
      </c>
      <c r="B6201" s="14">
        <f t="shared" si="1"/>
        <v>0.1291393801</v>
      </c>
      <c r="C6201" s="39">
        <f t="array" ref="C6201">NPV(B6201,FCFF!$C$9:$I$9)+FCFF!$B$9+FCFF!$I$9*(1+Inputs!$B$6)/(B6201-Inputs!$B$6)/(1+B6201)^7</f>
        <v>-1960.729441</v>
      </c>
    </row>
    <row r="6202" ht="14.25" customHeight="1">
      <c r="A6202" s="7">
        <v>6189.0</v>
      </c>
      <c r="B6202" s="14">
        <f t="shared" si="1"/>
        <v>0.116936957</v>
      </c>
      <c r="C6202" s="39">
        <f t="array" ref="C6202">NPV(B6202,FCFF!$C$9:$I$9)+FCFF!$B$9+FCFF!$I$9*(1+Inputs!$B$6)/(B6202-Inputs!$B$6)/(1+B6202)^7</f>
        <v>-1768.182572</v>
      </c>
    </row>
    <row r="6203" ht="14.25" customHeight="1">
      <c r="A6203" s="7">
        <v>6190.0</v>
      </c>
      <c r="B6203" s="14">
        <f t="shared" si="1"/>
        <v>0.1128962394</v>
      </c>
      <c r="C6203" s="39">
        <f t="array" ref="C6203">NPV(B6203,FCFF!$C$9:$I$9)+FCFF!$B$9+FCFF!$I$9*(1+Inputs!$B$6)/(B6203-Inputs!$B$6)/(1+B6203)^7</f>
        <v>-1691.155968</v>
      </c>
    </row>
    <row r="6204" ht="14.25" customHeight="1">
      <c r="A6204" s="7">
        <v>6191.0</v>
      </c>
      <c r="B6204" s="14">
        <f t="shared" si="1"/>
        <v>0.1049533765</v>
      </c>
      <c r="C6204" s="39">
        <f t="array" ref="C6204">NPV(B6204,FCFF!$C$9:$I$9)+FCFF!$B$9+FCFF!$I$9*(1+Inputs!$B$6)/(B6204-Inputs!$B$6)/(1+B6204)^7</f>
        <v>-1514.57576</v>
      </c>
    </row>
    <row r="6205" ht="14.25" customHeight="1">
      <c r="A6205" s="7">
        <v>6192.0</v>
      </c>
      <c r="B6205" s="14">
        <f t="shared" si="1"/>
        <v>0.1134268373</v>
      </c>
      <c r="C6205" s="39">
        <f t="array" ref="C6205">NPV(B6205,FCFF!$C$9:$I$9)+FCFF!$B$9+FCFF!$I$9*(1+Inputs!$B$6)/(B6205-Inputs!$B$6)/(1+B6205)^7</f>
        <v>-1701.715132</v>
      </c>
    </row>
    <row r="6206" ht="14.25" customHeight="1">
      <c r="A6206" s="7">
        <v>6193.0</v>
      </c>
      <c r="B6206" s="14">
        <f t="shared" si="1"/>
        <v>0.1112967662</v>
      </c>
      <c r="C6206" s="39">
        <f t="array" ref="C6206">NPV(B6206,FCFF!$C$9:$I$9)+FCFF!$B$9+FCFF!$I$9*(1+Inputs!$B$6)/(B6206-Inputs!$B$6)/(1+B6206)^7</f>
        <v>-1658.458352</v>
      </c>
    </row>
    <row r="6207" ht="14.25" customHeight="1">
      <c r="A6207" s="7">
        <v>6194.0</v>
      </c>
      <c r="B6207" s="14">
        <f t="shared" si="1"/>
        <v>0.1298849378</v>
      </c>
      <c r="C6207" s="39">
        <f t="array" ref="C6207">NPV(B6207,FCFF!$C$9:$I$9)+FCFF!$B$9+FCFF!$I$9*(1+Inputs!$B$6)/(B6207-Inputs!$B$6)/(1+B6207)^7</f>
        <v>-1970.864382</v>
      </c>
    </row>
    <row r="6208" ht="14.25" customHeight="1">
      <c r="A6208" s="7">
        <v>6195.0</v>
      </c>
      <c r="B6208" s="14">
        <f t="shared" si="1"/>
        <v>0.1026221481</v>
      </c>
      <c r="C6208" s="39">
        <f t="array" ref="C6208">NPV(B6208,FCFF!$C$9:$I$9)+FCFF!$B$9+FCFF!$I$9*(1+Inputs!$B$6)/(B6208-Inputs!$B$6)/(1+B6208)^7</f>
        <v>-1455.230861</v>
      </c>
    </row>
    <row r="6209" ht="14.25" customHeight="1">
      <c r="A6209" s="7">
        <v>6196.0</v>
      </c>
      <c r="B6209" s="14">
        <f t="shared" si="1"/>
        <v>0.1139639873</v>
      </c>
      <c r="C6209" s="39">
        <f t="array" ref="C6209">NPV(B6209,FCFF!$C$9:$I$9)+FCFF!$B$9+FCFF!$I$9*(1+Inputs!$B$6)/(B6209-Inputs!$B$6)/(1+B6209)^7</f>
        <v>-1712.26313</v>
      </c>
    </row>
    <row r="6210" ht="14.25" customHeight="1">
      <c r="A6210" s="7">
        <v>6197.0</v>
      </c>
      <c r="B6210" s="14">
        <f t="shared" si="1"/>
        <v>0.1064123734</v>
      </c>
      <c r="C6210" s="39">
        <f t="array" ref="C6210">NPV(B6210,FCFF!$C$9:$I$9)+FCFF!$B$9+FCFF!$I$9*(1+Inputs!$B$6)/(B6210-Inputs!$B$6)/(1+B6210)^7</f>
        <v>-1549.840749</v>
      </c>
    </row>
    <row r="6211" ht="14.25" customHeight="1">
      <c r="A6211" s="7">
        <v>6198.0</v>
      </c>
      <c r="B6211" s="14">
        <f t="shared" si="1"/>
        <v>0.1212170417</v>
      </c>
      <c r="C6211" s="39">
        <f t="array" ref="C6211">NPV(B6211,FCFF!$C$9:$I$9)+FCFF!$B$9+FCFF!$I$9*(1+Inputs!$B$6)/(B6211-Inputs!$B$6)/(1+B6211)^7</f>
        <v>-1841.970039</v>
      </c>
    </row>
    <row r="6212" ht="14.25" customHeight="1">
      <c r="A6212" s="7">
        <v>6199.0</v>
      </c>
      <c r="B6212" s="14">
        <f t="shared" si="1"/>
        <v>0.1010043031</v>
      </c>
      <c r="C6212" s="39">
        <f t="array" ref="C6212">NPV(B6212,FCFF!$C$9:$I$9)+FCFF!$B$9+FCFF!$I$9*(1+Inputs!$B$6)/(B6212-Inputs!$B$6)/(1+B6212)^7</f>
        <v>-1411.722729</v>
      </c>
    </row>
    <row r="6213" ht="14.25" customHeight="1">
      <c r="A6213" s="7">
        <v>6200.0</v>
      </c>
      <c r="B6213" s="14">
        <f t="shared" si="1"/>
        <v>0.1051154954</v>
      </c>
      <c r="C6213" s="39">
        <f t="array" ref="C6213">NPV(B6213,FCFF!$C$9:$I$9)+FCFF!$B$9+FCFF!$I$9*(1+Inputs!$B$6)/(B6213-Inputs!$B$6)/(1+B6213)^7</f>
        <v>-1518.563367</v>
      </c>
    </row>
    <row r="6214" ht="14.25" customHeight="1">
      <c r="A6214" s="7">
        <v>6201.0</v>
      </c>
      <c r="B6214" s="14">
        <f t="shared" si="1"/>
        <v>0.1032750546</v>
      </c>
      <c r="C6214" s="39">
        <f t="array" ref="C6214">NPV(B6214,FCFF!$C$9:$I$9)+FCFF!$B$9+FCFF!$I$9*(1+Inputs!$B$6)/(B6214-Inputs!$B$6)/(1+B6214)^7</f>
        <v>-1472.23838</v>
      </c>
    </row>
    <row r="6215" ht="14.25" customHeight="1">
      <c r="A6215" s="7">
        <v>6202.0</v>
      </c>
      <c r="B6215" s="14">
        <f t="shared" si="1"/>
        <v>0.1239508803</v>
      </c>
      <c r="C6215" s="39">
        <f t="array" ref="C6215">NPV(B6215,FCFF!$C$9:$I$9)+FCFF!$B$9+FCFF!$I$9*(1+Inputs!$B$6)/(B6215-Inputs!$B$6)/(1+B6215)^7</f>
        <v>-1885.377165</v>
      </c>
    </row>
    <row r="6216" ht="14.25" customHeight="1">
      <c r="A6216" s="7">
        <v>6203.0</v>
      </c>
      <c r="B6216" s="14">
        <f t="shared" si="1"/>
        <v>0.1218551165</v>
      </c>
      <c r="C6216" s="39">
        <f t="array" ref="C6216">NPV(B6216,FCFF!$C$9:$I$9)+FCFF!$B$9+FCFF!$I$9*(1+Inputs!$B$6)/(B6216-Inputs!$B$6)/(1+B6216)^7</f>
        <v>-1852.347453</v>
      </c>
    </row>
    <row r="6217" ht="14.25" customHeight="1">
      <c r="A6217" s="7">
        <v>6204.0</v>
      </c>
      <c r="B6217" s="14">
        <f t="shared" si="1"/>
        <v>0.1255822203</v>
      </c>
      <c r="C6217" s="39">
        <f t="array" ref="C6217">NPV(B6217,FCFF!$C$9:$I$9)+FCFF!$B$9+FCFF!$I$9*(1+Inputs!$B$6)/(B6217-Inputs!$B$6)/(1+B6217)^7</f>
        <v>-1910.0174</v>
      </c>
    </row>
    <row r="6218" ht="14.25" customHeight="1">
      <c r="A6218" s="7">
        <v>6205.0</v>
      </c>
      <c r="B6218" s="14">
        <f t="shared" si="1"/>
        <v>0.1275017559</v>
      </c>
      <c r="C6218" s="39">
        <f t="array" ref="C6218">NPV(B6218,FCFF!$C$9:$I$9)+FCFF!$B$9+FCFF!$I$9*(1+Inputs!$B$6)/(B6218-Inputs!$B$6)/(1+B6218)^7</f>
        <v>-1937.878492</v>
      </c>
    </row>
    <row r="6219" ht="14.25" customHeight="1">
      <c r="A6219" s="7">
        <v>6206.0</v>
      </c>
      <c r="B6219" s="14">
        <f t="shared" si="1"/>
        <v>0.1131059249</v>
      </c>
      <c r="C6219" s="39">
        <f t="array" ref="C6219">NPV(B6219,FCFF!$C$9:$I$9)+FCFF!$B$9+FCFF!$I$9*(1+Inputs!$B$6)/(B6219-Inputs!$B$6)/(1+B6219)^7</f>
        <v>-1695.345586</v>
      </c>
    </row>
    <row r="6220" ht="14.25" customHeight="1">
      <c r="A6220" s="7">
        <v>6207.0</v>
      </c>
      <c r="B6220" s="14">
        <f t="shared" si="1"/>
        <v>0.1007910665</v>
      </c>
      <c r="C6220" s="39">
        <f t="array" ref="C6220">NPV(B6220,FCFF!$C$9:$I$9)+FCFF!$B$9+FCFF!$I$9*(1+Inputs!$B$6)/(B6220-Inputs!$B$6)/(1+B6220)^7</f>
        <v>-1405.838348</v>
      </c>
    </row>
    <row r="6221" ht="14.25" customHeight="1">
      <c r="A6221" s="7">
        <v>6208.0</v>
      </c>
      <c r="B6221" s="14">
        <f t="shared" si="1"/>
        <v>0.1134712852</v>
      </c>
      <c r="C6221" s="39">
        <f t="array" ref="C6221">NPV(B6221,FCFF!$C$9:$I$9)+FCFF!$B$9+FCFF!$I$9*(1+Inputs!$B$6)/(B6221-Inputs!$B$6)/(1+B6221)^7</f>
        <v>-1702.593323</v>
      </c>
    </row>
    <row r="6222" ht="14.25" customHeight="1">
      <c r="A6222" s="7">
        <v>6209.0</v>
      </c>
      <c r="B6222" s="14">
        <f t="shared" si="1"/>
        <v>0.1085780742</v>
      </c>
      <c r="C6222" s="39">
        <f t="array" ref="C6222">NPV(B6222,FCFF!$C$9:$I$9)+FCFF!$B$9+FCFF!$I$9*(1+Inputs!$B$6)/(B6222-Inputs!$B$6)/(1+B6222)^7</f>
        <v>-1599.716302</v>
      </c>
    </row>
    <row r="6223" ht="14.25" customHeight="1">
      <c r="A6223" s="7">
        <v>6210.0</v>
      </c>
      <c r="B6223" s="14">
        <f t="shared" si="1"/>
        <v>0.1017025885</v>
      </c>
      <c r="C6223" s="39">
        <f t="array" ref="C6223">NPV(B6223,FCFF!$C$9:$I$9)+FCFF!$B$9+FCFF!$I$9*(1+Inputs!$B$6)/(B6223-Inputs!$B$6)/(1+B6223)^7</f>
        <v>-1430.744995</v>
      </c>
    </row>
    <row r="6224" ht="14.25" customHeight="1">
      <c r="A6224" s="7">
        <v>6211.0</v>
      </c>
      <c r="B6224" s="14">
        <f t="shared" si="1"/>
        <v>0.1108642678</v>
      </c>
      <c r="C6224" s="39">
        <f t="array" ref="C6224">NPV(B6224,FCFF!$C$9:$I$9)+FCFF!$B$9+FCFF!$I$9*(1+Inputs!$B$6)/(B6224-Inputs!$B$6)/(1+B6224)^7</f>
        <v>-1649.386407</v>
      </c>
    </row>
    <row r="6225" ht="14.25" customHeight="1">
      <c r="A6225" s="7">
        <v>6212.0</v>
      </c>
      <c r="B6225" s="14">
        <f t="shared" si="1"/>
        <v>0.1296640715</v>
      </c>
      <c r="C6225" s="39">
        <f t="array" ref="C6225">NPV(B6225,FCFF!$C$9:$I$9)+FCFF!$B$9+FCFF!$I$9*(1+Inputs!$B$6)/(B6225-Inputs!$B$6)/(1+B6225)^7</f>
        <v>-1967.879109</v>
      </c>
    </row>
    <row r="6226" ht="14.25" customHeight="1">
      <c r="A6226" s="7">
        <v>6213.0</v>
      </c>
      <c r="B6226" s="14">
        <f t="shared" si="1"/>
        <v>0.09305864253</v>
      </c>
      <c r="C6226" s="39">
        <f t="array" ref="C6226">NPV(B6226,FCFF!$C$9:$I$9)+FCFF!$B$9+FCFF!$I$9*(1+Inputs!$B$6)/(B6226-Inputs!$B$6)/(1+B6226)^7</f>
        <v>-1165.522619</v>
      </c>
    </row>
    <row r="6227" ht="14.25" customHeight="1">
      <c r="A6227" s="7">
        <v>6214.0</v>
      </c>
      <c r="B6227" s="14">
        <f t="shared" si="1"/>
        <v>0.1172865966</v>
      </c>
      <c r="C6227" s="39">
        <f t="array" ref="C6227">NPV(B6227,FCFF!$C$9:$I$9)+FCFF!$B$9+FCFF!$I$9*(1+Inputs!$B$6)/(B6227-Inputs!$B$6)/(1+B6227)^7</f>
        <v>-1774.496754</v>
      </c>
    </row>
    <row r="6228" ht="14.25" customHeight="1">
      <c r="A6228" s="7">
        <v>6215.0</v>
      </c>
      <c r="B6228" s="14">
        <f t="shared" si="1"/>
        <v>0.09750459711</v>
      </c>
      <c r="C6228" s="39">
        <f t="array" ref="C6228">NPV(B6228,FCFF!$C$9:$I$9)+FCFF!$B$9+FCFF!$I$9*(1+Inputs!$B$6)/(B6228-Inputs!$B$6)/(1+B6228)^7</f>
        <v>-1310.416264</v>
      </c>
    </row>
    <row r="6229" ht="14.25" customHeight="1">
      <c r="A6229" s="7">
        <v>6216.0</v>
      </c>
      <c r="B6229" s="14">
        <f t="shared" si="1"/>
        <v>0.0960604996</v>
      </c>
      <c r="C6229" s="39">
        <f t="array" ref="C6229">NPV(B6229,FCFF!$C$9:$I$9)+FCFF!$B$9+FCFF!$I$9*(1+Inputs!$B$6)/(B6229-Inputs!$B$6)/(1+B6229)^7</f>
        <v>-1265.480168</v>
      </c>
    </row>
    <row r="6230" ht="14.25" customHeight="1">
      <c r="A6230" s="7">
        <v>6217.0</v>
      </c>
      <c r="B6230" s="14">
        <f t="shared" si="1"/>
        <v>0.1230786759</v>
      </c>
      <c r="C6230" s="39">
        <f t="array" ref="C6230">NPV(B6230,FCFF!$C$9:$I$9)+FCFF!$B$9+FCFF!$I$9*(1+Inputs!$B$6)/(B6230-Inputs!$B$6)/(1+B6230)^7</f>
        <v>-1871.823734</v>
      </c>
    </row>
    <row r="6231" ht="14.25" customHeight="1">
      <c r="A6231" s="7">
        <v>6218.0</v>
      </c>
      <c r="B6231" s="14">
        <f t="shared" si="1"/>
        <v>0.1127076962</v>
      </c>
      <c r="C6231" s="39">
        <f t="array" ref="C6231">NPV(B6231,FCFF!$C$9:$I$9)+FCFF!$B$9+FCFF!$I$9*(1+Inputs!$B$6)/(B6231-Inputs!$B$6)/(1+B6231)^7</f>
        <v>-1687.369911</v>
      </c>
    </row>
    <row r="6232" ht="14.25" customHeight="1">
      <c r="A6232" s="7">
        <v>6219.0</v>
      </c>
      <c r="B6232" s="14">
        <f t="shared" si="1"/>
        <v>0.1212808996</v>
      </c>
      <c r="C6232" s="39">
        <f t="array" ref="C6232">NPV(B6232,FCFF!$C$9:$I$9)+FCFF!$B$9+FCFF!$I$9*(1+Inputs!$B$6)/(B6232-Inputs!$B$6)/(1+B6232)^7</f>
        <v>-1843.015542</v>
      </c>
    </row>
    <row r="6233" ht="14.25" customHeight="1">
      <c r="A6233" s="7">
        <v>6220.0</v>
      </c>
      <c r="B6233" s="14">
        <f t="shared" si="1"/>
        <v>0.1117232854</v>
      </c>
      <c r="C6233" s="39">
        <f t="array" ref="C6233">NPV(B6233,FCFF!$C$9:$I$9)+FCFF!$B$9+FCFF!$I$9*(1+Inputs!$B$6)/(B6233-Inputs!$B$6)/(1+B6233)^7</f>
        <v>-1667.307467</v>
      </c>
    </row>
    <row r="6234" ht="14.25" customHeight="1">
      <c r="A6234" s="7">
        <v>6221.0</v>
      </c>
      <c r="B6234" s="14">
        <f t="shared" si="1"/>
        <v>0.09828826334</v>
      </c>
      <c r="C6234" s="39">
        <f t="array" ref="C6234">NPV(B6234,FCFF!$C$9:$I$9)+FCFF!$B$9+FCFF!$I$9*(1+Inputs!$B$6)/(B6234-Inputs!$B$6)/(1+B6234)^7</f>
        <v>-1334.006714</v>
      </c>
    </row>
    <row r="6235" ht="14.25" customHeight="1">
      <c r="A6235" s="7">
        <v>6222.0</v>
      </c>
      <c r="B6235" s="14">
        <f t="shared" si="1"/>
        <v>0.09849279382</v>
      </c>
      <c r="C6235" s="39">
        <f t="array" ref="C6235">NPV(B6235,FCFF!$C$9:$I$9)+FCFF!$B$9+FCFF!$I$9*(1+Inputs!$B$6)/(B6235-Inputs!$B$6)/(1+B6235)^7</f>
        <v>-1340.07467</v>
      </c>
    </row>
    <row r="6236" ht="14.25" customHeight="1">
      <c r="A6236" s="7">
        <v>6223.0</v>
      </c>
      <c r="B6236" s="14">
        <f t="shared" si="1"/>
        <v>0.1098155441</v>
      </c>
      <c r="C6236" s="39">
        <f t="array" ref="C6236">NPV(B6236,FCFF!$C$9:$I$9)+FCFF!$B$9+FCFF!$I$9*(1+Inputs!$B$6)/(B6236-Inputs!$B$6)/(1+B6236)^7</f>
        <v>-1626.966281</v>
      </c>
    </row>
    <row r="6237" ht="14.25" customHeight="1">
      <c r="A6237" s="7">
        <v>6224.0</v>
      </c>
      <c r="B6237" s="14">
        <f t="shared" si="1"/>
        <v>0.1026411529</v>
      </c>
      <c r="C6237" s="39">
        <f t="array" ref="C6237">NPV(B6237,FCFF!$C$9:$I$9)+FCFF!$B$9+FCFF!$I$9*(1+Inputs!$B$6)/(B6237-Inputs!$B$6)/(1+B6237)^7</f>
        <v>-1455.730295</v>
      </c>
    </row>
    <row r="6238" ht="14.25" customHeight="1">
      <c r="A6238" s="7">
        <v>6225.0</v>
      </c>
      <c r="B6238" s="14">
        <f t="shared" si="1"/>
        <v>0.1323287705</v>
      </c>
      <c r="C6238" s="39">
        <f t="array" ref="C6238">NPV(B6238,FCFF!$C$9:$I$9)+FCFF!$B$9+FCFF!$I$9*(1+Inputs!$B$6)/(B6238-Inputs!$B$6)/(1+B6238)^7</f>
        <v>-2002.962211</v>
      </c>
    </row>
    <row r="6239" ht="14.25" customHeight="1">
      <c r="A6239" s="7">
        <v>6226.0</v>
      </c>
      <c r="B6239" s="14">
        <f t="shared" si="1"/>
        <v>0.1099739242</v>
      </c>
      <c r="C6239" s="39">
        <f t="array" ref="C6239">NPV(B6239,FCFF!$C$9:$I$9)+FCFF!$B$9+FCFF!$I$9*(1+Inputs!$B$6)/(B6239-Inputs!$B$6)/(1+B6239)^7</f>
        <v>-1630.391162</v>
      </c>
    </row>
    <row r="6240" ht="14.25" customHeight="1">
      <c r="A6240" s="7">
        <v>6227.0</v>
      </c>
      <c r="B6240" s="14">
        <f t="shared" si="1"/>
        <v>0.1113193305</v>
      </c>
      <c r="C6240" s="39">
        <f t="array" ref="C6240">NPV(B6240,FCFF!$C$9:$I$9)+FCFF!$B$9+FCFF!$I$9*(1+Inputs!$B$6)/(B6240-Inputs!$B$6)/(1+B6240)^7</f>
        <v>-1658.928912</v>
      </c>
    </row>
    <row r="6241" ht="14.25" customHeight="1">
      <c r="A6241" s="7">
        <v>6228.0</v>
      </c>
      <c r="B6241" s="14">
        <f t="shared" si="1"/>
        <v>0.1297753276</v>
      </c>
      <c r="C6241" s="39">
        <f t="array" ref="C6241">NPV(B6241,FCFF!$C$9:$I$9)+FCFF!$B$9+FCFF!$I$9*(1+Inputs!$B$6)/(B6241-Inputs!$B$6)/(1+B6241)^7</f>
        <v>-1969.384661</v>
      </c>
    </row>
    <row r="6242" ht="14.25" customHeight="1">
      <c r="A6242" s="7">
        <v>6229.0</v>
      </c>
      <c r="B6242" s="14">
        <f t="shared" si="1"/>
        <v>0.1142285691</v>
      </c>
      <c r="C6242" s="39">
        <f t="array" ref="C6242">NPV(B6242,FCFF!$C$9:$I$9)+FCFF!$B$9+FCFF!$I$9*(1+Inputs!$B$6)/(B6242-Inputs!$B$6)/(1+B6242)^7</f>
        <v>-1717.407152</v>
      </c>
    </row>
    <row r="6243" ht="14.25" customHeight="1">
      <c r="A6243" s="7">
        <v>6230.0</v>
      </c>
      <c r="B6243" s="14">
        <f t="shared" si="1"/>
        <v>0.1244017614</v>
      </c>
      <c r="C6243" s="39">
        <f t="array" ref="C6243">NPV(B6243,FCFF!$C$9:$I$9)+FCFF!$B$9+FCFF!$I$9*(1+Inputs!$B$6)/(B6243-Inputs!$B$6)/(1+B6243)^7</f>
        <v>-1892.278626</v>
      </c>
    </row>
    <row r="6244" ht="14.25" customHeight="1">
      <c r="A6244" s="7">
        <v>6231.0</v>
      </c>
      <c r="B6244" s="14">
        <f t="shared" si="1"/>
        <v>0.09959662992</v>
      </c>
      <c r="C6244" s="39">
        <f t="array" ref="C6244">NPV(B6244,FCFF!$C$9:$I$9)+FCFF!$B$9+FCFF!$I$9*(1+Inputs!$B$6)/(B6244-Inputs!$B$6)/(1+B6244)^7</f>
        <v>-1372.205334</v>
      </c>
    </row>
    <row r="6245" ht="14.25" customHeight="1">
      <c r="A6245" s="7">
        <v>6232.0</v>
      </c>
      <c r="B6245" s="14">
        <f t="shared" si="1"/>
        <v>0.1252489189</v>
      </c>
      <c r="C6245" s="39">
        <f t="array" ref="C6245">NPV(B6245,FCFF!$C$9:$I$9)+FCFF!$B$9+FCFF!$I$9*(1+Inputs!$B$6)/(B6245-Inputs!$B$6)/(1+B6245)^7</f>
        <v>-1905.056628</v>
      </c>
    </row>
    <row r="6246" ht="14.25" customHeight="1">
      <c r="A6246" s="7">
        <v>6233.0</v>
      </c>
      <c r="B6246" s="14">
        <f t="shared" si="1"/>
        <v>0.1106030941</v>
      </c>
      <c r="C6246" s="39">
        <f t="array" ref="C6246">NPV(B6246,FCFF!$C$9:$I$9)+FCFF!$B$9+FCFF!$I$9*(1+Inputs!$B$6)/(B6246-Inputs!$B$6)/(1+B6246)^7</f>
        <v>-1643.859304</v>
      </c>
    </row>
    <row r="6247" ht="14.25" customHeight="1">
      <c r="A6247" s="7">
        <v>6234.0</v>
      </c>
      <c r="B6247" s="14">
        <f t="shared" si="1"/>
        <v>0.1215956958</v>
      </c>
      <c r="C6247" s="39">
        <f t="array" ref="C6247">NPV(B6247,FCFF!$C$9:$I$9)+FCFF!$B$9+FCFF!$I$9*(1+Inputs!$B$6)/(B6247-Inputs!$B$6)/(1+B6247)^7</f>
        <v>-1848.146867</v>
      </c>
    </row>
    <row r="6248" ht="14.25" customHeight="1">
      <c r="A6248" s="7">
        <v>6235.0</v>
      </c>
      <c r="B6248" s="14">
        <f t="shared" si="1"/>
        <v>0.1040034089</v>
      </c>
      <c r="C6248" s="39">
        <f t="array" ref="C6248">NPV(B6248,FCFF!$C$9:$I$9)+FCFF!$B$9+FCFF!$I$9*(1+Inputs!$B$6)/(B6248-Inputs!$B$6)/(1+B6248)^7</f>
        <v>-1490.851785</v>
      </c>
    </row>
    <row r="6249" ht="14.25" customHeight="1">
      <c r="A6249" s="7">
        <v>6236.0</v>
      </c>
      <c r="B6249" s="14">
        <f t="shared" si="1"/>
        <v>0.1079841185</v>
      </c>
      <c r="C6249" s="39">
        <f t="array" ref="C6249">NPV(B6249,FCFF!$C$9:$I$9)+FCFF!$B$9+FCFF!$I$9*(1+Inputs!$B$6)/(B6249-Inputs!$B$6)/(1+B6249)^7</f>
        <v>-1586.320634</v>
      </c>
    </row>
    <row r="6250" ht="14.25" customHeight="1">
      <c r="A6250" s="7">
        <v>6237.0</v>
      </c>
      <c r="B6250" s="14">
        <f t="shared" si="1"/>
        <v>0.09630205173</v>
      </c>
      <c r="C6250" s="39">
        <f t="array" ref="C6250">NPV(B6250,FCFF!$C$9:$I$9)+FCFF!$B$9+FCFF!$I$9*(1+Inputs!$B$6)/(B6250-Inputs!$B$6)/(1+B6250)^7</f>
        <v>-1273.132552</v>
      </c>
    </row>
    <row r="6251" ht="14.25" customHeight="1">
      <c r="A6251" s="7">
        <v>6238.0</v>
      </c>
      <c r="B6251" s="14">
        <f t="shared" si="1"/>
        <v>0.09625181754</v>
      </c>
      <c r="C6251" s="39">
        <f t="array" ref="C6251">NPV(B6251,FCFF!$C$9:$I$9)+FCFF!$B$9+FCFF!$I$9*(1+Inputs!$B$6)/(B6251-Inputs!$B$6)/(1+B6251)^7</f>
        <v>-1271.545709</v>
      </c>
    </row>
    <row r="6252" ht="14.25" customHeight="1">
      <c r="A6252" s="7">
        <v>6239.0</v>
      </c>
      <c r="B6252" s="14">
        <f t="shared" si="1"/>
        <v>0.1077236226</v>
      </c>
      <c r="C6252" s="39">
        <f t="array" ref="C6252">NPV(B6252,FCFF!$C$9:$I$9)+FCFF!$B$9+FCFF!$I$9*(1+Inputs!$B$6)/(B6252-Inputs!$B$6)/(1+B6252)^7</f>
        <v>-1580.379201</v>
      </c>
    </row>
    <row r="6253" ht="14.25" customHeight="1">
      <c r="A6253" s="7">
        <v>6240.0</v>
      </c>
      <c r="B6253" s="14">
        <f t="shared" si="1"/>
        <v>0.1277874762</v>
      </c>
      <c r="C6253" s="39">
        <f t="array" ref="C6253">NPV(B6253,FCFF!$C$9:$I$9)+FCFF!$B$9+FCFF!$I$9*(1+Inputs!$B$6)/(B6253-Inputs!$B$6)/(1+B6253)^7</f>
        <v>-1941.924911</v>
      </c>
    </row>
    <row r="6254" ht="14.25" customHeight="1">
      <c r="A6254" s="7">
        <v>6241.0</v>
      </c>
      <c r="B6254" s="14">
        <f t="shared" si="1"/>
        <v>0.1191544097</v>
      </c>
      <c r="C6254" s="39">
        <f t="array" ref="C6254">NPV(B6254,FCFF!$C$9:$I$9)+FCFF!$B$9+FCFF!$I$9*(1+Inputs!$B$6)/(B6254-Inputs!$B$6)/(1+B6254)^7</f>
        <v>-1807.345104</v>
      </c>
    </row>
    <row r="6255" ht="14.25" customHeight="1">
      <c r="A6255" s="7">
        <v>6242.0</v>
      </c>
      <c r="B6255" s="14">
        <f t="shared" si="1"/>
        <v>0.1008504568</v>
      </c>
      <c r="C6255" s="39">
        <f t="array" ref="C6255">NPV(B6255,FCFF!$C$9:$I$9)+FCFF!$B$9+FCFF!$I$9*(1+Inputs!$B$6)/(B6255-Inputs!$B$6)/(1+B6255)^7</f>
        <v>-1407.480847</v>
      </c>
    </row>
    <row r="6256" ht="14.25" customHeight="1">
      <c r="A6256" s="7">
        <v>6243.0</v>
      </c>
      <c r="B6256" s="14">
        <f t="shared" si="1"/>
        <v>0.09386226302</v>
      </c>
      <c r="C6256" s="39">
        <f t="array" ref="C6256">NPV(B6256,FCFF!$C$9:$I$9)+FCFF!$B$9+FCFF!$I$9*(1+Inputs!$B$6)/(B6256-Inputs!$B$6)/(1+B6256)^7</f>
        <v>-1193.195078</v>
      </c>
    </row>
    <row r="6257" ht="14.25" customHeight="1">
      <c r="A6257" s="7">
        <v>6244.0</v>
      </c>
      <c r="B6257" s="14">
        <f t="shared" si="1"/>
        <v>0.10082879</v>
      </c>
      <c r="C6257" s="39">
        <f t="array" ref="C6257">NPV(B6257,FCFF!$C$9:$I$9)+FCFF!$B$9+FCFF!$I$9*(1+Inputs!$B$6)/(B6257-Inputs!$B$6)/(1+B6257)^7</f>
        <v>-1406.881951</v>
      </c>
    </row>
    <row r="6258" ht="14.25" customHeight="1">
      <c r="A6258" s="7">
        <v>6245.0</v>
      </c>
      <c r="B6258" s="14">
        <f t="shared" si="1"/>
        <v>0.1087196272</v>
      </c>
      <c r="C6258" s="39">
        <f t="array" ref="C6258">NPV(B6258,FCFF!$C$9:$I$9)+FCFF!$B$9+FCFF!$I$9*(1+Inputs!$B$6)/(B6258-Inputs!$B$6)/(1+B6258)^7</f>
        <v>-1602.878113</v>
      </c>
    </row>
    <row r="6259" ht="14.25" customHeight="1">
      <c r="A6259" s="7">
        <v>6246.0</v>
      </c>
      <c r="B6259" s="14">
        <f t="shared" si="1"/>
        <v>0.1251752421</v>
      </c>
      <c r="C6259" s="39">
        <f t="array" ref="C6259">NPV(B6259,FCFF!$C$9:$I$9)+FCFF!$B$9+FCFF!$I$9*(1+Inputs!$B$6)/(B6259-Inputs!$B$6)/(1+B6259)^7</f>
        <v>-1903.955011</v>
      </c>
    </row>
    <row r="6260" ht="14.25" customHeight="1">
      <c r="A6260" s="7">
        <v>6247.0</v>
      </c>
      <c r="B6260" s="14">
        <f t="shared" si="1"/>
        <v>0.1012361724</v>
      </c>
      <c r="C6260" s="39">
        <f t="array" ref="C6260">NPV(B6260,FCFF!$C$9:$I$9)+FCFF!$B$9+FCFF!$I$9*(1+Inputs!$B$6)/(B6260-Inputs!$B$6)/(1+B6260)^7</f>
        <v>-1418.080939</v>
      </c>
    </row>
    <row r="6261" ht="14.25" customHeight="1">
      <c r="A6261" s="7">
        <v>6248.0</v>
      </c>
      <c r="B6261" s="14">
        <f t="shared" si="1"/>
        <v>0.1296544926</v>
      </c>
      <c r="C6261" s="39">
        <f t="array" ref="C6261">NPV(B6261,FCFF!$C$9:$I$9)+FCFF!$B$9+FCFF!$I$9*(1+Inputs!$B$6)/(B6261-Inputs!$B$6)/(1+B6261)^7</f>
        <v>-1967.749314</v>
      </c>
    </row>
    <row r="6262" ht="14.25" customHeight="1">
      <c r="A6262" s="7">
        <v>6249.0</v>
      </c>
      <c r="B6262" s="14">
        <f t="shared" si="1"/>
        <v>0.129461374</v>
      </c>
      <c r="C6262" s="39">
        <f t="array" ref="C6262">NPV(B6262,FCFF!$C$9:$I$9)+FCFF!$B$9+FCFF!$I$9*(1+Inputs!$B$6)/(B6262-Inputs!$B$6)/(1+B6262)^7</f>
        <v>-1965.126756</v>
      </c>
    </row>
    <row r="6263" ht="14.25" customHeight="1">
      <c r="A6263" s="7">
        <v>6250.0</v>
      </c>
      <c r="B6263" s="14">
        <f t="shared" si="1"/>
        <v>0.1217759531</v>
      </c>
      <c r="C6263" s="39">
        <f t="array" ref="C6263">NPV(B6263,FCFF!$C$9:$I$9)+FCFF!$B$9+FCFF!$I$9*(1+Inputs!$B$6)/(B6263-Inputs!$B$6)/(1+B6263)^7</f>
        <v>-1851.068302</v>
      </c>
    </row>
    <row r="6264" ht="14.25" customHeight="1">
      <c r="A6264" s="7">
        <v>6251.0</v>
      </c>
      <c r="B6264" s="14">
        <f t="shared" si="1"/>
        <v>0.1003765328</v>
      </c>
      <c r="C6264" s="39">
        <f t="array" ref="C6264">NPV(B6264,FCFF!$C$9:$I$9)+FCFF!$B$9+FCFF!$I$9*(1+Inputs!$B$6)/(B6264-Inputs!$B$6)/(1+B6264)^7</f>
        <v>-1394.296163</v>
      </c>
    </row>
    <row r="6265" ht="14.25" customHeight="1">
      <c r="A6265" s="7">
        <v>6252.0</v>
      </c>
      <c r="B6265" s="14">
        <f t="shared" si="1"/>
        <v>0.1273217111</v>
      </c>
      <c r="C6265" s="39">
        <f t="array" ref="C6265">NPV(B6265,FCFF!$C$9:$I$9)+FCFF!$B$9+FCFF!$I$9*(1+Inputs!$B$6)/(B6265-Inputs!$B$6)/(1+B6265)^7</f>
        <v>-1935.315502</v>
      </c>
    </row>
    <row r="6266" ht="14.25" customHeight="1">
      <c r="A6266" s="7">
        <v>6253.0</v>
      </c>
      <c r="B6266" s="14">
        <f t="shared" si="1"/>
        <v>0.1155178112</v>
      </c>
      <c r="C6266" s="39">
        <f t="array" ref="C6266">NPV(B6266,FCFF!$C$9:$I$9)+FCFF!$B$9+FCFF!$I$9*(1+Inputs!$B$6)/(B6266-Inputs!$B$6)/(1+B6266)^7</f>
        <v>-1741.997203</v>
      </c>
    </row>
    <row r="6267" ht="14.25" customHeight="1">
      <c r="A6267" s="7">
        <v>6254.0</v>
      </c>
      <c r="B6267" s="14">
        <f t="shared" si="1"/>
        <v>0.1262777554</v>
      </c>
      <c r="C6267" s="39">
        <f t="array" ref="C6267">NPV(B6267,FCFF!$C$9:$I$9)+FCFF!$B$9+FCFF!$I$9*(1+Inputs!$B$6)/(B6267-Inputs!$B$6)/(1+B6267)^7</f>
        <v>-1920.250829</v>
      </c>
    </row>
    <row r="6268" ht="14.25" customHeight="1">
      <c r="A6268" s="7">
        <v>6255.0</v>
      </c>
      <c r="B6268" s="14">
        <f t="shared" si="1"/>
        <v>0.1151397598</v>
      </c>
      <c r="C6268" s="39">
        <f t="array" ref="C6268">NPV(B6268,FCFF!$C$9:$I$9)+FCFF!$B$9+FCFF!$I$9*(1+Inputs!$B$6)/(B6268-Inputs!$B$6)/(1+B6268)^7</f>
        <v>-1734.867215</v>
      </c>
    </row>
    <row r="6269" ht="14.25" customHeight="1">
      <c r="A6269" s="7">
        <v>6256.0</v>
      </c>
      <c r="B6269" s="14">
        <f t="shared" si="1"/>
        <v>0.1079344971</v>
      </c>
      <c r="C6269" s="39">
        <f t="array" ref="C6269">NPV(B6269,FCFF!$C$9:$I$9)+FCFF!$B$9+FCFF!$I$9*(1+Inputs!$B$6)/(B6269-Inputs!$B$6)/(1+B6269)^7</f>
        <v>-1585.192007</v>
      </c>
    </row>
    <row r="6270" ht="14.25" customHeight="1">
      <c r="A6270" s="7">
        <v>6257.0</v>
      </c>
      <c r="B6270" s="14">
        <f t="shared" si="1"/>
        <v>0.1272503349</v>
      </c>
      <c r="C6270" s="39">
        <f t="array" ref="C6270">NPV(B6270,FCFF!$C$9:$I$9)+FCFF!$B$9+FCFF!$I$9*(1+Inputs!$B$6)/(B6270-Inputs!$B$6)/(1+B6270)^7</f>
        <v>-1934.296609</v>
      </c>
    </row>
    <row r="6271" ht="14.25" customHeight="1">
      <c r="A6271" s="7">
        <v>6258.0</v>
      </c>
      <c r="B6271" s="14">
        <f t="shared" si="1"/>
        <v>0.1172597176</v>
      </c>
      <c r="C6271" s="39">
        <f t="array" ref="C6271">NPV(B6271,FCFF!$C$9:$I$9)+FCFF!$B$9+FCFF!$I$9*(1+Inputs!$B$6)/(B6271-Inputs!$B$6)/(1+B6271)^7</f>
        <v>-1774.013232</v>
      </c>
    </row>
    <row r="6272" ht="14.25" customHeight="1">
      <c r="A6272" s="7">
        <v>6259.0</v>
      </c>
      <c r="B6272" s="14">
        <f t="shared" si="1"/>
        <v>0.09645634651</v>
      </c>
      <c r="C6272" s="39">
        <f t="array" ref="C6272">NPV(B6272,FCFF!$C$9:$I$9)+FCFF!$B$9+FCFF!$I$9*(1+Inputs!$B$6)/(B6272-Inputs!$B$6)/(1+B6272)^7</f>
        <v>-1277.991602</v>
      </c>
    </row>
    <row r="6273" ht="14.25" customHeight="1">
      <c r="A6273" s="7">
        <v>6260.0</v>
      </c>
      <c r="B6273" s="14">
        <f t="shared" si="1"/>
        <v>0.1248090306</v>
      </c>
      <c r="C6273" s="39">
        <f t="array" ref="C6273">NPV(B6273,FCFF!$C$9:$I$9)+FCFF!$B$9+FCFF!$I$9*(1+Inputs!$B$6)/(B6273-Inputs!$B$6)/(1+B6273)^7</f>
        <v>-1898.452163</v>
      </c>
    </row>
    <row r="6274" ht="14.25" customHeight="1">
      <c r="A6274" s="7">
        <v>6261.0</v>
      </c>
      <c r="B6274" s="14">
        <f t="shared" si="1"/>
        <v>0.09901044741</v>
      </c>
      <c r="C6274" s="39">
        <f t="array" ref="C6274">NPV(B6274,FCFF!$C$9:$I$9)+FCFF!$B$9+FCFF!$I$9*(1+Inputs!$B$6)/(B6274-Inputs!$B$6)/(1+B6274)^7</f>
        <v>-1355.271119</v>
      </c>
    </row>
    <row r="6275" ht="14.25" customHeight="1">
      <c r="A6275" s="7">
        <v>6262.0</v>
      </c>
      <c r="B6275" s="14">
        <f t="shared" si="1"/>
        <v>0.1324958244</v>
      </c>
      <c r="C6275" s="39">
        <f t="array" ref="C6275">NPV(B6275,FCFF!$C$9:$I$9)+FCFF!$B$9+FCFF!$I$9*(1+Inputs!$B$6)/(B6275-Inputs!$B$6)/(1+B6275)^7</f>
        <v>-2005.095497</v>
      </c>
    </row>
    <row r="6276" ht="14.25" customHeight="1">
      <c r="A6276" s="7">
        <v>6263.0</v>
      </c>
      <c r="B6276" s="14">
        <f t="shared" si="1"/>
        <v>0.1221300063</v>
      </c>
      <c r="C6276" s="39">
        <f t="array" ref="C6276">NPV(B6276,FCFF!$C$9:$I$9)+FCFF!$B$9+FCFF!$I$9*(1+Inputs!$B$6)/(B6276-Inputs!$B$6)/(1+B6276)^7</f>
        <v>-1856.771063</v>
      </c>
    </row>
    <row r="6277" ht="14.25" customHeight="1">
      <c r="A6277" s="7">
        <v>6264.0</v>
      </c>
      <c r="B6277" s="14">
        <f t="shared" si="1"/>
        <v>0.1326899129</v>
      </c>
      <c r="C6277" s="39">
        <f t="array" ref="C6277">NPV(B6277,FCFF!$C$9:$I$9)+FCFF!$B$9+FCFF!$I$9*(1+Inputs!$B$6)/(B6277-Inputs!$B$6)/(1+B6277)^7</f>
        <v>-2007.564499</v>
      </c>
    </row>
    <row r="6278" ht="14.25" customHeight="1">
      <c r="A6278" s="7">
        <v>6265.0</v>
      </c>
      <c r="B6278" s="14">
        <f t="shared" si="1"/>
        <v>0.1030723059</v>
      </c>
      <c r="C6278" s="39">
        <f t="array" ref="C6278">NPV(B6278,FCFF!$C$9:$I$9)+FCFF!$B$9+FCFF!$I$9*(1+Inputs!$B$6)/(B6278-Inputs!$B$6)/(1+B6278)^7</f>
        <v>-1466.989997</v>
      </c>
    </row>
    <row r="6279" ht="14.25" customHeight="1">
      <c r="A6279" s="7">
        <v>6266.0</v>
      </c>
      <c r="B6279" s="14">
        <f t="shared" si="1"/>
        <v>0.1266720099</v>
      </c>
      <c r="C6279" s="39">
        <f t="array" ref="C6279">NPV(B6279,FCFF!$C$9:$I$9)+FCFF!$B$9+FCFF!$I$9*(1+Inputs!$B$6)/(B6279-Inputs!$B$6)/(1+B6279)^7</f>
        <v>-1925.981236</v>
      </c>
    </row>
    <row r="6280" ht="14.25" customHeight="1">
      <c r="A6280" s="7">
        <v>6267.0</v>
      </c>
      <c r="B6280" s="14">
        <f t="shared" si="1"/>
        <v>0.1102322815</v>
      </c>
      <c r="C6280" s="39">
        <f t="array" ref="C6280">NPV(B6280,FCFF!$C$9:$I$9)+FCFF!$B$9+FCFF!$I$9*(1+Inputs!$B$6)/(B6280-Inputs!$B$6)/(1+B6280)^7</f>
        <v>-1635.948027</v>
      </c>
    </row>
    <row r="6281" ht="14.25" customHeight="1">
      <c r="A6281" s="7">
        <v>6268.0</v>
      </c>
      <c r="B6281" s="14">
        <f t="shared" si="1"/>
        <v>0.1018849949</v>
      </c>
      <c r="C6281" s="39">
        <f t="array" ref="C6281">NPV(B6281,FCFF!$C$9:$I$9)+FCFF!$B$9+FCFF!$I$9*(1+Inputs!$B$6)/(B6281-Inputs!$B$6)/(1+B6281)^7</f>
        <v>-1435.652485</v>
      </c>
    </row>
    <row r="6282" ht="14.25" customHeight="1">
      <c r="A6282" s="7">
        <v>6269.0</v>
      </c>
      <c r="B6282" s="14">
        <f t="shared" si="1"/>
        <v>0.09643623679</v>
      </c>
      <c r="C6282" s="39">
        <f t="array" ref="C6282">NPV(B6282,FCFF!$C$9:$I$9)+FCFF!$B$9+FCFF!$I$9*(1+Inputs!$B$6)/(B6282-Inputs!$B$6)/(1+B6282)^7</f>
        <v>-1277.359582</v>
      </c>
    </row>
    <row r="6283" ht="14.25" customHeight="1">
      <c r="A6283" s="7">
        <v>6270.0</v>
      </c>
      <c r="B6283" s="14">
        <f t="shared" si="1"/>
        <v>0.1202630513</v>
      </c>
      <c r="C6283" s="39">
        <f t="array" ref="C6283">NPV(B6283,FCFF!$C$9:$I$9)+FCFF!$B$9+FCFF!$I$9*(1+Inputs!$B$6)/(B6283-Inputs!$B$6)/(1+B6283)^7</f>
        <v>-1826.163976</v>
      </c>
    </row>
    <row r="6284" ht="14.25" customHeight="1">
      <c r="A6284" s="7">
        <v>6271.0</v>
      </c>
      <c r="B6284" s="14">
        <f t="shared" si="1"/>
        <v>0.1135205996</v>
      </c>
      <c r="C6284" s="39">
        <f t="array" ref="C6284">NPV(B6284,FCFF!$C$9:$I$9)+FCFF!$B$9+FCFF!$I$9*(1+Inputs!$B$6)/(B6284-Inputs!$B$6)/(1+B6284)^7</f>
        <v>-1703.566527</v>
      </c>
    </row>
    <row r="6285" ht="14.25" customHeight="1">
      <c r="A6285" s="7">
        <v>6272.0</v>
      </c>
      <c r="B6285" s="14">
        <f t="shared" si="1"/>
        <v>0.1198814671</v>
      </c>
      <c r="C6285" s="39">
        <f t="array" ref="C6285">NPV(B6285,FCFF!$C$9:$I$9)+FCFF!$B$9+FCFF!$I$9*(1+Inputs!$B$6)/(B6285-Inputs!$B$6)/(1+B6285)^7</f>
        <v>-1819.742133</v>
      </c>
    </row>
    <row r="6286" ht="14.25" customHeight="1">
      <c r="A6286" s="7">
        <v>6273.0</v>
      </c>
      <c r="B6286" s="14">
        <f t="shared" si="1"/>
        <v>0.1052163666</v>
      </c>
      <c r="C6286" s="39">
        <f t="array" ref="C6286">NPV(B6286,FCFF!$C$9:$I$9)+FCFF!$B$9+FCFF!$I$9*(1+Inputs!$B$6)/(B6286-Inputs!$B$6)/(1+B6286)^7</f>
        <v>-1521.035626</v>
      </c>
    </row>
    <row r="6287" ht="14.25" customHeight="1">
      <c r="A6287" s="7">
        <v>6274.0</v>
      </c>
      <c r="B6287" s="14">
        <f t="shared" si="1"/>
        <v>0.110073468</v>
      </c>
      <c r="C6287" s="39">
        <f t="array" ref="C6287">NPV(B6287,FCFF!$C$9:$I$9)+FCFF!$B$9+FCFF!$I$9*(1+Inputs!$B$6)/(B6287-Inputs!$B$6)/(1+B6287)^7</f>
        <v>-1632.53658</v>
      </c>
    </row>
    <row r="6288" ht="14.25" customHeight="1">
      <c r="A6288" s="7">
        <v>6275.0</v>
      </c>
      <c r="B6288" s="14">
        <f t="shared" si="1"/>
        <v>0.1284405643</v>
      </c>
      <c r="C6288" s="39">
        <f t="array" ref="C6288">NPV(B6288,FCFF!$C$9:$I$9)+FCFF!$B$9+FCFF!$I$9*(1+Inputs!$B$6)/(B6288-Inputs!$B$6)/(1+B6288)^7</f>
        <v>-1951.078865</v>
      </c>
    </row>
    <row r="6289" ht="14.25" customHeight="1">
      <c r="A6289" s="7">
        <v>6276.0</v>
      </c>
      <c r="B6289" s="14">
        <f t="shared" si="1"/>
        <v>0.09995127933</v>
      </c>
      <c r="C6289" s="39">
        <f t="array" ref="C6289">NPV(B6289,FCFF!$C$9:$I$9)+FCFF!$B$9+FCFF!$I$9*(1+Inputs!$B$6)/(B6289-Inputs!$B$6)/(1+B6289)^7</f>
        <v>-1382.312277</v>
      </c>
    </row>
    <row r="6290" ht="14.25" customHeight="1">
      <c r="A6290" s="7">
        <v>6277.0</v>
      </c>
      <c r="B6290" s="14">
        <f t="shared" si="1"/>
        <v>0.1155833207</v>
      </c>
      <c r="C6290" s="39">
        <f t="array" ref="C6290">NPV(B6290,FCFF!$C$9:$I$9)+FCFF!$B$9+FCFF!$I$9*(1+Inputs!$B$6)/(B6290-Inputs!$B$6)/(1+B6290)^7</f>
        <v>-1743.226001</v>
      </c>
    </row>
    <row r="6291" ht="14.25" customHeight="1">
      <c r="A6291" s="7">
        <v>6278.0</v>
      </c>
      <c r="B6291" s="14">
        <f t="shared" si="1"/>
        <v>0.109016898</v>
      </c>
      <c r="C6291" s="39">
        <f t="array" ref="C6291">NPV(B6291,FCFF!$C$9:$I$9)+FCFF!$B$9+FCFF!$I$9*(1+Inputs!$B$6)/(B6291-Inputs!$B$6)/(1+B6291)^7</f>
        <v>-1609.480166</v>
      </c>
    </row>
    <row r="6292" ht="14.25" customHeight="1">
      <c r="A6292" s="7">
        <v>6279.0</v>
      </c>
      <c r="B6292" s="14">
        <f t="shared" si="1"/>
        <v>0.1246560843</v>
      </c>
      <c r="C6292" s="39">
        <f t="array" ref="C6292">NPV(B6292,FCFF!$C$9:$I$9)+FCFF!$B$9+FCFF!$I$9*(1+Inputs!$B$6)/(B6292-Inputs!$B$6)/(1+B6292)^7</f>
        <v>-1896.140417</v>
      </c>
    </row>
    <row r="6293" ht="14.25" customHeight="1">
      <c r="A6293" s="7">
        <v>6280.0</v>
      </c>
      <c r="B6293" s="14">
        <f t="shared" si="1"/>
        <v>0.1164492566</v>
      </c>
      <c r="C6293" s="39">
        <f t="array" ref="C6293">NPV(B6293,FCFF!$C$9:$I$9)+FCFF!$B$9+FCFF!$I$9*(1+Inputs!$B$6)/(B6293-Inputs!$B$6)/(1+B6293)^7</f>
        <v>-1759.28548</v>
      </c>
    </row>
    <row r="6294" ht="14.25" customHeight="1">
      <c r="A6294" s="7">
        <v>6281.0</v>
      </c>
      <c r="B6294" s="14">
        <f t="shared" si="1"/>
        <v>0.1007407332</v>
      </c>
      <c r="C6294" s="39">
        <f t="array" ref="C6294">NPV(B6294,FCFF!$C$9:$I$9)+FCFF!$B$9+FCFF!$I$9*(1+Inputs!$B$6)/(B6294-Inputs!$B$6)/(1+B6294)^7</f>
        <v>-1404.444154</v>
      </c>
    </row>
    <row r="6295" ht="14.25" customHeight="1">
      <c r="A6295" s="7">
        <v>6282.0</v>
      </c>
      <c r="B6295" s="14">
        <f t="shared" si="1"/>
        <v>0.1160287135</v>
      </c>
      <c r="C6295" s="39">
        <f t="array" ref="C6295">NPV(B6295,FCFF!$C$9:$I$9)+FCFF!$B$9+FCFF!$I$9*(1+Inputs!$B$6)/(B6295-Inputs!$B$6)/(1+B6295)^7</f>
        <v>-1751.528501</v>
      </c>
    </row>
    <row r="6296" ht="14.25" customHeight="1">
      <c r="A6296" s="7">
        <v>6283.0</v>
      </c>
      <c r="B6296" s="14">
        <f t="shared" si="1"/>
        <v>0.1196837622</v>
      </c>
      <c r="C6296" s="39">
        <f t="array" ref="C6296">NPV(B6296,FCFF!$C$9:$I$9)+FCFF!$B$9+FCFF!$I$9*(1+Inputs!$B$6)/(B6296-Inputs!$B$6)/(1+B6296)^7</f>
        <v>-1816.392117</v>
      </c>
    </row>
    <row r="6297" ht="14.25" customHeight="1">
      <c r="A6297" s="7">
        <v>6284.0</v>
      </c>
      <c r="B6297" s="14">
        <f t="shared" si="1"/>
        <v>0.1029525907</v>
      </c>
      <c r="C6297" s="39">
        <f t="array" ref="C6297">NPV(B6297,FCFF!$C$9:$I$9)+FCFF!$B$9+FCFF!$I$9*(1+Inputs!$B$6)/(B6297-Inputs!$B$6)/(1+B6297)^7</f>
        <v>-1463.877129</v>
      </c>
    </row>
    <row r="6298" ht="14.25" customHeight="1">
      <c r="A6298" s="7">
        <v>6285.0</v>
      </c>
      <c r="B6298" s="14">
        <f t="shared" si="1"/>
        <v>0.1001721587</v>
      </c>
      <c r="C6298" s="39">
        <f t="array" ref="C6298">NPV(B6298,FCFF!$C$9:$I$9)+FCFF!$B$9+FCFF!$I$9*(1+Inputs!$B$6)/(B6298-Inputs!$B$6)/(1+B6298)^7</f>
        <v>-1388.55504</v>
      </c>
    </row>
    <row r="6299" ht="14.25" customHeight="1">
      <c r="A6299" s="7">
        <v>6286.0</v>
      </c>
      <c r="B6299" s="14">
        <f t="shared" si="1"/>
        <v>0.1065769847</v>
      </c>
      <c r="C6299" s="39">
        <f t="array" ref="C6299">NPV(B6299,FCFF!$C$9:$I$9)+FCFF!$B$9+FCFF!$I$9*(1+Inputs!$B$6)/(B6299-Inputs!$B$6)/(1+B6299)^7</f>
        <v>-1553.733302</v>
      </c>
    </row>
    <row r="6300" ht="14.25" customHeight="1">
      <c r="A6300" s="7">
        <v>6287.0</v>
      </c>
      <c r="B6300" s="14">
        <f t="shared" si="1"/>
        <v>0.108090762</v>
      </c>
      <c r="C6300" s="39">
        <f t="array" ref="C6300">NPV(B6300,FCFF!$C$9:$I$9)+FCFF!$B$9+FCFF!$I$9*(1+Inputs!$B$6)/(B6300-Inputs!$B$6)/(1+B6300)^7</f>
        <v>-1588.74123</v>
      </c>
    </row>
    <row r="6301" ht="14.25" customHeight="1">
      <c r="A6301" s="7">
        <v>6288.0</v>
      </c>
      <c r="B6301" s="14">
        <f t="shared" si="1"/>
        <v>0.1220857051</v>
      </c>
      <c r="C6301" s="39">
        <f t="array" ref="C6301">NPV(B6301,FCFF!$C$9:$I$9)+FCFF!$B$9+FCFF!$I$9*(1+Inputs!$B$6)/(B6301-Inputs!$B$6)/(1+B6301)^7</f>
        <v>-1856.060054</v>
      </c>
    </row>
    <row r="6302" ht="14.25" customHeight="1">
      <c r="A6302" s="7">
        <v>6289.0</v>
      </c>
      <c r="B6302" s="14">
        <f t="shared" si="1"/>
        <v>0.1204027593</v>
      </c>
      <c r="C6302" s="39">
        <f t="array" ref="C6302">NPV(B6302,FCFF!$C$9:$I$9)+FCFF!$B$9+FCFF!$I$9*(1+Inputs!$B$6)/(B6302-Inputs!$B$6)/(1+B6302)^7</f>
        <v>-1828.500822</v>
      </c>
    </row>
    <row r="6303" ht="14.25" customHeight="1">
      <c r="A6303" s="7">
        <v>6290.0</v>
      </c>
      <c r="B6303" s="14">
        <f t="shared" si="1"/>
        <v>0.1200571646</v>
      </c>
      <c r="C6303" s="39">
        <f t="array" ref="C6303">NPV(B6303,FCFF!$C$9:$I$9)+FCFF!$B$9+FCFF!$I$9*(1+Inputs!$B$6)/(B6303-Inputs!$B$6)/(1+B6303)^7</f>
        <v>-1822.706179</v>
      </c>
    </row>
    <row r="6304" ht="14.25" customHeight="1">
      <c r="A6304" s="7">
        <v>6291.0</v>
      </c>
      <c r="B6304" s="14">
        <f t="shared" si="1"/>
        <v>0.1058482074</v>
      </c>
      <c r="C6304" s="39">
        <f t="array" ref="C6304">NPV(B6304,FCFF!$C$9:$I$9)+FCFF!$B$9+FCFF!$I$9*(1+Inputs!$B$6)/(B6304-Inputs!$B$6)/(1+B6304)^7</f>
        <v>-1536.368799</v>
      </c>
    </row>
    <row r="6305" ht="14.25" customHeight="1">
      <c r="A6305" s="7">
        <v>6292.0</v>
      </c>
      <c r="B6305" s="14">
        <f t="shared" si="1"/>
        <v>0.1248197936</v>
      </c>
      <c r="C6305" s="39">
        <f t="array" ref="C6305">NPV(B6305,FCFF!$C$9:$I$9)+FCFF!$B$9+FCFF!$I$9*(1+Inputs!$B$6)/(B6305-Inputs!$B$6)/(1+B6305)^7</f>
        <v>-1898.614541</v>
      </c>
    </row>
    <row r="6306" ht="14.25" customHeight="1">
      <c r="A6306" s="7">
        <v>6293.0</v>
      </c>
      <c r="B6306" s="14">
        <f t="shared" si="1"/>
        <v>0.1257779637</v>
      </c>
      <c r="C6306" s="39">
        <f t="array" ref="C6306">NPV(B6306,FCFF!$C$9:$I$9)+FCFF!$B$9+FCFF!$I$9*(1+Inputs!$B$6)/(B6306-Inputs!$B$6)/(1+B6306)^7</f>
        <v>-1912.913525</v>
      </c>
    </row>
    <row r="6307" ht="14.25" customHeight="1">
      <c r="A6307" s="7">
        <v>6294.0</v>
      </c>
      <c r="B6307" s="14">
        <f t="shared" si="1"/>
        <v>0.1224262323</v>
      </c>
      <c r="C6307" s="39">
        <f t="array" ref="C6307">NPV(B6307,FCFF!$C$9:$I$9)+FCFF!$B$9+FCFF!$I$9*(1+Inputs!$B$6)/(B6307-Inputs!$B$6)/(1+B6307)^7</f>
        <v>-1861.506677</v>
      </c>
    </row>
    <row r="6308" ht="14.25" customHeight="1">
      <c r="A6308" s="7">
        <v>6295.0</v>
      </c>
      <c r="B6308" s="14">
        <f t="shared" si="1"/>
        <v>0.1278149545</v>
      </c>
      <c r="C6308" s="39">
        <f t="array" ref="C6308">NPV(B6308,FCFF!$C$9:$I$9)+FCFF!$B$9+FCFF!$I$9*(1+Inputs!$B$6)/(B6308-Inputs!$B$6)/(1+B6308)^7</f>
        <v>-1942.312719</v>
      </c>
    </row>
    <row r="6309" ht="14.25" customHeight="1">
      <c r="A6309" s="7">
        <v>6296.0</v>
      </c>
      <c r="B6309" s="14">
        <f t="shared" si="1"/>
        <v>0.1022316633</v>
      </c>
      <c r="C6309" s="39">
        <f t="array" ref="C6309">NPV(B6309,FCFF!$C$9:$I$9)+FCFF!$B$9+FCFF!$I$9*(1+Inputs!$B$6)/(B6309-Inputs!$B$6)/(1+B6309)^7</f>
        <v>-1444.910198</v>
      </c>
    </row>
    <row r="6310" ht="14.25" customHeight="1">
      <c r="A6310" s="7">
        <v>6297.0</v>
      </c>
      <c r="B6310" s="14">
        <f t="shared" si="1"/>
        <v>0.09326911636</v>
      </c>
      <c r="C6310" s="39">
        <f t="array" ref="C6310">NPV(B6310,FCFF!$C$9:$I$9)+FCFF!$B$9+FCFF!$I$9*(1+Inputs!$B$6)/(B6310-Inputs!$B$6)/(1+B6310)^7</f>
        <v>-1172.837415</v>
      </c>
    </row>
    <row r="6311" ht="14.25" customHeight="1">
      <c r="A6311" s="7">
        <v>6298.0</v>
      </c>
      <c r="B6311" s="14">
        <f t="shared" si="1"/>
        <v>0.1007523068</v>
      </c>
      <c r="C6311" s="39">
        <f t="array" ref="C6311">NPV(B6311,FCFF!$C$9:$I$9)+FCFF!$B$9+FCFF!$I$9*(1+Inputs!$B$6)/(B6311-Inputs!$B$6)/(1+B6311)^7</f>
        <v>-1404.764911</v>
      </c>
    </row>
    <row r="6312" ht="14.25" customHeight="1">
      <c r="A6312" s="7">
        <v>6299.0</v>
      </c>
      <c r="B6312" s="14">
        <f t="shared" si="1"/>
        <v>0.09995941269</v>
      </c>
      <c r="C6312" s="39">
        <f t="array" ref="C6312">NPV(B6312,FCFF!$C$9:$I$9)+FCFF!$B$9+FCFF!$I$9*(1+Inputs!$B$6)/(B6312-Inputs!$B$6)/(1+B6312)^7</f>
        <v>-1382.542856</v>
      </c>
    </row>
    <row r="6313" ht="14.25" customHeight="1">
      <c r="A6313" s="7">
        <v>6300.0</v>
      </c>
      <c r="B6313" s="14">
        <f t="shared" si="1"/>
        <v>0.1141517984</v>
      </c>
      <c r="C6313" s="39">
        <f t="array" ref="C6313">NPV(B6313,FCFF!$C$9:$I$9)+FCFF!$B$9+FCFF!$I$9*(1+Inputs!$B$6)/(B6313-Inputs!$B$6)/(1+B6313)^7</f>
        <v>-1715.918046</v>
      </c>
    </row>
    <row r="6314" ht="14.25" customHeight="1">
      <c r="A6314" s="7">
        <v>6301.0</v>
      </c>
      <c r="B6314" s="14">
        <f t="shared" si="1"/>
        <v>0.09707393154</v>
      </c>
      <c r="C6314" s="39">
        <f t="array" ref="C6314">NPV(B6314,FCFF!$C$9:$I$9)+FCFF!$B$9+FCFF!$I$9*(1+Inputs!$B$6)/(B6314-Inputs!$B$6)/(1+B6314)^7</f>
        <v>-1297.217326</v>
      </c>
    </row>
    <row r="6315" ht="14.25" customHeight="1">
      <c r="A6315" s="7">
        <v>6302.0</v>
      </c>
      <c r="B6315" s="14">
        <f t="shared" si="1"/>
        <v>0.1209260726</v>
      </c>
      <c r="C6315" s="39">
        <f t="array" ref="C6315">NPV(B6315,FCFF!$C$9:$I$9)+FCFF!$B$9+FCFF!$I$9*(1+Inputs!$B$6)/(B6315-Inputs!$B$6)/(1+B6315)^7</f>
        <v>-1837.186446</v>
      </c>
    </row>
    <row r="6316" ht="14.25" customHeight="1">
      <c r="A6316" s="7">
        <v>6303.0</v>
      </c>
      <c r="B6316" s="14">
        <f t="shared" si="1"/>
        <v>0.1178098861</v>
      </c>
      <c r="C6316" s="39">
        <f t="array" ref="C6316">NPV(B6316,FCFF!$C$9:$I$9)+FCFF!$B$9+FCFF!$I$9*(1+Inputs!$B$6)/(B6316-Inputs!$B$6)/(1+B6316)^7</f>
        <v>-1783.848114</v>
      </c>
    </row>
    <row r="6317" ht="14.25" customHeight="1">
      <c r="A6317" s="7">
        <v>6304.0</v>
      </c>
      <c r="B6317" s="14">
        <f t="shared" si="1"/>
        <v>0.09682690482</v>
      </c>
      <c r="C6317" s="39">
        <f t="array" ref="C6317">NPV(B6317,FCFF!$C$9:$I$9)+FCFF!$B$9+FCFF!$I$9*(1+Inputs!$B$6)/(B6317-Inputs!$B$6)/(1+B6317)^7</f>
        <v>-1289.569818</v>
      </c>
    </row>
    <row r="6318" ht="14.25" customHeight="1">
      <c r="A6318" s="7">
        <v>6305.0</v>
      </c>
      <c r="B6318" s="14">
        <f t="shared" si="1"/>
        <v>0.1067873902</v>
      </c>
      <c r="C6318" s="39">
        <f t="array" ref="C6318">NPV(B6318,FCFF!$C$9:$I$9)+FCFF!$B$9+FCFF!$I$9*(1+Inputs!$B$6)/(B6318-Inputs!$B$6)/(1+B6318)^7</f>
        <v>-1558.683873</v>
      </c>
    </row>
    <row r="6319" ht="14.25" customHeight="1">
      <c r="A6319" s="7">
        <v>6306.0</v>
      </c>
      <c r="B6319" s="14">
        <f t="shared" si="1"/>
        <v>0.1306006697</v>
      </c>
      <c r="C6319" s="39">
        <f t="array" ref="C6319">NPV(B6319,FCFF!$C$9:$I$9)+FCFF!$B$9+FCFF!$I$9*(1+Inputs!$B$6)/(B6319-Inputs!$B$6)/(1+B6319)^7</f>
        <v>-1980.440651</v>
      </c>
    </row>
    <row r="6320" ht="14.25" customHeight="1">
      <c r="A6320" s="7">
        <v>6307.0</v>
      </c>
      <c r="B6320" s="14">
        <f t="shared" si="1"/>
        <v>0.09875672754</v>
      </c>
      <c r="C6320" s="39">
        <f t="array" ref="C6320">NPV(B6320,FCFF!$C$9:$I$9)+FCFF!$B$9+FCFF!$I$9*(1+Inputs!$B$6)/(B6320-Inputs!$B$6)/(1+B6320)^7</f>
        <v>-1347.851498</v>
      </c>
    </row>
    <row r="6321" ht="14.25" customHeight="1">
      <c r="A6321" s="7">
        <v>6308.0</v>
      </c>
      <c r="B6321" s="14">
        <f t="shared" si="1"/>
        <v>0.1256674768</v>
      </c>
      <c r="C6321" s="39">
        <f t="array" ref="C6321">NPV(B6321,FCFF!$C$9:$I$9)+FCFF!$B$9+FCFF!$I$9*(1+Inputs!$B$6)/(B6321-Inputs!$B$6)/(1+B6321)^7</f>
        <v>-1911.280378</v>
      </c>
    </row>
    <row r="6322" ht="14.25" customHeight="1">
      <c r="A6322" s="7">
        <v>6309.0</v>
      </c>
      <c r="B6322" s="14">
        <f t="shared" si="1"/>
        <v>0.1071765264</v>
      </c>
      <c r="C6322" s="39">
        <f t="array" ref="C6322">NPV(B6322,FCFF!$C$9:$I$9)+FCFF!$B$9+FCFF!$I$9*(1+Inputs!$B$6)/(B6322-Inputs!$B$6)/(1+B6322)^7</f>
        <v>-1567.766886</v>
      </c>
    </row>
    <row r="6323" ht="14.25" customHeight="1">
      <c r="A6323" s="7">
        <v>6310.0</v>
      </c>
      <c r="B6323" s="14">
        <f t="shared" si="1"/>
        <v>0.1164970028</v>
      </c>
      <c r="C6323" s="39">
        <f t="array" ref="C6323">NPV(B6323,FCFF!$C$9:$I$9)+FCFF!$B$9+FCFF!$I$9*(1+Inputs!$B$6)/(B6323-Inputs!$B$6)/(1+B6323)^7</f>
        <v>-1760.161164</v>
      </c>
    </row>
    <row r="6324" ht="14.25" customHeight="1">
      <c r="A6324" s="7">
        <v>6311.0</v>
      </c>
      <c r="B6324" s="14">
        <f t="shared" si="1"/>
        <v>0.09821241973</v>
      </c>
      <c r="C6324" s="39">
        <f t="array" ref="C6324">NPV(B6324,FCFF!$C$9:$I$9)+FCFF!$B$9+FCFF!$I$9*(1+Inputs!$B$6)/(B6324-Inputs!$B$6)/(1+B6324)^7</f>
        <v>-1331.747338</v>
      </c>
    </row>
    <row r="6325" ht="14.25" customHeight="1">
      <c r="A6325" s="7">
        <v>6312.0</v>
      </c>
      <c r="B6325" s="14">
        <f t="shared" si="1"/>
        <v>0.09934626906</v>
      </c>
      <c r="C6325" s="39">
        <f t="array" ref="C6325">NPV(B6325,FCFF!$C$9:$I$9)+FCFF!$B$9+FCFF!$I$9*(1+Inputs!$B$6)/(B6325-Inputs!$B$6)/(1+B6325)^7</f>
        <v>-1365.007854</v>
      </c>
    </row>
    <row r="6326" ht="14.25" customHeight="1">
      <c r="A6326" s="7">
        <v>6313.0</v>
      </c>
      <c r="B6326" s="14">
        <f t="shared" si="1"/>
        <v>0.1181003623</v>
      </c>
      <c r="C6326" s="39">
        <f t="array" ref="C6326">NPV(B6326,FCFF!$C$9:$I$9)+FCFF!$B$9+FCFF!$I$9*(1+Inputs!$B$6)/(B6326-Inputs!$B$6)/(1+B6326)^7</f>
        <v>-1788.98855</v>
      </c>
    </row>
    <row r="6327" ht="14.25" customHeight="1">
      <c r="A6327" s="7">
        <v>6314.0</v>
      </c>
      <c r="B6327" s="14">
        <f t="shared" si="1"/>
        <v>0.1085317617</v>
      </c>
      <c r="C6327" s="39">
        <f t="array" ref="C6327">NPV(B6327,FCFF!$C$9:$I$9)+FCFF!$B$9+FCFF!$I$9*(1+Inputs!$B$6)/(B6327-Inputs!$B$6)/(1+B6327)^7</f>
        <v>-1598.679292</v>
      </c>
    </row>
    <row r="6328" ht="14.25" customHeight="1">
      <c r="A6328" s="7">
        <v>6315.0</v>
      </c>
      <c r="B6328" s="14">
        <f t="shared" si="1"/>
        <v>0.1282684769</v>
      </c>
      <c r="C6328" s="39">
        <f t="array" ref="C6328">NPV(B6328,FCFF!$C$9:$I$9)+FCFF!$B$9+FCFF!$I$9*(1+Inputs!$B$6)/(B6328-Inputs!$B$6)/(1+B6328)^7</f>
        <v>-1948.679571</v>
      </c>
    </row>
    <row r="6329" ht="14.25" customHeight="1">
      <c r="A6329" s="7">
        <v>6316.0</v>
      </c>
      <c r="B6329" s="14">
        <f t="shared" si="1"/>
        <v>0.09795884239</v>
      </c>
      <c r="C6329" s="39">
        <f t="array" ref="C6329">NPV(B6329,FCFF!$C$9:$I$9)+FCFF!$B$9+FCFF!$I$9*(1+Inputs!$B$6)/(B6329-Inputs!$B$6)/(1+B6329)^7</f>
        <v>-1324.15661</v>
      </c>
    </row>
    <row r="6330" ht="14.25" customHeight="1">
      <c r="A6330" s="7">
        <v>6317.0</v>
      </c>
      <c r="B6330" s="14">
        <f t="shared" si="1"/>
        <v>0.1098740653</v>
      </c>
      <c r="C6330" s="39">
        <f t="array" ref="C6330">NPV(B6330,FCFF!$C$9:$I$9)+FCFF!$B$9+FCFF!$I$9*(1+Inputs!$B$6)/(B6330-Inputs!$B$6)/(1+B6330)^7</f>
        <v>-1628.233402</v>
      </c>
    </row>
    <row r="6331" ht="14.25" customHeight="1">
      <c r="A6331" s="7">
        <v>6318.0</v>
      </c>
      <c r="B6331" s="14">
        <f t="shared" si="1"/>
        <v>0.1027957173</v>
      </c>
      <c r="C6331" s="39">
        <f t="array" ref="C6331">NPV(B6331,FCFF!$C$9:$I$9)+FCFF!$B$9+FCFF!$I$9*(1+Inputs!$B$6)/(B6331-Inputs!$B$6)/(1+B6331)^7</f>
        <v>-1459.782348</v>
      </c>
    </row>
    <row r="6332" ht="14.25" customHeight="1">
      <c r="A6332" s="7">
        <v>6319.0</v>
      </c>
      <c r="B6332" s="14">
        <f t="shared" si="1"/>
        <v>0.1123709182</v>
      </c>
      <c r="C6332" s="39">
        <f t="array" ref="C6332">NPV(B6332,FCFF!$C$9:$I$9)+FCFF!$B$9+FCFF!$I$9*(1+Inputs!$B$6)/(B6332-Inputs!$B$6)/(1+B6332)^7</f>
        <v>-1680.562368</v>
      </c>
    </row>
    <row r="6333" ht="14.25" customHeight="1">
      <c r="A6333" s="7">
        <v>6320.0</v>
      </c>
      <c r="B6333" s="14">
        <f t="shared" si="1"/>
        <v>0.110652692</v>
      </c>
      <c r="C6333" s="39">
        <f t="array" ref="C6333">NPV(B6333,FCFF!$C$9:$I$9)+FCFF!$B$9+FCFF!$I$9*(1+Inputs!$B$6)/(B6333-Inputs!$B$6)/(1+B6333)^7</f>
        <v>-1644.91177</v>
      </c>
    </row>
    <row r="6334" ht="14.25" customHeight="1">
      <c r="A6334" s="7">
        <v>6321.0</v>
      </c>
      <c r="B6334" s="14">
        <f t="shared" si="1"/>
        <v>0.1123842117</v>
      </c>
      <c r="C6334" s="39">
        <f t="array" ref="C6334">NPV(B6334,FCFF!$C$9:$I$9)+FCFF!$B$9+FCFF!$I$9*(1+Inputs!$B$6)/(B6334-Inputs!$B$6)/(1+B6334)^7</f>
        <v>-1680.832175</v>
      </c>
    </row>
    <row r="6335" ht="14.25" customHeight="1">
      <c r="A6335" s="7">
        <v>6322.0</v>
      </c>
      <c r="B6335" s="14">
        <f t="shared" si="1"/>
        <v>0.1312302146</v>
      </c>
      <c r="C6335" s="39">
        <f t="array" ref="C6335">NPV(B6335,FCFF!$C$9:$I$9)+FCFF!$B$9+FCFF!$I$9*(1+Inputs!$B$6)/(B6335-Inputs!$B$6)/(1+B6335)^7</f>
        <v>-1988.742191</v>
      </c>
    </row>
    <row r="6336" ht="14.25" customHeight="1">
      <c r="A6336" s="7">
        <v>6323.0</v>
      </c>
      <c r="B6336" s="14">
        <f t="shared" si="1"/>
        <v>0.1106688416</v>
      </c>
      <c r="C6336" s="39">
        <f t="array" ref="C6336">NPV(B6336,FCFF!$C$9:$I$9)+FCFF!$B$9+FCFF!$I$9*(1+Inputs!$B$6)/(B6336-Inputs!$B$6)/(1+B6336)^7</f>
        <v>-1645.254176</v>
      </c>
    </row>
    <row r="6337" ht="14.25" customHeight="1">
      <c r="A6337" s="7">
        <v>6324.0</v>
      </c>
      <c r="B6337" s="14">
        <f t="shared" si="1"/>
        <v>0.1070767492</v>
      </c>
      <c r="C6337" s="39">
        <f t="array" ref="C6337">NPV(B6337,FCFF!$C$9:$I$9)+FCFF!$B$9+FCFF!$I$9*(1+Inputs!$B$6)/(B6337-Inputs!$B$6)/(1+B6337)^7</f>
        <v>-1565.446899</v>
      </c>
    </row>
    <row r="6338" ht="14.25" customHeight="1">
      <c r="A6338" s="7">
        <v>6325.0</v>
      </c>
      <c r="B6338" s="14">
        <f t="shared" si="1"/>
        <v>0.1255198514</v>
      </c>
      <c r="C6338" s="39">
        <f t="array" ref="C6338">NPV(B6338,FCFF!$C$9:$I$9)+FCFF!$B$9+FCFF!$I$9*(1+Inputs!$B$6)/(B6338-Inputs!$B$6)/(1+B6338)^7</f>
        <v>-1909.091942</v>
      </c>
    </row>
    <row r="6339" ht="14.25" customHeight="1">
      <c r="A6339" s="7">
        <v>6326.0</v>
      </c>
      <c r="B6339" s="14">
        <f t="shared" si="1"/>
        <v>0.1179200665</v>
      </c>
      <c r="C6339" s="39">
        <f t="array" ref="C6339">NPV(B6339,FCFF!$C$9:$I$9)+FCFF!$B$9+FCFF!$I$9*(1+Inputs!$B$6)/(B6339-Inputs!$B$6)/(1+B6339)^7</f>
        <v>-1785.802142</v>
      </c>
    </row>
    <row r="6340" ht="14.25" customHeight="1">
      <c r="A6340" s="7">
        <v>6327.0</v>
      </c>
      <c r="B6340" s="14">
        <f t="shared" si="1"/>
        <v>0.1180734562</v>
      </c>
      <c r="C6340" s="39">
        <f t="array" ref="C6340">NPV(B6340,FCFF!$C$9:$I$9)+FCFF!$B$9+FCFF!$I$9*(1+Inputs!$B$6)/(B6340-Inputs!$B$6)/(1+B6340)^7</f>
        <v>-1788.513905</v>
      </c>
    </row>
    <row r="6341" ht="14.25" customHeight="1">
      <c r="A6341" s="7">
        <v>6328.0</v>
      </c>
      <c r="B6341" s="14">
        <f t="shared" si="1"/>
        <v>0.1021983894</v>
      </c>
      <c r="C6341" s="39">
        <f t="array" ref="C6341">NPV(B6341,FCFF!$C$9:$I$9)+FCFF!$B$9+FCFF!$I$9*(1+Inputs!$B$6)/(B6341-Inputs!$B$6)/(1+B6341)^7</f>
        <v>-1444.025527</v>
      </c>
    </row>
    <row r="6342" ht="14.25" customHeight="1">
      <c r="A6342" s="7">
        <v>6329.0</v>
      </c>
      <c r="B6342" s="14">
        <f t="shared" si="1"/>
        <v>0.1139918939</v>
      </c>
      <c r="C6342" s="39">
        <f t="array" ref="C6342">NPV(B6342,FCFF!$C$9:$I$9)+FCFF!$B$9+FCFF!$I$9*(1+Inputs!$B$6)/(B6342-Inputs!$B$6)/(1+B6342)^7</f>
        <v>-1712.807288</v>
      </c>
    </row>
    <row r="6343" ht="14.25" customHeight="1">
      <c r="A6343" s="7">
        <v>6330.0</v>
      </c>
      <c r="B6343" s="14">
        <f t="shared" si="1"/>
        <v>0.1102413741</v>
      </c>
      <c r="C6343" s="39">
        <f t="array" ref="C6343">NPV(B6343,FCFF!$C$9:$I$9)+FCFF!$B$9+FCFF!$I$9*(1+Inputs!$B$6)/(B6343-Inputs!$B$6)/(1+B6343)^7</f>
        <v>-1636.14292</v>
      </c>
    </row>
    <row r="6344" ht="14.25" customHeight="1">
      <c r="A6344" s="7">
        <v>6331.0</v>
      </c>
      <c r="B6344" s="14">
        <f t="shared" si="1"/>
        <v>0.1306977307</v>
      </c>
      <c r="C6344" s="39">
        <f t="array" ref="C6344">NPV(B6344,FCFF!$C$9:$I$9)+FCFF!$B$9+FCFF!$I$9*(1+Inputs!$B$6)/(B6344-Inputs!$B$6)/(1+B6344)^7</f>
        <v>-1981.727914</v>
      </c>
    </row>
    <row r="6345" ht="14.25" customHeight="1">
      <c r="A6345" s="7">
        <v>6332.0</v>
      </c>
      <c r="B6345" s="14">
        <f t="shared" si="1"/>
        <v>0.09548036596</v>
      </c>
      <c r="C6345" s="39">
        <f t="array" ref="C6345">NPV(B6345,FCFF!$C$9:$I$9)+FCFF!$B$9+FCFF!$I$9*(1+Inputs!$B$6)/(B6345-Inputs!$B$6)/(1+B6345)^7</f>
        <v>-1246.871873</v>
      </c>
    </row>
    <row r="6346" ht="14.25" customHeight="1">
      <c r="A6346" s="7">
        <v>6333.0</v>
      </c>
      <c r="B6346" s="14">
        <f t="shared" si="1"/>
        <v>0.1313711135</v>
      </c>
      <c r="C6346" s="39">
        <f t="array" ref="C6346">NPV(B6346,FCFF!$C$9:$I$9)+FCFF!$B$9+FCFF!$I$9*(1+Inputs!$B$6)/(B6346-Inputs!$B$6)/(1+B6346)^7</f>
        <v>-1990.584804</v>
      </c>
    </row>
    <row r="6347" ht="14.25" customHeight="1">
      <c r="A6347" s="7">
        <v>6334.0</v>
      </c>
      <c r="B6347" s="14">
        <f t="shared" si="1"/>
        <v>0.1176731088</v>
      </c>
      <c r="C6347" s="39">
        <f t="array" ref="C6347">NPV(B6347,FCFF!$C$9:$I$9)+FCFF!$B$9+FCFF!$I$9*(1+Inputs!$B$6)/(B6347-Inputs!$B$6)/(1+B6347)^7</f>
        <v>-1781.415199</v>
      </c>
    </row>
    <row r="6348" ht="14.25" customHeight="1">
      <c r="A6348" s="7">
        <v>6335.0</v>
      </c>
      <c r="B6348" s="14">
        <f t="shared" si="1"/>
        <v>0.1162296556</v>
      </c>
      <c r="C6348" s="39">
        <f t="array" ref="C6348">NPV(B6348,FCFF!$C$9:$I$9)+FCFF!$B$9+FCFF!$I$9*(1+Inputs!$B$6)/(B6348-Inputs!$B$6)/(1+B6348)^7</f>
        <v>-1755.244808</v>
      </c>
    </row>
    <row r="6349" ht="14.25" customHeight="1">
      <c r="A6349" s="7">
        <v>6336.0</v>
      </c>
      <c r="B6349" s="14">
        <f t="shared" si="1"/>
        <v>0.1131054285</v>
      </c>
      <c r="C6349" s="39">
        <f t="array" ref="C6349">NPV(B6349,FCFF!$C$9:$I$9)+FCFF!$B$9+FCFF!$I$9*(1+Inputs!$B$6)/(B6349-Inputs!$B$6)/(1+B6349)^7</f>
        <v>-1695.335694</v>
      </c>
    </row>
    <row r="6350" ht="14.25" customHeight="1">
      <c r="A6350" s="7">
        <v>6337.0</v>
      </c>
      <c r="B6350" s="14">
        <f t="shared" si="1"/>
        <v>0.1061829463</v>
      </c>
      <c r="C6350" s="39">
        <f t="array" ref="C6350">NPV(B6350,FCFF!$C$9:$I$9)+FCFF!$B$9+FCFF!$I$9*(1+Inputs!$B$6)/(B6350-Inputs!$B$6)/(1+B6350)^7</f>
        <v>-1544.386783</v>
      </c>
    </row>
    <row r="6351" ht="14.25" customHeight="1">
      <c r="A6351" s="7">
        <v>6338.0</v>
      </c>
      <c r="B6351" s="14">
        <f t="shared" si="1"/>
        <v>0.1319016141</v>
      </c>
      <c r="C6351" s="39">
        <f t="array" ref="C6351">NPV(B6351,FCFF!$C$9:$I$9)+FCFF!$B$9+FCFF!$I$9*(1+Inputs!$B$6)/(B6351-Inputs!$B$6)/(1+B6351)^7</f>
        <v>-1997.472685</v>
      </c>
    </row>
    <row r="6352" ht="14.25" customHeight="1">
      <c r="A6352" s="7">
        <v>6339.0</v>
      </c>
      <c r="B6352" s="14">
        <f t="shared" si="1"/>
        <v>0.1299248836</v>
      </c>
      <c r="C6352" s="39">
        <f t="array" ref="C6352">NPV(B6352,FCFF!$C$9:$I$9)+FCFF!$B$9+FCFF!$I$9*(1+Inputs!$B$6)/(B6352-Inputs!$B$6)/(1+B6352)^7</f>
        <v>-1971.402769</v>
      </c>
    </row>
    <row r="6353" ht="14.25" customHeight="1">
      <c r="A6353" s="7">
        <v>6340.0</v>
      </c>
      <c r="B6353" s="14">
        <f t="shared" si="1"/>
        <v>0.1258816637</v>
      </c>
      <c r="C6353" s="39">
        <f t="array" ref="C6353">NPV(B6353,FCFF!$C$9:$I$9)+FCFF!$B$9+FCFF!$I$9*(1+Inputs!$B$6)/(B6353-Inputs!$B$6)/(1+B6353)^7</f>
        <v>-1914.442674</v>
      </c>
    </row>
    <row r="6354" ht="14.25" customHeight="1">
      <c r="A6354" s="7">
        <v>6341.0</v>
      </c>
      <c r="B6354" s="14">
        <f t="shared" si="1"/>
        <v>0.1171549864</v>
      </c>
      <c r="C6354" s="39">
        <f t="array" ref="C6354">NPV(B6354,FCFF!$C$9:$I$9)+FCFF!$B$9+FCFF!$I$9*(1+Inputs!$B$6)/(B6354-Inputs!$B$6)/(1+B6354)^7</f>
        <v>-1772.126241</v>
      </c>
    </row>
    <row r="6355" ht="14.25" customHeight="1">
      <c r="A6355" s="7">
        <v>6342.0</v>
      </c>
      <c r="B6355" s="14">
        <f t="shared" si="1"/>
        <v>0.09891748463</v>
      </c>
      <c r="C6355" s="39">
        <f t="array" ref="C6355">NPV(B6355,FCFF!$C$9:$I$9)+FCFF!$B$9+FCFF!$I$9*(1+Inputs!$B$6)/(B6355-Inputs!$B$6)/(1+B6355)^7</f>
        <v>-1352.558939</v>
      </c>
    </row>
    <row r="6356" ht="14.25" customHeight="1">
      <c r="A6356" s="7">
        <v>6343.0</v>
      </c>
      <c r="B6356" s="14">
        <f t="shared" si="1"/>
        <v>0.1302873779</v>
      </c>
      <c r="C6356" s="39">
        <f t="array" ref="C6356">NPV(B6356,FCFF!$C$9:$I$9)+FCFF!$B$9+FCFF!$I$9*(1+Inputs!$B$6)/(B6356-Inputs!$B$6)/(1+B6356)^7</f>
        <v>-1976.267171</v>
      </c>
    </row>
    <row r="6357" ht="14.25" customHeight="1">
      <c r="A6357" s="7">
        <v>6344.0</v>
      </c>
      <c r="B6357" s="14">
        <f t="shared" si="1"/>
        <v>0.115656948</v>
      </c>
      <c r="C6357" s="39">
        <f t="array" ref="C6357">NPV(B6357,FCFF!$C$9:$I$9)+FCFF!$B$9+FCFF!$I$9*(1+Inputs!$B$6)/(B6357-Inputs!$B$6)/(1+B6357)^7</f>
        <v>-1744.604718</v>
      </c>
    </row>
    <row r="6358" ht="14.25" customHeight="1">
      <c r="A6358" s="7">
        <v>6345.0</v>
      </c>
      <c r="B6358" s="14">
        <f t="shared" si="1"/>
        <v>0.1252209701</v>
      </c>
      <c r="C6358" s="39">
        <f t="array" ref="C6358">NPV(B6358,FCFF!$C$9:$I$9)+FCFF!$B$9+FCFF!$I$9*(1+Inputs!$B$6)/(B6358-Inputs!$B$6)/(1+B6358)^7</f>
        <v>-1904.638952</v>
      </c>
    </row>
    <row r="6359" ht="14.25" customHeight="1">
      <c r="A6359" s="7">
        <v>6346.0</v>
      </c>
      <c r="B6359" s="14">
        <f t="shared" si="1"/>
        <v>0.1071245946</v>
      </c>
      <c r="C6359" s="39">
        <f t="array" ref="C6359">NPV(B6359,FCFF!$C$9:$I$9)+FCFF!$B$9+FCFF!$I$9*(1+Inputs!$B$6)/(B6359-Inputs!$B$6)/(1+B6359)^7</f>
        <v>-1566.560153</v>
      </c>
    </row>
    <row r="6360" ht="14.25" customHeight="1">
      <c r="A6360" s="7">
        <v>6347.0</v>
      </c>
      <c r="B6360" s="14">
        <f t="shared" si="1"/>
        <v>0.1071394664</v>
      </c>
      <c r="C6360" s="39">
        <f t="array" ref="C6360">NPV(B6360,FCFF!$C$9:$I$9)+FCFF!$B$9+FCFF!$I$9*(1+Inputs!$B$6)/(B6360-Inputs!$B$6)/(1+B6360)^7</f>
        <v>-1566.905898</v>
      </c>
    </row>
    <row r="6361" ht="14.25" customHeight="1">
      <c r="A6361" s="7">
        <v>6348.0</v>
      </c>
      <c r="B6361" s="14">
        <f t="shared" si="1"/>
        <v>0.0995161762</v>
      </c>
      <c r="C6361" s="39">
        <f t="array" ref="C6361">NPV(B6361,FCFF!$C$9:$I$9)+FCFF!$B$9+FCFF!$I$9*(1+Inputs!$B$6)/(B6361-Inputs!$B$6)/(1+B6361)^7</f>
        <v>-1369.898098</v>
      </c>
    </row>
    <row r="6362" ht="14.25" customHeight="1">
      <c r="A6362" s="7">
        <v>6349.0</v>
      </c>
      <c r="B6362" s="14">
        <f t="shared" si="1"/>
        <v>0.1166428052</v>
      </c>
      <c r="C6362" s="39">
        <f t="array" ref="C6362">NPV(B6362,FCFF!$C$9:$I$9)+FCFF!$B$9+FCFF!$I$9*(1+Inputs!$B$6)/(B6362-Inputs!$B$6)/(1+B6362)^7</f>
        <v>-1762.828965</v>
      </c>
    </row>
    <row r="6363" ht="14.25" customHeight="1">
      <c r="A6363" s="7">
        <v>6350.0</v>
      </c>
      <c r="B6363" s="14">
        <f t="shared" si="1"/>
        <v>0.1250513759</v>
      </c>
      <c r="C6363" s="39">
        <f t="array" ref="C6363">NPV(B6363,FCFF!$C$9:$I$9)+FCFF!$B$9+FCFF!$I$9*(1+Inputs!$B$6)/(B6363-Inputs!$B$6)/(1+B6363)^7</f>
        <v>-1902.098832</v>
      </c>
    </row>
    <row r="6364" ht="14.25" customHeight="1">
      <c r="A6364" s="7">
        <v>6351.0</v>
      </c>
      <c r="B6364" s="14">
        <f t="shared" si="1"/>
        <v>0.09966553555</v>
      </c>
      <c r="C6364" s="39">
        <f t="array" ref="C6364">NPV(B6364,FCFF!$C$9:$I$9)+FCFF!$B$9+FCFF!$I$9*(1+Inputs!$B$6)/(B6364-Inputs!$B$6)/(1+B6364)^7</f>
        <v>-1374.177136</v>
      </c>
    </row>
    <row r="6365" ht="14.25" customHeight="1">
      <c r="A6365" s="7">
        <v>6352.0</v>
      </c>
      <c r="B6365" s="14">
        <f t="shared" si="1"/>
        <v>0.09373027105</v>
      </c>
      <c r="C6365" s="39">
        <f t="array" ref="C6365">NPV(B6365,FCFF!$C$9:$I$9)+FCFF!$B$9+FCFF!$I$9*(1+Inputs!$B$6)/(B6365-Inputs!$B$6)/(1+B6365)^7</f>
        <v>-1188.697355</v>
      </c>
    </row>
    <row r="6366" ht="14.25" customHeight="1">
      <c r="A6366" s="7">
        <v>6353.0</v>
      </c>
      <c r="B6366" s="14">
        <f t="shared" si="1"/>
        <v>0.124620036</v>
      </c>
      <c r="C6366" s="39">
        <f t="array" ref="C6366">NPV(B6366,FCFF!$C$9:$I$9)+FCFF!$B$9+FCFF!$I$9*(1+Inputs!$B$6)/(B6366-Inputs!$B$6)/(1+B6366)^7</f>
        <v>-1895.59439</v>
      </c>
    </row>
    <row r="6367" ht="14.25" customHeight="1">
      <c r="A6367" s="7">
        <v>6354.0</v>
      </c>
      <c r="B6367" s="14">
        <f t="shared" si="1"/>
        <v>0.1080747299</v>
      </c>
      <c r="C6367" s="39">
        <f t="array" ref="C6367">NPV(B6367,FCFF!$C$9:$I$9)+FCFF!$B$9+FCFF!$I$9*(1+Inputs!$B$6)/(B6367-Inputs!$B$6)/(1+B6367)^7</f>
        <v>-1588.377768</v>
      </c>
    </row>
    <row r="6368" ht="14.25" customHeight="1">
      <c r="A6368" s="7">
        <v>6355.0</v>
      </c>
      <c r="B6368" s="14">
        <f t="shared" si="1"/>
        <v>0.113146408</v>
      </c>
      <c r="C6368" s="39">
        <f t="array" ref="C6368">NPV(B6368,FCFF!$C$9:$I$9)+FCFF!$B$9+FCFF!$I$9*(1+Inputs!$B$6)/(B6368-Inputs!$B$6)/(1+B6368)^7</f>
        <v>-1696.151927</v>
      </c>
    </row>
    <row r="6369" ht="14.25" customHeight="1">
      <c r="A6369" s="7">
        <v>6356.0</v>
      </c>
      <c r="B6369" s="14">
        <f t="shared" si="1"/>
        <v>0.1283712784</v>
      </c>
      <c r="C6369" s="39">
        <f t="array" ref="C6369">NPV(B6369,FCFF!$C$9:$I$9)+FCFF!$B$9+FCFF!$I$9*(1+Inputs!$B$6)/(B6369-Inputs!$B$6)/(1+B6369)^7</f>
        <v>-1950.113951</v>
      </c>
    </row>
    <row r="6370" ht="14.25" customHeight="1">
      <c r="A6370" s="7">
        <v>6357.0</v>
      </c>
      <c r="B6370" s="14">
        <f t="shared" si="1"/>
        <v>0.1160139397</v>
      </c>
      <c r="C6370" s="39">
        <f t="array" ref="C6370">NPV(B6370,FCFF!$C$9:$I$9)+FCFF!$B$9+FCFF!$I$9*(1+Inputs!$B$6)/(B6370-Inputs!$B$6)/(1+B6370)^7</f>
        <v>-1751.254549</v>
      </c>
    </row>
    <row r="6371" ht="14.25" customHeight="1">
      <c r="A6371" s="7">
        <v>6358.0</v>
      </c>
      <c r="B6371" s="14">
        <f t="shared" si="1"/>
        <v>0.1156373008</v>
      </c>
      <c r="C6371" s="39">
        <f t="array" ref="C6371">NPV(B6371,FCFF!$C$9:$I$9)+FCFF!$B$9+FCFF!$I$9*(1+Inputs!$B$6)/(B6371-Inputs!$B$6)/(1+B6371)^7</f>
        <v>-1744.237054</v>
      </c>
    </row>
    <row r="6372" ht="14.25" customHeight="1">
      <c r="A6372" s="7">
        <v>6359.0</v>
      </c>
      <c r="B6372" s="14">
        <f t="shared" si="1"/>
        <v>0.1204842565</v>
      </c>
      <c r="C6372" s="39">
        <f t="array" ref="C6372">NPV(B6372,FCFF!$C$9:$I$9)+FCFF!$B$9+FCFF!$I$9*(1+Inputs!$B$6)/(B6372-Inputs!$B$6)/(1+B6372)^7</f>
        <v>-1829.860465</v>
      </c>
    </row>
    <row r="6373" ht="14.25" customHeight="1">
      <c r="A6373" s="7">
        <v>6360.0</v>
      </c>
      <c r="B6373" s="14">
        <f t="shared" si="1"/>
        <v>0.1087031618</v>
      </c>
      <c r="C6373" s="39">
        <f t="array" ref="C6373">NPV(B6373,FCFF!$C$9:$I$9)+FCFF!$B$9+FCFF!$I$9*(1+Inputs!$B$6)/(B6373-Inputs!$B$6)/(1+B6373)^7</f>
        <v>-1602.510934</v>
      </c>
    </row>
    <row r="6374" ht="14.25" customHeight="1">
      <c r="A6374" s="7">
        <v>6361.0</v>
      </c>
      <c r="B6374" s="14">
        <f t="shared" si="1"/>
        <v>0.09532126465</v>
      </c>
      <c r="C6374" s="39">
        <f t="array" ref="C6374">NPV(B6374,FCFF!$C$9:$I$9)+FCFF!$B$9+FCFF!$I$9*(1+Inputs!$B$6)/(B6374-Inputs!$B$6)/(1+B6374)^7</f>
        <v>-1241.711105</v>
      </c>
    </row>
    <row r="6375" ht="14.25" customHeight="1">
      <c r="A6375" s="7">
        <v>6362.0</v>
      </c>
      <c r="B6375" s="14">
        <f t="shared" si="1"/>
        <v>0.1187591209</v>
      </c>
      <c r="C6375" s="39">
        <f t="array" ref="C6375">NPV(B6375,FCFF!$C$9:$I$9)+FCFF!$B$9+FCFF!$I$9*(1+Inputs!$B$6)/(B6375-Inputs!$B$6)/(1+B6375)^7</f>
        <v>-1800.514946</v>
      </c>
    </row>
    <row r="6376" ht="14.25" customHeight="1">
      <c r="A6376" s="7">
        <v>6363.0</v>
      </c>
      <c r="B6376" s="14">
        <f t="shared" si="1"/>
        <v>0.09825071677</v>
      </c>
      <c r="C6376" s="39">
        <f t="array" ref="C6376">NPV(B6376,FCFF!$C$9:$I$9)+FCFF!$B$9+FCFF!$I$9*(1+Inputs!$B$6)/(B6376-Inputs!$B$6)/(1+B6376)^7</f>
        <v>-1332.888833</v>
      </c>
    </row>
    <row r="6377" ht="14.25" customHeight="1">
      <c r="A6377" s="7">
        <v>6364.0</v>
      </c>
      <c r="B6377" s="14">
        <f t="shared" si="1"/>
        <v>0.1209032356</v>
      </c>
      <c r="C6377" s="39">
        <f t="array" ref="C6377">NPV(B6377,FCFF!$C$9:$I$9)+FCFF!$B$9+FCFF!$I$9*(1+Inputs!$B$6)/(B6377-Inputs!$B$6)/(1+B6377)^7</f>
        <v>-1836.809625</v>
      </c>
    </row>
    <row r="6378" ht="14.25" customHeight="1">
      <c r="A6378" s="7">
        <v>6365.0</v>
      </c>
      <c r="B6378" s="14">
        <f t="shared" si="1"/>
        <v>0.1097904325</v>
      </c>
      <c r="C6378" s="39">
        <f t="array" ref="C6378">NPV(B6378,FCFF!$C$9:$I$9)+FCFF!$B$9+FCFF!$I$9*(1+Inputs!$B$6)/(B6378-Inputs!$B$6)/(1+B6378)^7</f>
        <v>-1626.421967</v>
      </c>
    </row>
    <row r="6379" ht="14.25" customHeight="1">
      <c r="A6379" s="7">
        <v>6366.0</v>
      </c>
      <c r="B6379" s="14">
        <f t="shared" si="1"/>
        <v>0.1122149841</v>
      </c>
      <c r="C6379" s="39">
        <f t="array" ref="C6379">NPV(B6379,FCFF!$C$9:$I$9)+FCFF!$B$9+FCFF!$I$9*(1+Inputs!$B$6)/(B6379-Inputs!$B$6)/(1+B6379)^7</f>
        <v>-1677.390728</v>
      </c>
    </row>
    <row r="6380" ht="14.25" customHeight="1">
      <c r="A6380" s="7">
        <v>6367.0</v>
      </c>
      <c r="B6380" s="14">
        <f t="shared" si="1"/>
        <v>0.116873677</v>
      </c>
      <c r="C6380" s="39">
        <f t="array" ref="C6380">NPV(B6380,FCFF!$C$9:$I$9)+FCFF!$B$9+FCFF!$I$9*(1+Inputs!$B$6)/(B6380-Inputs!$B$6)/(1+B6380)^7</f>
        <v>-1767.034082</v>
      </c>
    </row>
    <row r="6381" ht="14.25" customHeight="1">
      <c r="A6381" s="7">
        <v>6368.0</v>
      </c>
      <c r="B6381" s="14">
        <f t="shared" si="1"/>
        <v>0.0973644777</v>
      </c>
      <c r="C6381" s="39">
        <f t="array" ref="C6381">NPV(B6381,FCFF!$C$9:$I$9)+FCFF!$B$9+FCFF!$I$9*(1+Inputs!$B$6)/(B6381-Inputs!$B$6)/(1+B6381)^7</f>
        <v>-1306.140428</v>
      </c>
    </row>
    <row r="6382" ht="14.25" customHeight="1">
      <c r="A6382" s="7">
        <v>6369.0</v>
      </c>
      <c r="B6382" s="14">
        <f t="shared" si="1"/>
        <v>0.09758083737</v>
      </c>
      <c r="C6382" s="39">
        <f t="array" ref="C6382">NPV(B6382,FCFF!$C$9:$I$9)+FCFF!$B$9+FCFF!$I$9*(1+Inputs!$B$6)/(B6382-Inputs!$B$6)/(1+B6382)^7</f>
        <v>-1312.73534</v>
      </c>
    </row>
    <row r="6383" ht="14.25" customHeight="1">
      <c r="A6383" s="7">
        <v>6370.0</v>
      </c>
      <c r="B6383" s="14">
        <f t="shared" si="1"/>
        <v>0.09656918058</v>
      </c>
      <c r="C6383" s="39">
        <f t="array" ref="C6383">NPV(B6383,FCFF!$C$9:$I$9)+FCFF!$B$9+FCFF!$I$9*(1+Inputs!$B$6)/(B6383-Inputs!$B$6)/(1+B6383)^7</f>
        <v>-1281.530755</v>
      </c>
    </row>
    <row r="6384" ht="14.25" customHeight="1">
      <c r="A6384" s="7">
        <v>6371.0</v>
      </c>
      <c r="B6384" s="14">
        <f t="shared" si="1"/>
        <v>0.1207110452</v>
      </c>
      <c r="C6384" s="39">
        <f t="array" ref="C6384">NPV(B6384,FCFF!$C$9:$I$9)+FCFF!$B$9+FCFF!$I$9*(1+Inputs!$B$6)/(B6384-Inputs!$B$6)/(1+B6384)^7</f>
        <v>-1833.63042</v>
      </c>
    </row>
    <row r="6385" ht="14.25" customHeight="1">
      <c r="A6385" s="7">
        <v>6372.0</v>
      </c>
      <c r="B6385" s="14">
        <f t="shared" si="1"/>
        <v>0.1107742727</v>
      </c>
      <c r="C6385" s="39">
        <f t="array" ref="C6385">NPV(B6385,FCFF!$C$9:$I$9)+FCFF!$B$9+FCFF!$I$9*(1+Inputs!$B$6)/(B6385-Inputs!$B$6)/(1+B6385)^7</f>
        <v>-1647.486056</v>
      </c>
    </row>
    <row r="6386" ht="14.25" customHeight="1">
      <c r="A6386" s="7">
        <v>6373.0</v>
      </c>
      <c r="B6386" s="14">
        <f t="shared" si="1"/>
        <v>0.1051236921</v>
      </c>
      <c r="C6386" s="39">
        <f t="array" ref="C6386">NPV(B6386,FCFF!$C$9:$I$9)+FCFF!$B$9+FCFF!$I$9*(1+Inputs!$B$6)/(B6386-Inputs!$B$6)/(1+B6386)^7</f>
        <v>-1518.764513</v>
      </c>
    </row>
    <row r="6387" ht="14.25" customHeight="1">
      <c r="A6387" s="7">
        <v>6374.0</v>
      </c>
      <c r="B6387" s="14">
        <f t="shared" si="1"/>
        <v>0.1023295656</v>
      </c>
      <c r="C6387" s="39">
        <f t="array" ref="C6387">NPV(B6387,FCFF!$C$9:$I$9)+FCFF!$B$9+FCFF!$I$9*(1+Inputs!$B$6)/(B6387-Inputs!$B$6)/(1+B6387)^7</f>
        <v>-1447.508395</v>
      </c>
    </row>
    <row r="6388" ht="14.25" customHeight="1">
      <c r="A6388" s="7">
        <v>6375.0</v>
      </c>
      <c r="B6388" s="14">
        <f t="shared" si="1"/>
        <v>0.1161425831</v>
      </c>
      <c r="C6388" s="39">
        <f t="array" ref="C6388">NPV(B6388,FCFF!$C$9:$I$9)+FCFF!$B$9+FCFF!$I$9*(1+Inputs!$B$6)/(B6388-Inputs!$B$6)/(1+B6388)^7</f>
        <v>-1753.636685</v>
      </c>
    </row>
    <row r="6389" ht="14.25" customHeight="1">
      <c r="A6389" s="7">
        <v>6376.0</v>
      </c>
      <c r="B6389" s="14">
        <f t="shared" si="1"/>
        <v>0.1163604679</v>
      </c>
      <c r="C6389" s="39">
        <f t="array" ref="C6389">NPV(B6389,FCFF!$C$9:$I$9)+FCFF!$B$9+FCFF!$I$9*(1+Inputs!$B$6)/(B6389-Inputs!$B$6)/(1+B6389)^7</f>
        <v>-1757.65436</v>
      </c>
    </row>
    <row r="6390" ht="14.25" customHeight="1">
      <c r="A6390" s="7">
        <v>6377.0</v>
      </c>
      <c r="B6390" s="14">
        <f t="shared" si="1"/>
        <v>0.1103506798</v>
      </c>
      <c r="C6390" s="39">
        <f t="array" ref="C6390">NPV(B6390,FCFF!$C$9:$I$9)+FCFF!$B$9+FCFF!$I$9*(1+Inputs!$B$6)/(B6390-Inputs!$B$6)/(1+B6390)^7</f>
        <v>-1638.482254</v>
      </c>
    </row>
    <row r="6391" ht="14.25" customHeight="1">
      <c r="A6391" s="7">
        <v>6378.0</v>
      </c>
      <c r="B6391" s="14">
        <f t="shared" si="1"/>
        <v>0.1318032334</v>
      </c>
      <c r="C6391" s="39">
        <f t="array" ref="C6391">NPV(B6391,FCFF!$C$9:$I$9)+FCFF!$B$9+FCFF!$I$9*(1+Inputs!$B$6)/(B6391-Inputs!$B$6)/(1+B6391)^7</f>
        <v>-1996.201245</v>
      </c>
    </row>
    <row r="6392" ht="14.25" customHeight="1">
      <c r="A6392" s="7">
        <v>6379.0</v>
      </c>
      <c r="B6392" s="14">
        <f t="shared" si="1"/>
        <v>0.1144437353</v>
      </c>
      <c r="C6392" s="39">
        <f t="array" ref="C6392">NPV(B6392,FCFF!$C$9:$I$9)+FCFF!$B$9+FCFF!$I$9*(1+Inputs!$B$6)/(B6392-Inputs!$B$6)/(1+B6392)^7</f>
        <v>-1721.565631</v>
      </c>
    </row>
    <row r="6393" ht="14.25" customHeight="1">
      <c r="A6393" s="7">
        <v>6380.0</v>
      </c>
      <c r="B6393" s="14">
        <f t="shared" si="1"/>
        <v>0.1081409099</v>
      </c>
      <c r="C6393" s="39">
        <f t="array" ref="C6393">NPV(B6393,FCFF!$C$9:$I$9)+FCFF!$B$9+FCFF!$I$9*(1+Inputs!$B$6)/(B6393-Inputs!$B$6)/(1+B6393)^7</f>
        <v>-1589.87714</v>
      </c>
    </row>
    <row r="6394" ht="14.25" customHeight="1">
      <c r="A6394" s="7">
        <v>6381.0</v>
      </c>
      <c r="B6394" s="14">
        <f t="shared" si="1"/>
        <v>0.1252144818</v>
      </c>
      <c r="C6394" s="39">
        <f t="array" ref="C6394">NPV(B6394,FCFF!$C$9:$I$9)+FCFF!$B$9+FCFF!$I$9*(1+Inputs!$B$6)/(B6394-Inputs!$B$6)/(1+B6394)^7</f>
        <v>-1904.541951</v>
      </c>
    </row>
    <row r="6395" ht="14.25" customHeight="1">
      <c r="A6395" s="7">
        <v>6382.0</v>
      </c>
      <c r="B6395" s="14">
        <f t="shared" si="1"/>
        <v>0.09380638748</v>
      </c>
      <c r="C6395" s="39">
        <f t="array" ref="C6395">NPV(B6395,FCFF!$C$9:$I$9)+FCFF!$B$9+FCFF!$I$9*(1+Inputs!$B$6)/(B6395-Inputs!$B$6)/(1+B6395)^7</f>
        <v>-1191.293326</v>
      </c>
    </row>
    <row r="6396" ht="14.25" customHeight="1">
      <c r="A6396" s="7">
        <v>6383.0</v>
      </c>
      <c r="B6396" s="14">
        <f t="shared" si="1"/>
        <v>0.1110881741</v>
      </c>
      <c r="C6396" s="39">
        <f t="array" ref="C6396">NPV(B6396,FCFF!$C$9:$I$9)+FCFF!$B$9+FCFF!$I$9*(1+Inputs!$B$6)/(B6396-Inputs!$B$6)/(1+B6396)^7</f>
        <v>-1654.095504</v>
      </c>
    </row>
    <row r="6397" ht="14.25" customHeight="1">
      <c r="A6397" s="7">
        <v>6384.0</v>
      </c>
      <c r="B6397" s="14">
        <f t="shared" si="1"/>
        <v>0.1177079629</v>
      </c>
      <c r="C6397" s="39">
        <f t="array" ref="C6397">NPV(B6397,FCFF!$C$9:$I$9)+FCFF!$B$9+FCFF!$I$9*(1+Inputs!$B$6)/(B6397-Inputs!$B$6)/(1+B6397)^7</f>
        <v>-1782.035922</v>
      </c>
    </row>
    <row r="6398" ht="14.25" customHeight="1">
      <c r="A6398" s="7">
        <v>6385.0</v>
      </c>
      <c r="B6398" s="14">
        <f t="shared" si="1"/>
        <v>0.0939330699</v>
      </c>
      <c r="C6398" s="39">
        <f t="array" ref="C6398">NPV(B6398,FCFF!$C$9:$I$9)+FCFF!$B$9+FCFF!$I$9*(1+Inputs!$B$6)/(B6398-Inputs!$B$6)/(1+B6398)^7</f>
        <v>-1195.600297</v>
      </c>
    </row>
    <row r="6399" ht="14.25" customHeight="1">
      <c r="A6399" s="7">
        <v>6386.0</v>
      </c>
      <c r="B6399" s="14">
        <f t="shared" si="1"/>
        <v>0.1022013053</v>
      </c>
      <c r="C6399" s="39">
        <f t="array" ref="C6399">NPV(B6399,FCFF!$C$9:$I$9)+FCFF!$B$9+FCFF!$I$9*(1+Inputs!$B$6)/(B6399-Inputs!$B$6)/(1+B6399)^7</f>
        <v>-1444.103088</v>
      </c>
    </row>
    <row r="6400" ht="14.25" customHeight="1">
      <c r="A6400" s="7">
        <v>6387.0</v>
      </c>
      <c r="B6400" s="14">
        <f t="shared" si="1"/>
        <v>0.1042586047</v>
      </c>
      <c r="C6400" s="39">
        <f t="array" ref="C6400">NPV(B6400,FCFF!$C$9:$I$9)+FCFF!$B$9+FCFF!$I$9*(1+Inputs!$B$6)/(B6400-Inputs!$B$6)/(1+B6400)^7</f>
        <v>-1497.285614</v>
      </c>
    </row>
    <row r="6401" ht="14.25" customHeight="1">
      <c r="A6401" s="7">
        <v>6388.0</v>
      </c>
      <c r="B6401" s="14">
        <f t="shared" si="1"/>
        <v>0.1030248202</v>
      </c>
      <c r="C6401" s="39">
        <f t="array" ref="C6401">NPV(B6401,FCFF!$C$9:$I$9)+FCFF!$B$9+FCFF!$I$9*(1+Inputs!$B$6)/(B6401-Inputs!$B$6)/(1+B6401)^7</f>
        <v>-1465.7565</v>
      </c>
    </row>
    <row r="6402" ht="14.25" customHeight="1">
      <c r="A6402" s="7">
        <v>6389.0</v>
      </c>
      <c r="B6402" s="14">
        <f t="shared" si="1"/>
        <v>0.1126474591</v>
      </c>
      <c r="C6402" s="39">
        <f t="array" ref="C6402">NPV(B6402,FCFF!$C$9:$I$9)+FCFF!$B$9+FCFF!$I$9*(1+Inputs!$B$6)/(B6402-Inputs!$B$6)/(1+B6402)^7</f>
        <v>-1686.156527</v>
      </c>
    </row>
    <row r="6403" ht="14.25" customHeight="1">
      <c r="A6403" s="7">
        <v>6390.0</v>
      </c>
      <c r="B6403" s="14">
        <f t="shared" si="1"/>
        <v>0.1013036123</v>
      </c>
      <c r="C6403" s="39">
        <f t="array" ref="C6403">NPV(B6403,FCFF!$C$9:$I$9)+FCFF!$B$9+FCFF!$I$9*(1+Inputs!$B$6)/(B6403-Inputs!$B$6)/(1+B6403)^7</f>
        <v>-1419.922408</v>
      </c>
    </row>
    <row r="6404" ht="14.25" customHeight="1">
      <c r="A6404" s="7">
        <v>6391.0</v>
      </c>
      <c r="B6404" s="14">
        <f t="shared" si="1"/>
        <v>0.1027281866</v>
      </c>
      <c r="C6404" s="39">
        <f t="array" ref="C6404">NPV(B6404,FCFF!$C$9:$I$9)+FCFF!$B$9+FCFF!$I$9*(1+Inputs!$B$6)/(B6404-Inputs!$B$6)/(1+B6404)^7</f>
        <v>-1458.014114</v>
      </c>
    </row>
    <row r="6405" ht="14.25" customHeight="1">
      <c r="A6405" s="7">
        <v>6392.0</v>
      </c>
      <c r="B6405" s="14">
        <f t="shared" si="1"/>
        <v>0.1099057109</v>
      </c>
      <c r="C6405" s="39">
        <f t="array" ref="C6405">NPV(B6405,FCFF!$C$9:$I$9)+FCFF!$B$9+FCFF!$I$9*(1+Inputs!$B$6)/(B6405-Inputs!$B$6)/(1+B6405)^7</f>
        <v>-1628.917805</v>
      </c>
    </row>
    <row r="6406" ht="14.25" customHeight="1">
      <c r="A6406" s="7">
        <v>6393.0</v>
      </c>
      <c r="B6406" s="14">
        <f t="shared" si="1"/>
        <v>0.1116904254</v>
      </c>
      <c r="C6406" s="39">
        <f t="array" ref="C6406">NPV(B6406,FCFF!$C$9:$I$9)+FCFF!$B$9+FCFF!$I$9*(1+Inputs!$B$6)/(B6406-Inputs!$B$6)/(1+B6406)^7</f>
        <v>-1666.629119</v>
      </c>
    </row>
    <row r="6407" ht="14.25" customHeight="1">
      <c r="A6407" s="7">
        <v>6394.0</v>
      </c>
      <c r="B6407" s="14">
        <f t="shared" si="1"/>
        <v>0.1095233844</v>
      </c>
      <c r="C6407" s="39">
        <f t="array" ref="C6407">NPV(B6407,FCFF!$C$9:$I$9)+FCFF!$B$9+FCFF!$I$9*(1+Inputs!$B$6)/(B6407-Inputs!$B$6)/(1+B6407)^7</f>
        <v>-1620.611546</v>
      </c>
    </row>
    <row r="6408" ht="14.25" customHeight="1">
      <c r="A6408" s="7">
        <v>6395.0</v>
      </c>
      <c r="B6408" s="14">
        <f t="shared" si="1"/>
        <v>0.1269077244</v>
      </c>
      <c r="C6408" s="39">
        <f t="array" ref="C6408">NPV(B6408,FCFF!$C$9:$I$9)+FCFF!$B$9+FCFF!$I$9*(1+Inputs!$B$6)/(B6408-Inputs!$B$6)/(1+B6408)^7</f>
        <v>-1929.383334</v>
      </c>
    </row>
    <row r="6409" ht="14.25" customHeight="1">
      <c r="A6409" s="7">
        <v>6396.0</v>
      </c>
      <c r="B6409" s="14">
        <f t="shared" si="1"/>
        <v>0.1002974578</v>
      </c>
      <c r="C6409" s="39">
        <f t="array" ref="C6409">NPV(B6409,FCFF!$C$9:$I$9)+FCFF!$B$9+FCFF!$I$9*(1+Inputs!$B$6)/(B6409-Inputs!$B$6)/(1+B6409)^7</f>
        <v>-1392.078835</v>
      </c>
    </row>
    <row r="6410" ht="14.25" customHeight="1">
      <c r="A6410" s="7">
        <v>6397.0</v>
      </c>
      <c r="B6410" s="14">
        <f t="shared" si="1"/>
        <v>0.1234215215</v>
      </c>
      <c r="C6410" s="39">
        <f t="array" ref="C6410">NPV(B6410,FCFF!$C$9:$I$9)+FCFF!$B$9+FCFF!$I$9*(1+Inputs!$B$6)/(B6410-Inputs!$B$6)/(1+B6410)^7</f>
        <v>-1877.183549</v>
      </c>
    </row>
    <row r="6411" ht="14.25" customHeight="1">
      <c r="A6411" s="7">
        <v>6398.0</v>
      </c>
      <c r="B6411" s="14">
        <f t="shared" si="1"/>
        <v>0.1171739284</v>
      </c>
      <c r="C6411" s="39">
        <f t="array" ref="C6411">NPV(B6411,FCFF!$C$9:$I$9)+FCFF!$B$9+FCFF!$I$9*(1+Inputs!$B$6)/(B6411-Inputs!$B$6)/(1+B6411)^7</f>
        <v>-1772.467881</v>
      </c>
    </row>
    <row r="6412" ht="14.25" customHeight="1">
      <c r="A6412" s="7">
        <v>6399.0</v>
      </c>
      <c r="B6412" s="14">
        <f t="shared" si="1"/>
        <v>0.1267366315</v>
      </c>
      <c r="C6412" s="39">
        <f t="array" ref="C6412">NPV(B6412,FCFF!$C$9:$I$9)+FCFF!$B$9+FCFF!$I$9*(1+Inputs!$B$6)/(B6412-Inputs!$B$6)/(1+B6412)^7</f>
        <v>-1926.915704</v>
      </c>
    </row>
    <row r="6413" ht="14.25" customHeight="1">
      <c r="A6413" s="7">
        <v>6400.0</v>
      </c>
      <c r="B6413" s="14">
        <f t="shared" si="1"/>
        <v>0.1291751069</v>
      </c>
      <c r="C6413" s="39">
        <f t="array" ref="C6413">NPV(B6413,FCFF!$C$9:$I$9)+FCFF!$B$9+FCFF!$I$9*(1+Inputs!$B$6)/(B6413-Inputs!$B$6)/(1+B6413)^7</f>
        <v>-1961.21887</v>
      </c>
    </row>
    <row r="6414" ht="14.25" customHeight="1">
      <c r="A6414" s="7">
        <v>6401.0</v>
      </c>
      <c r="B6414" s="14">
        <f t="shared" si="1"/>
        <v>0.1265915134</v>
      </c>
      <c r="C6414" s="39">
        <f t="array" ref="C6414">NPV(B6414,FCFF!$C$9:$I$9)+FCFF!$B$9+FCFF!$I$9*(1+Inputs!$B$6)/(B6414-Inputs!$B$6)/(1+B6414)^7</f>
        <v>-1924.815325</v>
      </c>
    </row>
    <row r="6415" ht="14.25" customHeight="1">
      <c r="A6415" s="7">
        <v>6402.0</v>
      </c>
      <c r="B6415" s="14">
        <f t="shared" si="1"/>
        <v>0.115202378</v>
      </c>
      <c r="C6415" s="39">
        <f t="array" ref="C6415">NPV(B6415,FCFF!$C$9:$I$9)+FCFF!$B$9+FCFF!$I$9*(1+Inputs!$B$6)/(B6415-Inputs!$B$6)/(1+B6415)^7</f>
        <v>-1736.052759</v>
      </c>
    </row>
    <row r="6416" ht="14.25" customHeight="1">
      <c r="A6416" s="7">
        <v>6403.0</v>
      </c>
      <c r="B6416" s="14">
        <f t="shared" si="1"/>
        <v>0.1262284275</v>
      </c>
      <c r="C6416" s="39">
        <f t="array" ref="C6416">NPV(B6416,FCFF!$C$9:$I$9)+FCFF!$B$9+FCFF!$I$9*(1+Inputs!$B$6)/(B6416-Inputs!$B$6)/(1+B6416)^7</f>
        <v>-1919.530303</v>
      </c>
    </row>
    <row r="6417" ht="14.25" customHeight="1">
      <c r="A6417" s="7">
        <v>6404.0</v>
      </c>
      <c r="B6417" s="14">
        <f t="shared" si="1"/>
        <v>0.1158097035</v>
      </c>
      <c r="C6417" s="39">
        <f t="array" ref="C6417">NPV(B6417,FCFF!$C$9:$I$9)+FCFF!$B$9+FCFF!$I$9*(1+Inputs!$B$6)/(B6417-Inputs!$B$6)/(1+B6417)^7</f>
        <v>-1747.457254</v>
      </c>
    </row>
    <row r="6418" ht="14.25" customHeight="1">
      <c r="A6418" s="7">
        <v>6405.0</v>
      </c>
      <c r="B6418" s="14">
        <f t="shared" si="1"/>
        <v>0.1324571966</v>
      </c>
      <c r="C6418" s="39">
        <f t="array" ref="C6418">NPV(B6418,FCFF!$C$9:$I$9)+FCFF!$B$9+FCFF!$I$9*(1+Inputs!$B$6)/(B6418-Inputs!$B$6)/(1+B6418)^7</f>
        <v>-2004.602893</v>
      </c>
    </row>
    <row r="6419" ht="14.25" customHeight="1">
      <c r="A6419" s="7">
        <v>6406.0</v>
      </c>
      <c r="B6419" s="14">
        <f t="shared" si="1"/>
        <v>0.1086665808</v>
      </c>
      <c r="C6419" s="39">
        <f t="array" ref="C6419">NPV(B6419,FCFF!$C$9:$I$9)+FCFF!$B$9+FCFF!$I$9*(1+Inputs!$B$6)/(B6419-Inputs!$B$6)/(1+B6419)^7</f>
        <v>-1601.694609</v>
      </c>
    </row>
    <row r="6420" ht="14.25" customHeight="1">
      <c r="A6420" s="7">
        <v>6407.0</v>
      </c>
      <c r="B6420" s="14">
        <f t="shared" si="1"/>
        <v>0.1168643974</v>
      </c>
      <c r="C6420" s="39">
        <f t="array" ref="C6420">NPV(B6420,FCFF!$C$9:$I$9)+FCFF!$B$9+FCFF!$I$9*(1+Inputs!$B$6)/(B6420-Inputs!$B$6)/(1+B6420)^7</f>
        <v>-1766.865515</v>
      </c>
    </row>
    <row r="6421" ht="14.25" customHeight="1">
      <c r="A6421" s="7">
        <v>6408.0</v>
      </c>
      <c r="B6421" s="14">
        <f t="shared" si="1"/>
        <v>0.09536157035</v>
      </c>
      <c r="C6421" s="39">
        <f t="array" ref="C6421">NPV(B6421,FCFF!$C$9:$I$9)+FCFF!$B$9+FCFF!$I$9*(1+Inputs!$B$6)/(B6421-Inputs!$B$6)/(1+B6421)^7</f>
        <v>-1243.020864</v>
      </c>
    </row>
    <row r="6422" ht="14.25" customHeight="1">
      <c r="A6422" s="7">
        <v>6409.0</v>
      </c>
      <c r="B6422" s="14">
        <f t="shared" si="1"/>
        <v>0.09837533844</v>
      </c>
      <c r="C6422" s="39">
        <f t="array" ref="C6422">NPV(B6422,FCFF!$C$9:$I$9)+FCFF!$B$9+FCFF!$I$9*(1+Inputs!$B$6)/(B6422-Inputs!$B$6)/(1+B6422)^7</f>
        <v>-1336.594482</v>
      </c>
    </row>
    <row r="6423" ht="14.25" customHeight="1">
      <c r="A6423" s="7">
        <v>6410.0</v>
      </c>
      <c r="B6423" s="14">
        <f t="shared" si="1"/>
        <v>0.1221030364</v>
      </c>
      <c r="C6423" s="39">
        <f t="array" ref="C6423">NPV(B6423,FCFF!$C$9:$I$9)+FCFF!$B$9+FCFF!$I$9*(1+Inputs!$B$6)/(B6423-Inputs!$B$6)/(1+B6423)^7</f>
        <v>-1856.338298</v>
      </c>
    </row>
    <row r="6424" ht="14.25" customHeight="1">
      <c r="A6424" s="7">
        <v>6411.0</v>
      </c>
      <c r="B6424" s="14">
        <f t="shared" si="1"/>
        <v>0.1006618144</v>
      </c>
      <c r="C6424" s="39">
        <f t="array" ref="C6424">NPV(B6424,FCFF!$C$9:$I$9)+FCFF!$B$9+FCFF!$I$9*(1+Inputs!$B$6)/(B6424-Inputs!$B$6)/(1+B6424)^7</f>
        <v>-1402.25413</v>
      </c>
    </row>
    <row r="6425" ht="14.25" customHeight="1">
      <c r="A6425" s="7">
        <v>6412.0</v>
      </c>
      <c r="B6425" s="14">
        <f t="shared" si="1"/>
        <v>0.1131977796</v>
      </c>
      <c r="C6425" s="39">
        <f t="array" ref="C6425">NPV(B6425,FCFF!$C$9:$I$9)+FCFF!$B$9+FCFF!$I$9*(1+Inputs!$B$6)/(B6425-Inputs!$B$6)/(1+B6425)^7</f>
        <v>-1697.173966</v>
      </c>
    </row>
    <row r="6426" ht="14.25" customHeight="1">
      <c r="A6426" s="7">
        <v>6413.0</v>
      </c>
      <c r="B6426" s="14">
        <f t="shared" si="1"/>
        <v>0.1013623358</v>
      </c>
      <c r="C6426" s="39">
        <f t="array" ref="C6426">NPV(B6426,FCFF!$C$9:$I$9)+FCFF!$B$9+FCFF!$I$9*(1+Inputs!$B$6)/(B6426-Inputs!$B$6)/(1+B6426)^7</f>
        <v>-1421.523011</v>
      </c>
    </row>
    <row r="6427" ht="14.25" customHeight="1">
      <c r="A6427" s="7">
        <v>6414.0</v>
      </c>
      <c r="B6427" s="14">
        <f t="shared" si="1"/>
        <v>0.09350098943</v>
      </c>
      <c r="C6427" s="39">
        <f t="array" ref="C6427">NPV(B6427,FCFF!$C$9:$I$9)+FCFF!$B$9+FCFF!$I$9*(1+Inputs!$B$6)/(B6427-Inputs!$B$6)/(1+B6427)^7</f>
        <v>-1180.840427</v>
      </c>
    </row>
    <row r="6428" ht="14.25" customHeight="1">
      <c r="A6428" s="7">
        <v>6415.0</v>
      </c>
      <c r="B6428" s="14">
        <f t="shared" si="1"/>
        <v>0.108625961</v>
      </c>
      <c r="C6428" s="39">
        <f t="array" ref="C6428">NPV(B6428,FCFF!$C$9:$I$9)+FCFF!$B$9+FCFF!$I$9*(1+Inputs!$B$6)/(B6428-Inputs!$B$6)/(1+B6428)^7</f>
        <v>-1600.787241</v>
      </c>
    </row>
    <row r="6429" ht="14.25" customHeight="1">
      <c r="A6429" s="7">
        <v>6416.0</v>
      </c>
      <c r="B6429" s="14">
        <f t="shared" si="1"/>
        <v>0.1170278097</v>
      </c>
      <c r="C6429" s="39">
        <f t="array" ref="C6429">NPV(B6429,FCFF!$C$9:$I$9)+FCFF!$B$9+FCFF!$I$9*(1+Inputs!$B$6)/(B6429-Inputs!$B$6)/(1+B6429)^7</f>
        <v>-1769.82842</v>
      </c>
    </row>
    <row r="6430" ht="14.25" customHeight="1">
      <c r="A6430" s="7">
        <v>6417.0</v>
      </c>
      <c r="B6430" s="14">
        <f t="shared" si="1"/>
        <v>0.09711395445</v>
      </c>
      <c r="C6430" s="39">
        <f t="array" ref="C6430">NPV(B6430,FCFF!$C$9:$I$9)+FCFF!$B$9+FCFF!$I$9*(1+Inputs!$B$6)/(B6430-Inputs!$B$6)/(1+B6430)^7</f>
        <v>-1298.451073</v>
      </c>
    </row>
    <row r="6431" ht="14.25" customHeight="1">
      <c r="A6431" s="7">
        <v>6418.0</v>
      </c>
      <c r="B6431" s="14">
        <f t="shared" si="1"/>
        <v>0.09941807107</v>
      </c>
      <c r="C6431" s="39">
        <f t="array" ref="C6431">NPV(B6431,FCFF!$C$9:$I$9)+FCFF!$B$9+FCFF!$I$9*(1+Inputs!$B$6)/(B6431-Inputs!$B$6)/(1+B6431)^7</f>
        <v>-1367.077385</v>
      </c>
    </row>
    <row r="6432" ht="14.25" customHeight="1">
      <c r="A6432" s="7">
        <v>6419.0</v>
      </c>
      <c r="B6432" s="14">
        <f t="shared" si="1"/>
        <v>0.1114279892</v>
      </c>
      <c r="C6432" s="39">
        <f t="array" ref="C6432">NPV(B6432,FCFF!$C$9:$I$9)+FCFF!$B$9+FCFF!$I$9*(1+Inputs!$B$6)/(B6432-Inputs!$B$6)/(1+B6432)^7</f>
        <v>-1661.191108</v>
      </c>
    </row>
    <row r="6433" ht="14.25" customHeight="1">
      <c r="A6433" s="7">
        <v>6420.0</v>
      </c>
      <c r="B6433" s="14">
        <f t="shared" si="1"/>
        <v>0.110896687</v>
      </c>
      <c r="C6433" s="39">
        <f t="array" ref="C6433">NPV(B6433,FCFF!$C$9:$I$9)+FCFF!$B$9+FCFF!$I$9*(1+Inputs!$B$6)/(B6433-Inputs!$B$6)/(1+B6433)^7</f>
        <v>-1650.069904</v>
      </c>
    </row>
    <row r="6434" ht="14.25" customHeight="1">
      <c r="A6434" s="7">
        <v>6421.0</v>
      </c>
      <c r="B6434" s="14">
        <f t="shared" si="1"/>
        <v>0.1292373617</v>
      </c>
      <c r="C6434" s="39">
        <f t="array" ref="C6434">NPV(B6434,FCFF!$C$9:$I$9)+FCFF!$B$9+FCFF!$I$9*(1+Inputs!$B$6)/(B6434-Inputs!$B$6)/(1+B6434)^7</f>
        <v>-1962.070801</v>
      </c>
    </row>
    <row r="6435" ht="14.25" customHeight="1">
      <c r="A6435" s="7">
        <v>6422.0</v>
      </c>
      <c r="B6435" s="14">
        <f t="shared" si="1"/>
        <v>0.1158431958</v>
      </c>
      <c r="C6435" s="39">
        <f t="array" ref="C6435">NPV(B6435,FCFF!$C$9:$I$9)+FCFF!$B$9+FCFF!$I$9*(1+Inputs!$B$6)/(B6435-Inputs!$B$6)/(1+B6435)^7</f>
        <v>-1748.081263</v>
      </c>
    </row>
    <row r="6436" ht="14.25" customHeight="1">
      <c r="A6436" s="7">
        <v>6423.0</v>
      </c>
      <c r="B6436" s="14">
        <f t="shared" si="1"/>
        <v>0.09653346822</v>
      </c>
      <c r="C6436" s="39">
        <f t="array" ref="C6436">NPV(B6436,FCFF!$C$9:$I$9)+FCFF!$B$9+FCFF!$I$9*(1+Inputs!$B$6)/(B6436-Inputs!$B$6)/(1+B6436)^7</f>
        <v>-1280.411896</v>
      </c>
    </row>
    <row r="6437" ht="14.25" customHeight="1">
      <c r="A6437" s="7">
        <v>6424.0</v>
      </c>
      <c r="B6437" s="14">
        <f t="shared" si="1"/>
        <v>0.1002702426</v>
      </c>
      <c r="C6437" s="39">
        <f t="array" ref="C6437">NPV(B6437,FCFF!$C$9:$I$9)+FCFF!$B$9+FCFF!$I$9*(1+Inputs!$B$6)/(B6437-Inputs!$B$6)/(1+B6437)^7</f>
        <v>-1391.314535</v>
      </c>
    </row>
    <row r="6438" ht="14.25" customHeight="1">
      <c r="A6438" s="7">
        <v>6425.0</v>
      </c>
      <c r="B6438" s="14">
        <f t="shared" si="1"/>
        <v>0.1189554549</v>
      </c>
      <c r="C6438" s="39">
        <f t="array" ref="C6438">NPV(B6438,FCFF!$C$9:$I$9)+FCFF!$B$9+FCFF!$I$9*(1+Inputs!$B$6)/(B6438-Inputs!$B$6)/(1+B6438)^7</f>
        <v>-1803.915395</v>
      </c>
    </row>
    <row r="6439" ht="14.25" customHeight="1">
      <c r="A6439" s="7">
        <v>6426.0</v>
      </c>
      <c r="B6439" s="14">
        <f t="shared" si="1"/>
        <v>0.097732747</v>
      </c>
      <c r="C6439" s="39">
        <f t="array" ref="C6439">NPV(B6439,FCFF!$C$9:$I$9)+FCFF!$B$9+FCFF!$I$9*(1+Inputs!$B$6)/(B6439-Inputs!$B$6)/(1+B6439)^7</f>
        <v>-1317.340558</v>
      </c>
    </row>
    <row r="6440" ht="14.25" customHeight="1">
      <c r="A6440" s="7">
        <v>6427.0</v>
      </c>
      <c r="B6440" s="14">
        <f t="shared" si="1"/>
        <v>0.129639291</v>
      </c>
      <c r="C6440" s="39">
        <f t="array" ref="C6440">NPV(B6440,FCFF!$C$9:$I$9)+FCFF!$B$9+FCFF!$I$9*(1+Inputs!$B$6)/(B6440-Inputs!$B$6)/(1+B6440)^7</f>
        <v>-1967.543275</v>
      </c>
    </row>
    <row r="6441" ht="14.25" customHeight="1">
      <c r="A6441" s="7">
        <v>6428.0</v>
      </c>
      <c r="B6441" s="14">
        <f t="shared" si="1"/>
        <v>0.09889240794</v>
      </c>
      <c r="C6441" s="39">
        <f t="array" ref="C6441">NPV(B6441,FCFF!$C$9:$I$9)+FCFF!$B$9+FCFF!$I$9*(1+Inputs!$B$6)/(B6441-Inputs!$B$6)/(1+B6441)^7</f>
        <v>-1351.826071</v>
      </c>
    </row>
    <row r="6442" ht="14.25" customHeight="1">
      <c r="A6442" s="7">
        <v>6429.0</v>
      </c>
      <c r="B6442" s="14">
        <f t="shared" si="1"/>
        <v>0.11730131</v>
      </c>
      <c r="C6442" s="39">
        <f t="array" ref="C6442">NPV(B6442,FCFF!$C$9:$I$9)+FCFF!$B$9+FCFF!$I$9*(1+Inputs!$B$6)/(B6442-Inputs!$B$6)/(1+B6442)^7</f>
        <v>-1774.7613</v>
      </c>
    </row>
    <row r="6443" ht="14.25" customHeight="1">
      <c r="A6443" s="7">
        <v>6430.0</v>
      </c>
      <c r="B6443" s="14">
        <f t="shared" si="1"/>
        <v>0.1147163922</v>
      </c>
      <c r="C6443" s="39">
        <f t="array" ref="C6443">NPV(B6443,FCFF!$C$9:$I$9)+FCFF!$B$9+FCFF!$I$9*(1+Inputs!$B$6)/(B6443-Inputs!$B$6)/(1+B6443)^7</f>
        <v>-1726.803538</v>
      </c>
    </row>
    <row r="6444" ht="14.25" customHeight="1">
      <c r="A6444" s="7">
        <v>6431.0</v>
      </c>
      <c r="B6444" s="14">
        <f t="shared" si="1"/>
        <v>0.10815942</v>
      </c>
      <c r="C6444" s="39">
        <f t="array" ref="C6444">NPV(B6444,FCFF!$C$9:$I$9)+FCFF!$B$9+FCFF!$I$9*(1+Inputs!$B$6)/(B6444-Inputs!$B$6)/(1+B6444)^7</f>
        <v>-1590.296037</v>
      </c>
    </row>
    <row r="6445" ht="14.25" customHeight="1">
      <c r="A6445" s="7">
        <v>6432.0</v>
      </c>
      <c r="B6445" s="14">
        <f t="shared" si="1"/>
        <v>0.1257897985</v>
      </c>
      <c r="C6445" s="39">
        <f t="array" ref="C6445">NPV(B6445,FCFF!$C$9:$I$9)+FCFF!$B$9+FCFF!$I$9*(1+Inputs!$B$6)/(B6445-Inputs!$B$6)/(1+B6445)^7</f>
        <v>-1913.088219</v>
      </c>
    </row>
    <row r="6446" ht="14.25" customHeight="1">
      <c r="A6446" s="7">
        <v>6433.0</v>
      </c>
      <c r="B6446" s="14">
        <f t="shared" si="1"/>
        <v>0.09982838464</v>
      </c>
      <c r="C6446" s="39">
        <f t="array" ref="C6446">NPV(B6446,FCFF!$C$9:$I$9)+FCFF!$B$9+FCFF!$I$9*(1+Inputs!$B$6)/(B6446-Inputs!$B$6)/(1+B6446)^7</f>
        <v>-1378.821667</v>
      </c>
    </row>
    <row r="6447" ht="14.25" customHeight="1">
      <c r="A6447" s="7">
        <v>6434.0</v>
      </c>
      <c r="B6447" s="14">
        <f t="shared" si="1"/>
        <v>0.1312891643</v>
      </c>
      <c r="C6447" s="39">
        <f t="array" ref="C6447">NPV(B6447,FCFF!$C$9:$I$9)+FCFF!$B$9+FCFF!$I$9*(1+Inputs!$B$6)/(B6447-Inputs!$B$6)/(1+B6447)^7</f>
        <v>-1989.513789</v>
      </c>
    </row>
    <row r="6448" ht="14.25" customHeight="1">
      <c r="A6448" s="7">
        <v>6435.0</v>
      </c>
      <c r="B6448" s="14">
        <f t="shared" si="1"/>
        <v>0.1106327555</v>
      </c>
      <c r="C6448" s="39">
        <f t="array" ref="C6448">NPV(B6448,FCFF!$C$9:$I$9)+FCFF!$B$9+FCFF!$I$9*(1+Inputs!$B$6)/(B6448-Inputs!$B$6)/(1+B6448)^7</f>
        <v>-1644.48888</v>
      </c>
    </row>
    <row r="6449" ht="14.25" customHeight="1">
      <c r="A6449" s="7">
        <v>6436.0</v>
      </c>
      <c r="B6449" s="14">
        <f t="shared" si="1"/>
        <v>0.09474413371</v>
      </c>
      <c r="C6449" s="39">
        <f t="array" ref="C6449">NPV(B6449,FCFF!$C$9:$I$9)+FCFF!$B$9+FCFF!$I$9*(1+Inputs!$B$6)/(B6449-Inputs!$B$6)/(1+B6449)^7</f>
        <v>-1222.779196</v>
      </c>
    </row>
    <row r="6450" ht="14.25" customHeight="1">
      <c r="A6450" s="7">
        <v>6437.0</v>
      </c>
      <c r="B6450" s="14">
        <f t="shared" si="1"/>
        <v>0.1081199256</v>
      </c>
      <c r="C6450" s="39">
        <f t="array" ref="C6450">NPV(B6450,FCFF!$C$9:$I$9)+FCFF!$B$9+FCFF!$I$9*(1+Inputs!$B$6)/(B6450-Inputs!$B$6)/(1+B6450)^7</f>
        <v>-1589.402002</v>
      </c>
    </row>
    <row r="6451" ht="14.25" customHeight="1">
      <c r="A6451" s="7">
        <v>6438.0</v>
      </c>
      <c r="B6451" s="14">
        <f t="shared" si="1"/>
        <v>0.1268767874</v>
      </c>
      <c r="C6451" s="39">
        <f t="array" ref="C6451">NPV(B6451,FCFF!$C$9:$I$9)+FCFF!$B$9+FCFF!$I$9*(1+Inputs!$B$6)/(B6451-Inputs!$B$6)/(1+B6451)^7</f>
        <v>-1928.937832</v>
      </c>
    </row>
    <row r="6452" ht="14.25" customHeight="1">
      <c r="A6452" s="7">
        <v>6439.0</v>
      </c>
      <c r="B6452" s="14">
        <f t="shared" si="1"/>
        <v>0.1083092328</v>
      </c>
      <c r="C6452" s="39">
        <f t="array" ref="C6452">NPV(B6452,FCFF!$C$9:$I$9)+FCFF!$B$9+FCFF!$I$9*(1+Inputs!$B$6)/(B6452-Inputs!$B$6)/(1+B6452)^7</f>
        <v>-1593.678923</v>
      </c>
    </row>
    <row r="6453" ht="14.25" customHeight="1">
      <c r="A6453" s="7">
        <v>6440.0</v>
      </c>
      <c r="B6453" s="14">
        <f t="shared" si="1"/>
        <v>0.1087483755</v>
      </c>
      <c r="C6453" s="39">
        <f t="array" ref="C6453">NPV(B6453,FCFF!$C$9:$I$9)+FCFF!$B$9+FCFF!$I$9*(1+Inputs!$B$6)/(B6453-Inputs!$B$6)/(1+B6453)^7</f>
        <v>-1603.518821</v>
      </c>
    </row>
    <row r="6454" ht="14.25" customHeight="1">
      <c r="A6454" s="7">
        <v>6441.0</v>
      </c>
      <c r="B6454" s="14">
        <f t="shared" si="1"/>
        <v>0.112888833</v>
      </c>
      <c r="C6454" s="39">
        <f t="array" ref="C6454">NPV(B6454,FCFF!$C$9:$I$9)+FCFF!$B$9+FCFF!$I$9*(1+Inputs!$B$6)/(B6454-Inputs!$B$6)/(1+B6454)^7</f>
        <v>-1691.00758</v>
      </c>
    </row>
    <row r="6455" ht="14.25" customHeight="1">
      <c r="A6455" s="7">
        <v>6442.0</v>
      </c>
      <c r="B6455" s="14">
        <f t="shared" si="1"/>
        <v>0.09448151137</v>
      </c>
      <c r="C6455" s="39">
        <f t="array" ref="C6455">NPV(B6455,FCFF!$C$9:$I$9)+FCFF!$B$9+FCFF!$I$9*(1+Inputs!$B$6)/(B6455-Inputs!$B$6)/(1+B6455)^7</f>
        <v>-1214.05289</v>
      </c>
    </row>
    <row r="6456" ht="14.25" customHeight="1">
      <c r="A6456" s="7">
        <v>6443.0</v>
      </c>
      <c r="B6456" s="14">
        <f t="shared" si="1"/>
        <v>0.09380307373</v>
      </c>
      <c r="C6456" s="39">
        <f t="array" ref="C6456">NPV(B6456,FCFF!$C$9:$I$9)+FCFF!$B$9+FCFF!$I$9*(1+Inputs!$B$6)/(B6456-Inputs!$B$6)/(1+B6456)^7</f>
        <v>-1191.180437</v>
      </c>
    </row>
    <row r="6457" ht="14.25" customHeight="1">
      <c r="A6457" s="7">
        <v>6444.0</v>
      </c>
      <c r="B6457" s="14">
        <f t="shared" si="1"/>
        <v>0.1184077544</v>
      </c>
      <c r="C6457" s="39">
        <f t="array" ref="C6457">NPV(B6457,FCFF!$C$9:$I$9)+FCFF!$B$9+FCFF!$I$9*(1+Inputs!$B$6)/(B6457-Inputs!$B$6)/(1+B6457)^7</f>
        <v>-1794.38958</v>
      </c>
    </row>
    <row r="6458" ht="14.25" customHeight="1">
      <c r="A6458" s="7">
        <v>6445.0</v>
      </c>
      <c r="B6458" s="14">
        <f t="shared" si="1"/>
        <v>0.1102170632</v>
      </c>
      <c r="C6458" s="39">
        <f t="array" ref="C6458">NPV(B6458,FCFF!$C$9:$I$9)+FCFF!$B$9+FCFF!$I$9*(1+Inputs!$B$6)/(B6458-Inputs!$B$6)/(1+B6458)^7</f>
        <v>-1635.621729</v>
      </c>
    </row>
    <row r="6459" ht="14.25" customHeight="1">
      <c r="A6459" s="7">
        <v>6446.0</v>
      </c>
      <c r="B6459" s="14">
        <f t="shared" si="1"/>
        <v>0.1161860484</v>
      </c>
      <c r="C6459" s="39">
        <f t="array" ref="C6459">NPV(B6459,FCFF!$C$9:$I$9)+FCFF!$B$9+FCFF!$I$9*(1+Inputs!$B$6)/(B6459-Inputs!$B$6)/(1+B6459)^7</f>
        <v>-1754.439863</v>
      </c>
    </row>
    <row r="6460" ht="14.25" customHeight="1">
      <c r="A6460" s="7">
        <v>6447.0</v>
      </c>
      <c r="B6460" s="14">
        <f t="shared" si="1"/>
        <v>0.1165849016</v>
      </c>
      <c r="C6460" s="39">
        <f t="array" ref="C6460">NPV(B6460,FCFF!$C$9:$I$9)+FCFF!$B$9+FCFF!$I$9*(1+Inputs!$B$6)/(B6460-Inputs!$B$6)/(1+B6460)^7</f>
        <v>-1761.770611</v>
      </c>
    </row>
    <row r="6461" ht="14.25" customHeight="1">
      <c r="A6461" s="7">
        <v>6448.0</v>
      </c>
      <c r="B6461" s="14">
        <f t="shared" si="1"/>
        <v>0.1059421856</v>
      </c>
      <c r="C6461" s="39">
        <f t="array" ref="C6461">NPV(B6461,FCFF!$C$9:$I$9)+FCFF!$B$9+FCFF!$I$9*(1+Inputs!$B$6)/(B6461-Inputs!$B$6)/(1+B6461)^7</f>
        <v>-1538.627149</v>
      </c>
    </row>
    <row r="6462" ht="14.25" customHeight="1">
      <c r="A6462" s="7">
        <v>6449.0</v>
      </c>
      <c r="B6462" s="14">
        <f t="shared" si="1"/>
        <v>0.1054914469</v>
      </c>
      <c r="C6462" s="39">
        <f t="array" ref="C6462">NPV(B6462,FCFF!$C$9:$I$9)+FCFF!$B$9+FCFF!$I$9*(1+Inputs!$B$6)/(B6462-Inputs!$B$6)/(1+B6462)^7</f>
        <v>-1527.743338</v>
      </c>
    </row>
    <row r="6463" ht="14.25" customHeight="1">
      <c r="A6463" s="7">
        <v>6450.0</v>
      </c>
      <c r="B6463" s="14">
        <f t="shared" si="1"/>
        <v>0.1096135126</v>
      </c>
      <c r="C6463" s="39">
        <f t="array" ref="C6463">NPV(B6463,FCFF!$C$9:$I$9)+FCFF!$B$9+FCFF!$I$9*(1+Inputs!$B$6)/(B6463-Inputs!$B$6)/(1+B6463)^7</f>
        <v>-1622.57705</v>
      </c>
    </row>
    <row r="6464" ht="14.25" customHeight="1">
      <c r="A6464" s="7">
        <v>6451.0</v>
      </c>
      <c r="B6464" s="14">
        <f t="shared" si="1"/>
        <v>0.09621728263</v>
      </c>
      <c r="C6464" s="39">
        <f t="array" ref="C6464">NPV(B6464,FCFF!$C$9:$I$9)+FCFF!$B$9+FCFF!$I$9*(1+Inputs!$B$6)/(B6464-Inputs!$B$6)/(1+B6464)^7</f>
        <v>-1270.453398</v>
      </c>
    </row>
    <row r="6465" ht="14.25" customHeight="1">
      <c r="A6465" s="7">
        <v>6452.0</v>
      </c>
      <c r="B6465" s="14">
        <f t="shared" si="1"/>
        <v>0.1153918759</v>
      </c>
      <c r="C6465" s="39">
        <f t="array" ref="C6465">NPV(B6465,FCFF!$C$9:$I$9)+FCFF!$B$9+FCFF!$I$9*(1+Inputs!$B$6)/(B6465-Inputs!$B$6)/(1+B6465)^7</f>
        <v>-1739.629424</v>
      </c>
    </row>
    <row r="6466" ht="14.25" customHeight="1">
      <c r="A6466" s="7">
        <v>6453.0</v>
      </c>
      <c r="B6466" s="14">
        <f t="shared" si="1"/>
        <v>0.1088506287</v>
      </c>
      <c r="C6466" s="39">
        <f t="array" ref="C6466">NPV(B6466,FCFF!$C$9:$I$9)+FCFF!$B$9+FCFF!$I$9*(1+Inputs!$B$6)/(B6466-Inputs!$B$6)/(1+B6466)^7</f>
        <v>-1605.793827</v>
      </c>
    </row>
    <row r="6467" ht="14.25" customHeight="1">
      <c r="A6467" s="7">
        <v>6454.0</v>
      </c>
      <c r="B6467" s="14">
        <f t="shared" si="1"/>
        <v>0.1315115747</v>
      </c>
      <c r="C6467" s="39">
        <f t="array" ref="C6467">NPV(B6467,FCFF!$C$9:$I$9)+FCFF!$B$9+FCFF!$I$9*(1+Inputs!$B$6)/(B6467-Inputs!$B$6)/(1+B6467)^7</f>
        <v>-1992.416151</v>
      </c>
    </row>
    <row r="6468" ht="14.25" customHeight="1">
      <c r="A6468" s="7">
        <v>6455.0</v>
      </c>
      <c r="B6468" s="14">
        <f t="shared" si="1"/>
        <v>0.1316210309</v>
      </c>
      <c r="C6468" s="39">
        <f t="array" ref="C6468">NPV(B6468,FCFF!$C$9:$I$9)+FCFF!$B$9+FCFF!$I$9*(1+Inputs!$B$6)/(B6468-Inputs!$B$6)/(1+B6468)^7</f>
        <v>-1993.839428</v>
      </c>
    </row>
    <row r="6469" ht="14.25" customHeight="1">
      <c r="A6469" s="7">
        <v>6456.0</v>
      </c>
      <c r="B6469" s="14">
        <f t="shared" si="1"/>
        <v>0.1248232472</v>
      </c>
      <c r="C6469" s="39">
        <f t="array" ref="C6469">NPV(B6469,FCFF!$C$9:$I$9)+FCFF!$B$9+FCFF!$I$9*(1+Inputs!$B$6)/(B6469-Inputs!$B$6)/(1+B6469)^7</f>
        <v>-1898.666637</v>
      </c>
    </row>
    <row r="6470" ht="14.25" customHeight="1">
      <c r="A6470" s="7">
        <v>6457.0</v>
      </c>
      <c r="B6470" s="14">
        <f t="shared" si="1"/>
        <v>0.1014656255</v>
      </c>
      <c r="C6470" s="39">
        <f t="array" ref="C6470">NPV(B6470,FCFF!$C$9:$I$9)+FCFF!$B$9+FCFF!$I$9*(1+Inputs!$B$6)/(B6470-Inputs!$B$6)/(1+B6470)^7</f>
        <v>-1424.331887</v>
      </c>
    </row>
    <row r="6471" ht="14.25" customHeight="1">
      <c r="A6471" s="7">
        <v>6458.0</v>
      </c>
      <c r="B6471" s="14">
        <f t="shared" si="1"/>
        <v>0.1129493463</v>
      </c>
      <c r="C6471" s="39">
        <f t="array" ref="C6471">NPV(B6471,FCFF!$C$9:$I$9)+FCFF!$B$9+FCFF!$I$9*(1+Inputs!$B$6)/(B6471-Inputs!$B$6)/(1+B6471)^7</f>
        <v>-1692.219153</v>
      </c>
    </row>
    <row r="6472" ht="14.25" customHeight="1">
      <c r="A6472" s="7">
        <v>6459.0</v>
      </c>
      <c r="B6472" s="14">
        <f t="shared" si="1"/>
        <v>0.0982924468</v>
      </c>
      <c r="C6472" s="39">
        <f t="array" ref="C6472">NPV(B6472,FCFF!$C$9:$I$9)+FCFF!$B$9+FCFF!$I$9*(1+Inputs!$B$6)/(B6472-Inputs!$B$6)/(1+B6472)^7</f>
        <v>-1334.131192</v>
      </c>
    </row>
    <row r="6473" ht="14.25" customHeight="1">
      <c r="A6473" s="7">
        <v>6460.0</v>
      </c>
      <c r="B6473" s="14">
        <f t="shared" si="1"/>
        <v>0.1077776011</v>
      </c>
      <c r="C6473" s="39">
        <f t="array" ref="C6473">NPV(B6473,FCFF!$C$9:$I$9)+FCFF!$B$9+FCFF!$I$9*(1+Inputs!$B$6)/(B6473-Inputs!$B$6)/(1+B6473)^7</f>
        <v>-1581.613711</v>
      </c>
    </row>
    <row r="6474" ht="14.25" customHeight="1">
      <c r="A6474" s="7">
        <v>6461.0</v>
      </c>
      <c r="B6474" s="14">
        <f t="shared" si="1"/>
        <v>0.09373433528</v>
      </c>
      <c r="C6474" s="39">
        <f t="array" ref="C6474">NPV(B6474,FCFF!$C$9:$I$9)+FCFF!$B$9+FCFF!$I$9*(1+Inputs!$B$6)/(B6474-Inputs!$B$6)/(1+B6474)^7</f>
        <v>-1188.836121</v>
      </c>
    </row>
    <row r="6475" ht="14.25" customHeight="1">
      <c r="A6475" s="7">
        <v>6462.0</v>
      </c>
      <c r="B6475" s="14">
        <f t="shared" si="1"/>
        <v>0.1051858593</v>
      </c>
      <c r="C6475" s="39">
        <f t="array" ref="C6475">NPV(B6475,FCFF!$C$9:$I$9)+FCFF!$B$9+FCFF!$I$9*(1+Inputs!$B$6)/(B6475-Inputs!$B$6)/(1+B6475)^7</f>
        <v>-1520.288634</v>
      </c>
    </row>
    <row r="6476" ht="14.25" customHeight="1">
      <c r="A6476" s="7">
        <v>6463.0</v>
      </c>
      <c r="B6476" s="14">
        <f t="shared" si="1"/>
        <v>0.1052744786</v>
      </c>
      <c r="C6476" s="39">
        <f t="array" ref="C6476">NPV(B6476,FCFF!$C$9:$I$9)+FCFF!$B$9+FCFF!$I$9*(1+Inputs!$B$6)/(B6476-Inputs!$B$6)/(1+B6476)^7</f>
        <v>-1522.456831</v>
      </c>
    </row>
    <row r="6477" ht="14.25" customHeight="1">
      <c r="A6477" s="7">
        <v>6464.0</v>
      </c>
      <c r="B6477" s="14">
        <f t="shared" si="1"/>
        <v>0.09890027287</v>
      </c>
      <c r="C6477" s="39">
        <f t="array" ref="C6477">NPV(B6477,FCFF!$C$9:$I$9)+FCFF!$B$9+FCFF!$I$9*(1+Inputs!$B$6)/(B6477-Inputs!$B$6)/(1+B6477)^7</f>
        <v>-1352.055982</v>
      </c>
    </row>
    <row r="6478" ht="14.25" customHeight="1">
      <c r="A6478" s="7">
        <v>6465.0</v>
      </c>
      <c r="B6478" s="14">
        <f t="shared" si="1"/>
        <v>0.1244781341</v>
      </c>
      <c r="C6478" s="39">
        <f t="array" ref="C6478">NPV(B6478,FCFF!$C$9:$I$9)+FCFF!$B$9+FCFF!$I$9*(1+Inputs!$B$6)/(B6478-Inputs!$B$6)/(1+B6478)^7</f>
        <v>-1893.440653</v>
      </c>
    </row>
    <row r="6479" ht="14.25" customHeight="1">
      <c r="A6479" s="7">
        <v>6466.0</v>
      </c>
      <c r="B6479" s="14">
        <f t="shared" si="1"/>
        <v>0.09608925576</v>
      </c>
      <c r="C6479" s="39">
        <f t="array" ref="C6479">NPV(B6479,FCFF!$C$9:$I$9)+FCFF!$B$9+FCFF!$I$9*(1+Inputs!$B$6)/(B6479-Inputs!$B$6)/(1+B6479)^7</f>
        <v>-1266.394087</v>
      </c>
    </row>
    <row r="6480" ht="14.25" customHeight="1">
      <c r="A6480" s="7">
        <v>6467.0</v>
      </c>
      <c r="B6480" s="14">
        <f t="shared" si="1"/>
        <v>0.1098175757</v>
      </c>
      <c r="C6480" s="39">
        <f t="array" ref="C6480">NPV(B6480,FCFF!$C$9:$I$9)+FCFF!$B$9+FCFF!$I$9*(1+Inputs!$B$6)/(B6480-Inputs!$B$6)/(1+B6480)^7</f>
        <v>-1627.010303</v>
      </c>
    </row>
    <row r="6481" ht="14.25" customHeight="1">
      <c r="A6481" s="7">
        <v>6468.0</v>
      </c>
      <c r="B6481" s="14">
        <f t="shared" si="1"/>
        <v>0.1026333328</v>
      </c>
      <c r="C6481" s="39">
        <f t="array" ref="C6481">NPV(B6481,FCFF!$C$9:$I$9)+FCFF!$B$9+FCFF!$I$9*(1+Inputs!$B$6)/(B6481-Inputs!$B$6)/(1+B6481)^7</f>
        <v>-1455.524819</v>
      </c>
    </row>
    <row r="6482" ht="14.25" customHeight="1">
      <c r="A6482" s="7">
        <v>6469.0</v>
      </c>
      <c r="B6482" s="14">
        <f t="shared" si="1"/>
        <v>0.1044864949</v>
      </c>
      <c r="C6482" s="39">
        <f t="array" ref="C6482">NPV(B6482,FCFF!$C$9:$I$9)+FCFF!$B$9+FCFF!$I$9*(1+Inputs!$B$6)/(B6482-Inputs!$B$6)/(1+B6482)^7</f>
        <v>-1502.993113</v>
      </c>
    </row>
    <row r="6483" ht="14.25" customHeight="1">
      <c r="A6483" s="7">
        <v>6470.0</v>
      </c>
      <c r="B6483" s="14">
        <f t="shared" si="1"/>
        <v>0.0940561799</v>
      </c>
      <c r="C6483" s="39">
        <f t="array" ref="C6483">NPV(B6483,FCFF!$C$9:$I$9)+FCFF!$B$9+FCFF!$I$9*(1+Inputs!$B$6)/(B6483-Inputs!$B$6)/(1+B6483)^7</f>
        <v>-1199.769648</v>
      </c>
    </row>
    <row r="6484" ht="14.25" customHeight="1">
      <c r="A6484" s="7">
        <v>6471.0</v>
      </c>
      <c r="B6484" s="14">
        <f t="shared" si="1"/>
        <v>0.1000488649</v>
      </c>
      <c r="C6484" s="39">
        <f t="array" ref="C6484">NPV(B6484,FCFF!$C$9:$I$9)+FCFF!$B$9+FCFF!$I$9*(1+Inputs!$B$6)/(B6484-Inputs!$B$6)/(1+B6484)^7</f>
        <v>-1385.075245</v>
      </c>
    </row>
    <row r="6485" ht="14.25" customHeight="1">
      <c r="A6485" s="7">
        <v>6472.0</v>
      </c>
      <c r="B6485" s="14">
        <f t="shared" si="1"/>
        <v>0.1040501989</v>
      </c>
      <c r="C6485" s="39">
        <f t="array" ref="C6485">NPV(B6485,FCFF!$C$9:$I$9)+FCFF!$B$9+FCFF!$I$9*(1+Inputs!$B$6)/(B6485-Inputs!$B$6)/(1+B6485)^7</f>
        <v>-1492.0348</v>
      </c>
    </row>
    <row r="6486" ht="14.25" customHeight="1">
      <c r="A6486" s="7">
        <v>6473.0</v>
      </c>
      <c r="B6486" s="14">
        <f t="shared" si="1"/>
        <v>0.1082634007</v>
      </c>
      <c r="C6486" s="39">
        <f t="array" ref="C6486">NPV(B6486,FCFF!$C$9:$I$9)+FCFF!$B$9+FCFF!$I$9*(1+Inputs!$B$6)/(B6486-Inputs!$B$6)/(1+B6486)^7</f>
        <v>-1592.645412</v>
      </c>
    </row>
    <row r="6487" ht="14.25" customHeight="1">
      <c r="A6487" s="7">
        <v>6474.0</v>
      </c>
      <c r="B6487" s="14">
        <f t="shared" si="1"/>
        <v>0.1097011299</v>
      </c>
      <c r="C6487" s="39">
        <f t="array" ref="C6487">NPV(B6487,FCFF!$C$9:$I$9)+FCFF!$B$9+FCFF!$I$9*(1+Inputs!$B$6)/(B6487-Inputs!$B$6)/(1+B6487)^7</f>
        <v>-1624.483397</v>
      </c>
    </row>
    <row r="6488" ht="14.25" customHeight="1">
      <c r="A6488" s="7">
        <v>6475.0</v>
      </c>
      <c r="B6488" s="14">
        <f t="shared" si="1"/>
        <v>0.1146010347</v>
      </c>
      <c r="C6488" s="39">
        <f t="array" ref="C6488">NPV(B6488,FCFF!$C$9:$I$9)+FCFF!$B$9+FCFF!$I$9*(1+Inputs!$B$6)/(B6488-Inputs!$B$6)/(1+B6488)^7</f>
        <v>-1724.591755</v>
      </c>
    </row>
    <row r="6489" ht="14.25" customHeight="1">
      <c r="A6489" s="7">
        <v>6476.0</v>
      </c>
      <c r="B6489" s="14">
        <f t="shared" si="1"/>
        <v>0.09735584657</v>
      </c>
      <c r="C6489" s="39">
        <f t="array" ref="C6489">NPV(B6489,FCFF!$C$9:$I$9)+FCFF!$B$9+FCFF!$I$9*(1+Inputs!$B$6)/(B6489-Inputs!$B$6)/(1+B6489)^7</f>
        <v>-1305.876461</v>
      </c>
    </row>
    <row r="6490" ht="14.25" customHeight="1">
      <c r="A6490" s="7">
        <v>6477.0</v>
      </c>
      <c r="B6490" s="14">
        <f t="shared" si="1"/>
        <v>0.1045871218</v>
      </c>
      <c r="C6490" s="39">
        <f t="array" ref="C6490">NPV(B6490,FCFF!$C$9:$I$9)+FCFF!$B$9+FCFF!$I$9*(1+Inputs!$B$6)/(B6490-Inputs!$B$6)/(1+B6490)^7</f>
        <v>-1505.502008</v>
      </c>
    </row>
    <row r="6491" ht="14.25" customHeight="1">
      <c r="A6491" s="7">
        <v>6478.0</v>
      </c>
      <c r="B6491" s="14">
        <f t="shared" si="1"/>
        <v>0.09515586739</v>
      </c>
      <c r="C6491" s="39">
        <f t="array" ref="C6491">NPV(B6491,FCFF!$C$9:$I$9)+FCFF!$B$9+FCFF!$I$9*(1+Inputs!$B$6)/(B6491-Inputs!$B$6)/(1+B6491)^7</f>
        <v>-1236.319556</v>
      </c>
    </row>
    <row r="6492" ht="14.25" customHeight="1">
      <c r="A6492" s="7">
        <v>6479.0</v>
      </c>
      <c r="B6492" s="14">
        <f t="shared" si="1"/>
        <v>0.09303519051</v>
      </c>
      <c r="C6492" s="39">
        <f t="array" ref="C6492">NPV(B6492,FCFF!$C$9:$I$9)+FCFF!$B$9+FCFF!$I$9*(1+Inputs!$B$6)/(B6492-Inputs!$B$6)/(1+B6492)^7</f>
        <v>-1164.70458</v>
      </c>
    </row>
    <row r="6493" ht="14.25" customHeight="1">
      <c r="A6493" s="7">
        <v>6480.0</v>
      </c>
      <c r="B6493" s="14">
        <f t="shared" si="1"/>
        <v>0.1002716106</v>
      </c>
      <c r="C6493" s="39">
        <f t="array" ref="C6493">NPV(B6493,FCFF!$C$9:$I$9)+FCFF!$B$9+FCFF!$I$9*(1+Inputs!$B$6)/(B6493-Inputs!$B$6)/(1+B6493)^7</f>
        <v>-1391.352969</v>
      </c>
    </row>
    <row r="6494" ht="14.25" customHeight="1">
      <c r="A6494" s="7">
        <v>6481.0</v>
      </c>
      <c r="B6494" s="14">
        <f t="shared" si="1"/>
        <v>0.109502734</v>
      </c>
      <c r="C6494" s="39">
        <f t="array" ref="C6494">NPV(B6494,FCFF!$C$9:$I$9)+FCFF!$B$9+FCFF!$I$9*(1+Inputs!$B$6)/(B6494-Inputs!$B$6)/(1+B6494)^7</f>
        <v>-1620.160559</v>
      </c>
    </row>
    <row r="6495" ht="14.25" customHeight="1">
      <c r="A6495" s="7">
        <v>6482.0</v>
      </c>
      <c r="B6495" s="14">
        <f t="shared" si="1"/>
        <v>0.1066392817</v>
      </c>
      <c r="C6495" s="39">
        <f t="array" ref="C6495">NPV(B6495,FCFF!$C$9:$I$9)+FCFF!$B$9+FCFF!$I$9*(1+Inputs!$B$6)/(B6495-Inputs!$B$6)/(1+B6495)^7</f>
        <v>-1555.201972</v>
      </c>
    </row>
    <row r="6496" ht="14.25" customHeight="1">
      <c r="A6496" s="7">
        <v>6483.0</v>
      </c>
      <c r="B6496" s="14">
        <f t="shared" si="1"/>
        <v>0.1020246876</v>
      </c>
      <c r="C6496" s="39">
        <f t="array" ref="C6496">NPV(B6496,FCFF!$C$9:$I$9)+FCFF!$B$9+FCFF!$I$9*(1+Inputs!$B$6)/(B6496-Inputs!$B$6)/(1+B6496)^7</f>
        <v>-1439.3938</v>
      </c>
    </row>
    <row r="6497" ht="14.25" customHeight="1">
      <c r="A6497" s="7">
        <v>6484.0</v>
      </c>
      <c r="B6497" s="14">
        <f t="shared" si="1"/>
        <v>0.1314688809</v>
      </c>
      <c r="C6497" s="39">
        <f t="array" ref="C6497">NPV(B6497,FCFF!$C$9:$I$9)+FCFF!$B$9+FCFF!$I$9*(1+Inputs!$B$6)/(B6497-Inputs!$B$6)/(1+B6497)^7</f>
        <v>-1991.860089</v>
      </c>
    </row>
    <row r="6498" ht="14.25" customHeight="1">
      <c r="A6498" s="7">
        <v>6485.0</v>
      </c>
      <c r="B6498" s="14">
        <f t="shared" si="1"/>
        <v>0.1046245855</v>
      </c>
      <c r="C6498" s="39">
        <f t="array" ref="C6498">NPV(B6498,FCFF!$C$9:$I$9)+FCFF!$B$9+FCFF!$I$9*(1+Inputs!$B$6)/(B6498-Inputs!$B$6)/(1+B6498)^7</f>
        <v>-1506.434318</v>
      </c>
    </row>
    <row r="6499" ht="14.25" customHeight="1">
      <c r="A6499" s="7">
        <v>6486.0</v>
      </c>
      <c r="B6499" s="14">
        <f t="shared" si="1"/>
        <v>0.09802841415</v>
      </c>
      <c r="C6499" s="39">
        <f t="array" ref="C6499">NPV(B6499,FCFF!$C$9:$I$9)+FCFF!$B$9+FCFF!$I$9*(1+Inputs!$B$6)/(B6499-Inputs!$B$6)/(1+B6499)^7</f>
        <v>-1326.244851</v>
      </c>
    </row>
    <row r="6500" ht="14.25" customHeight="1">
      <c r="A6500" s="7">
        <v>6487.0</v>
      </c>
      <c r="B6500" s="14">
        <f t="shared" si="1"/>
        <v>0.09964982211</v>
      </c>
      <c r="C6500" s="39">
        <f t="array" ref="C6500">NPV(B6500,FCFF!$C$9:$I$9)+FCFF!$B$9+FCFF!$I$9*(1+Inputs!$B$6)/(B6500-Inputs!$B$6)/(1+B6500)^7</f>
        <v>-1373.727825</v>
      </c>
    </row>
    <row r="6501" ht="14.25" customHeight="1">
      <c r="A6501" s="7">
        <v>6488.0</v>
      </c>
      <c r="B6501" s="14">
        <f t="shared" si="1"/>
        <v>0.09341131501</v>
      </c>
      <c r="C6501" s="39">
        <f t="array" ref="C6501">NPV(B6501,FCFF!$C$9:$I$9)+FCFF!$B$9+FCFF!$I$9*(1+Inputs!$B$6)/(B6501-Inputs!$B$6)/(1+B6501)^7</f>
        <v>-1177.752211</v>
      </c>
    </row>
    <row r="6502" ht="14.25" customHeight="1">
      <c r="A6502" s="7">
        <v>6489.0</v>
      </c>
      <c r="B6502" s="14">
        <f t="shared" si="1"/>
        <v>0.1091337168</v>
      </c>
      <c r="C6502" s="39">
        <f t="array" ref="C6502">NPV(B6502,FCFF!$C$9:$I$9)+FCFF!$B$9+FCFF!$I$9*(1+Inputs!$B$6)/(B6502-Inputs!$B$6)/(1+B6502)^7</f>
        <v>-1612.060599</v>
      </c>
    </row>
    <row r="6503" ht="14.25" customHeight="1">
      <c r="A6503" s="7">
        <v>6490.0</v>
      </c>
      <c r="B6503" s="14">
        <f t="shared" si="1"/>
        <v>0.1114816889</v>
      </c>
      <c r="C6503" s="39">
        <f t="array" ref="C6503">NPV(B6503,FCFF!$C$9:$I$9)+FCFF!$B$9+FCFF!$I$9*(1+Inputs!$B$6)/(B6503-Inputs!$B$6)/(1+B6503)^7</f>
        <v>-1662.306788</v>
      </c>
    </row>
    <row r="6504" ht="14.25" customHeight="1">
      <c r="A6504" s="7">
        <v>6491.0</v>
      </c>
      <c r="B6504" s="14">
        <f t="shared" si="1"/>
        <v>0.1237860324</v>
      </c>
      <c r="C6504" s="39">
        <f t="array" ref="C6504">NPV(B6504,FCFF!$C$9:$I$9)+FCFF!$B$9+FCFF!$I$9*(1+Inputs!$B$6)/(B6504-Inputs!$B$6)/(1+B6504)^7</f>
        <v>-1882.836184</v>
      </c>
    </row>
    <row r="6505" ht="14.25" customHeight="1">
      <c r="A6505" s="7">
        <v>6492.0</v>
      </c>
      <c r="B6505" s="14">
        <f t="shared" si="1"/>
        <v>0.1044105002</v>
      </c>
      <c r="C6505" s="39">
        <f t="array" ref="C6505">NPV(B6505,FCFF!$C$9:$I$9)+FCFF!$B$9+FCFF!$I$9*(1+Inputs!$B$6)/(B6505-Inputs!$B$6)/(1+B6505)^7</f>
        <v>-1501.093786</v>
      </c>
    </row>
    <row r="6506" ht="14.25" customHeight="1">
      <c r="A6506" s="7">
        <v>6493.0</v>
      </c>
      <c r="B6506" s="14">
        <f t="shared" si="1"/>
        <v>0.1256130571</v>
      </c>
      <c r="C6506" s="39">
        <f t="array" ref="C6506">NPV(B6506,FCFF!$C$9:$I$9)+FCFF!$B$9+FCFF!$I$9*(1+Inputs!$B$6)/(B6506-Inputs!$B$6)/(1+B6506)^7</f>
        <v>-1910.474491</v>
      </c>
    </row>
    <row r="6507" ht="14.25" customHeight="1">
      <c r="A6507" s="7">
        <v>6494.0</v>
      </c>
      <c r="B6507" s="14">
        <f t="shared" si="1"/>
        <v>0.1257356573</v>
      </c>
      <c r="C6507" s="39">
        <f t="array" ref="C6507">NPV(B6507,FCFF!$C$9:$I$9)+FCFF!$B$9+FCFF!$I$9*(1+Inputs!$B$6)/(B6507-Inputs!$B$6)/(1+B6507)^7</f>
        <v>-1912.288657</v>
      </c>
    </row>
    <row r="6508" ht="14.25" customHeight="1">
      <c r="A6508" s="7">
        <v>6495.0</v>
      </c>
      <c r="B6508" s="14">
        <f t="shared" si="1"/>
        <v>0.1004510895</v>
      </c>
      <c r="C6508" s="39">
        <f t="array" ref="C6508">NPV(B6508,FCFF!$C$9:$I$9)+FCFF!$B$9+FCFF!$I$9*(1+Inputs!$B$6)/(B6508-Inputs!$B$6)/(1+B6508)^7</f>
        <v>-1396.3822</v>
      </c>
    </row>
    <row r="6509" ht="14.25" customHeight="1">
      <c r="A6509" s="7">
        <v>6496.0</v>
      </c>
      <c r="B6509" s="14">
        <f t="shared" si="1"/>
        <v>0.1013953029</v>
      </c>
      <c r="C6509" s="39">
        <f t="array" ref="C6509">NPV(B6509,FCFF!$C$9:$I$9)+FCFF!$B$9+FCFF!$I$9*(1+Inputs!$B$6)/(B6509-Inputs!$B$6)/(1+B6509)^7</f>
        <v>-1422.420415</v>
      </c>
    </row>
    <row r="6510" ht="14.25" customHeight="1">
      <c r="A6510" s="7">
        <v>6497.0</v>
      </c>
      <c r="B6510" s="14">
        <f t="shared" si="1"/>
        <v>0.09787102908</v>
      </c>
      <c r="C6510" s="39">
        <f t="array" ref="C6510">NPV(B6510,FCFF!$C$9:$I$9)+FCFF!$B$9+FCFF!$I$9*(1+Inputs!$B$6)/(B6510-Inputs!$B$6)/(1+B6510)^7</f>
        <v>-1321.514718</v>
      </c>
    </row>
    <row r="6511" ht="14.25" customHeight="1">
      <c r="A6511" s="7">
        <v>6498.0</v>
      </c>
      <c r="B6511" s="14">
        <f t="shared" si="1"/>
        <v>0.09351693924</v>
      </c>
      <c r="C6511" s="39">
        <f t="array" ref="C6511">NPV(B6511,FCFF!$C$9:$I$9)+FCFF!$B$9+FCFF!$I$9*(1+Inputs!$B$6)/(B6511-Inputs!$B$6)/(1+B6511)^7</f>
        <v>-1181.388804</v>
      </c>
    </row>
    <row r="6512" ht="14.25" customHeight="1">
      <c r="A6512" s="7">
        <v>6499.0</v>
      </c>
      <c r="B6512" s="14">
        <f t="shared" si="1"/>
        <v>0.1241095743</v>
      </c>
      <c r="C6512" s="39">
        <f t="array" ref="C6512">NPV(B6512,FCFF!$C$9:$I$9)+FCFF!$B$9+FCFF!$I$9*(1+Inputs!$B$6)/(B6512-Inputs!$B$6)/(1+B6512)^7</f>
        <v>-1887.8143</v>
      </c>
    </row>
    <row r="6513" ht="14.25" customHeight="1">
      <c r="A6513" s="7">
        <v>6500.0</v>
      </c>
      <c r="B6513" s="14">
        <f t="shared" si="1"/>
        <v>0.1288404733</v>
      </c>
      <c r="C6513" s="39">
        <f t="array" ref="C6513">NPV(B6513,FCFF!$C$9:$I$9)+FCFF!$B$9+FCFF!$I$9*(1+Inputs!$B$6)/(B6513-Inputs!$B$6)/(1+B6513)^7</f>
        <v>-1956.619638</v>
      </c>
    </row>
    <row r="6514" ht="14.25" customHeight="1">
      <c r="A6514" s="7">
        <v>6501.0</v>
      </c>
      <c r="B6514" s="14">
        <f t="shared" si="1"/>
        <v>0.1231620161</v>
      </c>
      <c r="C6514" s="39">
        <f t="array" ref="C6514">NPV(B6514,FCFF!$C$9:$I$9)+FCFF!$B$9+FCFF!$I$9*(1+Inputs!$B$6)/(B6514-Inputs!$B$6)/(1+B6514)^7</f>
        <v>-1873.130491</v>
      </c>
    </row>
    <row r="6515" ht="14.25" customHeight="1">
      <c r="A6515" s="7">
        <v>6502.0</v>
      </c>
      <c r="B6515" s="14">
        <f t="shared" si="1"/>
        <v>0.1065812978</v>
      </c>
      <c r="C6515" s="39">
        <f t="array" ref="C6515">NPV(B6515,FCFF!$C$9:$I$9)+FCFF!$B$9+FCFF!$I$9*(1+Inputs!$B$6)/(B6515-Inputs!$B$6)/(1+B6515)^7</f>
        <v>-1553.835063</v>
      </c>
    </row>
    <row r="6516" ht="14.25" customHeight="1">
      <c r="A6516" s="7">
        <v>6503.0</v>
      </c>
      <c r="B6516" s="14">
        <f t="shared" si="1"/>
        <v>0.104315741</v>
      </c>
      <c r="C6516" s="39">
        <f t="array" ref="C6516">NPV(B6516,FCFF!$C$9:$I$9)+FCFF!$B$9+FCFF!$I$9*(1+Inputs!$B$6)/(B6516-Inputs!$B$6)/(1+B6516)^7</f>
        <v>-1498.719936</v>
      </c>
    </row>
    <row r="6517" ht="14.25" customHeight="1">
      <c r="A6517" s="7">
        <v>6504.0</v>
      </c>
      <c r="B6517" s="14">
        <f t="shared" si="1"/>
        <v>0.1194953589</v>
      </c>
      <c r="C6517" s="39">
        <f t="array" ref="C6517">NPV(B6517,FCFF!$C$9:$I$9)+FCFF!$B$9+FCFF!$I$9*(1+Inputs!$B$6)/(B6517-Inputs!$B$6)/(1+B6517)^7</f>
        <v>-1813.18514</v>
      </c>
    </row>
    <row r="6518" ht="14.25" customHeight="1">
      <c r="A6518" s="7">
        <v>6505.0</v>
      </c>
      <c r="B6518" s="14">
        <f t="shared" si="1"/>
        <v>0.1117199425</v>
      </c>
      <c r="C6518" s="39">
        <f t="array" ref="C6518">NPV(B6518,FCFF!$C$9:$I$9)+FCFF!$B$9+FCFF!$I$9*(1+Inputs!$B$6)/(B6518-Inputs!$B$6)/(1+B6518)^7</f>
        <v>-1667.238485</v>
      </c>
    </row>
    <row r="6519" ht="14.25" customHeight="1">
      <c r="A6519" s="7">
        <v>6506.0</v>
      </c>
      <c r="B6519" s="14">
        <f t="shared" si="1"/>
        <v>0.1302121362</v>
      </c>
      <c r="C6519" s="39">
        <f t="array" ref="C6519">NPV(B6519,FCFF!$C$9:$I$9)+FCFF!$B$9+FCFF!$I$9*(1+Inputs!$B$6)/(B6519-Inputs!$B$6)/(1+B6519)^7</f>
        <v>-1975.260625</v>
      </c>
    </row>
    <row r="6520" ht="14.25" customHeight="1">
      <c r="A6520" s="7">
        <v>6507.0</v>
      </c>
      <c r="B6520" s="14">
        <f t="shared" si="1"/>
        <v>0.101708683</v>
      </c>
      <c r="C6520" s="39">
        <f t="array" ref="C6520">NPV(B6520,FCFF!$C$9:$I$9)+FCFF!$B$9+FCFF!$I$9*(1+Inputs!$B$6)/(B6520-Inputs!$B$6)/(1+B6520)^7</f>
        <v>-1430.909371</v>
      </c>
    </row>
    <row r="6521" ht="14.25" customHeight="1">
      <c r="A6521" s="7">
        <v>6508.0</v>
      </c>
      <c r="B6521" s="14">
        <f t="shared" si="1"/>
        <v>0.1189989255</v>
      </c>
      <c r="C6521" s="39">
        <f t="array" ref="C6521">NPV(B6521,FCFF!$C$9:$I$9)+FCFF!$B$9+FCFF!$I$9*(1+Inputs!$B$6)/(B6521-Inputs!$B$6)/(1+B6521)^7</f>
        <v>-1804.666152</v>
      </c>
    </row>
    <row r="6522" ht="14.25" customHeight="1">
      <c r="A6522" s="7">
        <v>6509.0</v>
      </c>
      <c r="B6522" s="14">
        <f t="shared" si="1"/>
        <v>0.1232790497</v>
      </c>
      <c r="C6522" s="39">
        <f t="array" ref="C6522">NPV(B6522,FCFF!$C$9:$I$9)+FCFF!$B$9+FCFF!$I$9*(1+Inputs!$B$6)/(B6522-Inputs!$B$6)/(1+B6522)^7</f>
        <v>-1874.961348</v>
      </c>
    </row>
    <row r="6523" ht="14.25" customHeight="1">
      <c r="A6523" s="7">
        <v>6510.0</v>
      </c>
      <c r="B6523" s="14">
        <f t="shared" si="1"/>
        <v>0.1085810029</v>
      </c>
      <c r="C6523" s="39">
        <f t="array" ref="C6523">NPV(B6523,FCFF!$C$9:$I$9)+FCFF!$B$9+FCFF!$I$9*(1+Inputs!$B$6)/(B6523-Inputs!$B$6)/(1+B6523)^7</f>
        <v>-1599.781839</v>
      </c>
    </row>
    <row r="6524" ht="14.25" customHeight="1">
      <c r="A6524" s="7">
        <v>6511.0</v>
      </c>
      <c r="B6524" s="14">
        <f t="shared" si="1"/>
        <v>0.1312565258</v>
      </c>
      <c r="C6524" s="39">
        <f t="array" ref="C6524">NPV(B6524,FCFF!$C$9:$I$9)+FCFF!$B$9+FCFF!$I$9*(1+Inputs!$B$6)/(B6524-Inputs!$B$6)/(1+B6524)^7</f>
        <v>-1989.086702</v>
      </c>
    </row>
    <row r="6525" ht="14.25" customHeight="1">
      <c r="A6525" s="7">
        <v>6512.0</v>
      </c>
      <c r="B6525" s="14">
        <f t="shared" si="1"/>
        <v>0.1291625646</v>
      </c>
      <c r="C6525" s="39">
        <f t="array" ref="C6525">NPV(B6525,FCFF!$C$9:$I$9)+FCFF!$B$9+FCFF!$I$9*(1+Inputs!$B$6)/(B6525-Inputs!$B$6)/(1+B6525)^7</f>
        <v>-1961.047094</v>
      </c>
    </row>
    <row r="6526" ht="14.25" customHeight="1">
      <c r="A6526" s="7">
        <v>6513.0</v>
      </c>
      <c r="B6526" s="14">
        <f t="shared" si="1"/>
        <v>0.09326374314</v>
      </c>
      <c r="C6526" s="39">
        <f t="array" ref="C6526">NPV(B6526,FCFF!$C$9:$I$9)+FCFF!$B$9+FCFF!$I$9*(1+Inputs!$B$6)/(B6526-Inputs!$B$6)/(1+B6526)^7</f>
        <v>-1172.651273</v>
      </c>
    </row>
    <row r="6527" ht="14.25" customHeight="1">
      <c r="A6527" s="7">
        <v>6514.0</v>
      </c>
      <c r="B6527" s="14">
        <f t="shared" si="1"/>
        <v>0.09819300458</v>
      </c>
      <c r="C6527" s="39">
        <f t="array" ref="C6527">NPV(B6527,FCFF!$C$9:$I$9)+FCFF!$B$9+FCFF!$I$9*(1+Inputs!$B$6)/(B6527-Inputs!$B$6)/(1+B6527)^7</f>
        <v>-1331.168152</v>
      </c>
    </row>
    <row r="6528" ht="14.25" customHeight="1">
      <c r="A6528" s="7">
        <v>6515.0</v>
      </c>
      <c r="B6528" s="14">
        <f t="shared" si="1"/>
        <v>0.1317791979</v>
      </c>
      <c r="C6528" s="39">
        <f t="array" ref="C6528">NPV(B6528,FCFF!$C$9:$I$9)+FCFF!$B$9+FCFF!$I$9*(1+Inputs!$B$6)/(B6528-Inputs!$B$6)/(1+B6528)^7</f>
        <v>-1995.890209</v>
      </c>
    </row>
    <row r="6529" ht="14.25" customHeight="1">
      <c r="A6529" s="7">
        <v>6516.0</v>
      </c>
      <c r="B6529" s="14">
        <f t="shared" si="1"/>
        <v>0.1236475068</v>
      </c>
      <c r="C6529" s="39">
        <f t="array" ref="C6529">NPV(B6529,FCFF!$C$9:$I$9)+FCFF!$B$9+FCFF!$I$9*(1+Inputs!$B$6)/(B6529-Inputs!$B$6)/(1+B6529)^7</f>
        <v>-1880.693542</v>
      </c>
    </row>
    <row r="6530" ht="14.25" customHeight="1">
      <c r="A6530" s="7">
        <v>6517.0</v>
      </c>
      <c r="B6530" s="14">
        <f t="shared" si="1"/>
        <v>0.1105872109</v>
      </c>
      <c r="C6530" s="39">
        <f t="array" ref="C6530">NPV(B6530,FCFF!$C$9:$I$9)+FCFF!$B$9+FCFF!$I$9*(1+Inputs!$B$6)/(B6530-Inputs!$B$6)/(1+B6530)^7</f>
        <v>-1643.52198</v>
      </c>
    </row>
    <row r="6531" ht="14.25" customHeight="1">
      <c r="A6531" s="7">
        <v>6518.0</v>
      </c>
      <c r="B6531" s="14">
        <f t="shared" si="1"/>
        <v>0.1187103355</v>
      </c>
      <c r="C6531" s="39">
        <f t="array" ref="C6531">NPV(B6531,FCFF!$C$9:$I$9)+FCFF!$B$9+FCFF!$I$9*(1+Inputs!$B$6)/(B6531-Inputs!$B$6)/(1+B6531)^7</f>
        <v>-1799.667531</v>
      </c>
    </row>
    <row r="6532" ht="14.25" customHeight="1">
      <c r="A6532" s="7">
        <v>6519.0</v>
      </c>
      <c r="B6532" s="14">
        <f t="shared" si="1"/>
        <v>0.1081621234</v>
      </c>
      <c r="C6532" s="39">
        <f t="array" ref="C6532">NPV(B6532,FCFF!$C$9:$I$9)+FCFF!$B$9+FCFF!$I$9*(1+Inputs!$B$6)/(B6532-Inputs!$B$6)/(1+B6532)^7</f>
        <v>-1590.357201</v>
      </c>
    </row>
    <row r="6533" ht="14.25" customHeight="1">
      <c r="A6533" s="7">
        <v>6520.0</v>
      </c>
      <c r="B6533" s="14">
        <f t="shared" si="1"/>
        <v>0.1249589486</v>
      </c>
      <c r="C6533" s="39">
        <f t="array" ref="C6533">NPV(B6533,FCFF!$C$9:$I$9)+FCFF!$B$9+FCFF!$I$9*(1+Inputs!$B$6)/(B6533-Inputs!$B$6)/(1+B6533)^7</f>
        <v>-1900.710393</v>
      </c>
    </row>
    <row r="6534" ht="14.25" customHeight="1">
      <c r="A6534" s="7">
        <v>6521.0</v>
      </c>
      <c r="B6534" s="14">
        <f t="shared" si="1"/>
        <v>0.104506329</v>
      </c>
      <c r="C6534" s="39">
        <f t="array" ref="C6534">NPV(B6534,FCFF!$C$9:$I$9)+FCFF!$B$9+FCFF!$I$9*(1+Inputs!$B$6)/(B6534-Inputs!$B$6)/(1+B6534)^7</f>
        <v>-1503.488178</v>
      </c>
    </row>
    <row r="6535" ht="14.25" customHeight="1">
      <c r="A6535" s="7">
        <v>6522.0</v>
      </c>
      <c r="B6535" s="14">
        <f t="shared" si="1"/>
        <v>0.0987674609</v>
      </c>
      <c r="C6535" s="39">
        <f t="array" ref="C6535">NPV(B6535,FCFF!$C$9:$I$9)+FCFF!$B$9+FCFF!$I$9*(1+Inputs!$B$6)/(B6535-Inputs!$B$6)/(1+B6535)^7</f>
        <v>-1348.166491</v>
      </c>
    </row>
    <row r="6536" ht="14.25" customHeight="1">
      <c r="A6536" s="7">
        <v>6523.0</v>
      </c>
      <c r="B6536" s="14">
        <f t="shared" si="1"/>
        <v>0.1063060077</v>
      </c>
      <c r="C6536" s="39">
        <f t="array" ref="C6536">NPV(B6536,FCFF!$C$9:$I$9)+FCFF!$B$9+FCFF!$I$9*(1+Inputs!$B$6)/(B6536-Inputs!$B$6)/(1+B6536)^7</f>
        <v>-1547.316384</v>
      </c>
    </row>
    <row r="6537" ht="14.25" customHeight="1">
      <c r="A6537" s="7">
        <v>6524.0</v>
      </c>
      <c r="B6537" s="14">
        <f t="shared" si="1"/>
        <v>0.1231243329</v>
      </c>
      <c r="C6537" s="39">
        <f t="array" ref="C6537">NPV(B6537,FCFF!$C$9:$I$9)+FCFF!$B$9+FCFF!$I$9*(1+Inputs!$B$6)/(B6537-Inputs!$B$6)/(1+B6537)^7</f>
        <v>-1872.539936</v>
      </c>
    </row>
    <row r="6538" ht="14.25" customHeight="1">
      <c r="A6538" s="7">
        <v>6525.0</v>
      </c>
      <c r="B6538" s="14">
        <f t="shared" si="1"/>
        <v>0.09973816793</v>
      </c>
      <c r="C6538" s="39">
        <f t="array" ref="C6538">NPV(B6538,FCFF!$C$9:$I$9)+FCFF!$B$9+FCFF!$I$9*(1+Inputs!$B$6)/(B6538-Inputs!$B$6)/(1+B6538)^7</f>
        <v>-1376.25134</v>
      </c>
    </row>
    <row r="6539" ht="14.25" customHeight="1">
      <c r="A6539" s="7">
        <v>6526.0</v>
      </c>
      <c r="B6539" s="14">
        <f t="shared" si="1"/>
        <v>0.1189617721</v>
      </c>
      <c r="C6539" s="39">
        <f t="array" ref="C6539">NPV(B6539,FCFF!$C$9:$I$9)+FCFF!$B$9+FCFF!$I$9*(1+Inputs!$B$6)/(B6539-Inputs!$B$6)/(1+B6539)^7</f>
        <v>-1804.024543</v>
      </c>
    </row>
    <row r="6540" ht="14.25" customHeight="1">
      <c r="A6540" s="7">
        <v>6527.0</v>
      </c>
      <c r="B6540" s="14">
        <f t="shared" si="1"/>
        <v>0.1207406944</v>
      </c>
      <c r="C6540" s="39">
        <f t="array" ref="C6540">NPV(B6540,FCFF!$C$9:$I$9)+FCFF!$B$9+FCFF!$I$9*(1+Inputs!$B$6)/(B6540-Inputs!$B$6)/(1+B6540)^7</f>
        <v>-1834.121808</v>
      </c>
    </row>
    <row r="6541" ht="14.25" customHeight="1">
      <c r="A6541" s="7">
        <v>6528.0</v>
      </c>
      <c r="B6541" s="14">
        <f t="shared" si="1"/>
        <v>0.1041185273</v>
      </c>
      <c r="C6541" s="39">
        <f t="array" ref="C6541">NPV(B6541,FCFF!$C$9:$I$9)+FCFF!$B$9+FCFF!$I$9*(1+Inputs!$B$6)/(B6541-Inputs!$B$6)/(1+B6541)^7</f>
        <v>-1493.759653</v>
      </c>
    </row>
    <row r="6542" ht="14.25" customHeight="1">
      <c r="A6542" s="7">
        <v>6529.0</v>
      </c>
      <c r="B6542" s="14">
        <f t="shared" si="1"/>
        <v>0.1070512364</v>
      </c>
      <c r="C6542" s="39">
        <f t="array" ref="C6542">NPV(B6542,FCFF!$C$9:$I$9)+FCFF!$B$9+FCFF!$I$9*(1+Inputs!$B$6)/(B6542-Inputs!$B$6)/(1+B6542)^7</f>
        <v>-1564.852697</v>
      </c>
    </row>
    <row r="6543" ht="14.25" customHeight="1">
      <c r="A6543" s="7">
        <v>6530.0</v>
      </c>
      <c r="B6543" s="14">
        <f t="shared" si="1"/>
        <v>0.1150238871</v>
      </c>
      <c r="C6543" s="39">
        <f t="array" ref="C6543">NPV(B6543,FCFF!$C$9:$I$9)+FCFF!$B$9+FCFF!$I$9*(1+Inputs!$B$6)/(B6543-Inputs!$B$6)/(1+B6543)^7</f>
        <v>-1732.668589</v>
      </c>
    </row>
    <row r="6544" ht="14.25" customHeight="1">
      <c r="A6544" s="7">
        <v>6531.0</v>
      </c>
      <c r="B6544" s="14">
        <f t="shared" si="1"/>
        <v>0.1009638815</v>
      </c>
      <c r="C6544" s="39">
        <f t="array" ref="C6544">NPV(B6544,FCFF!$C$9:$I$9)+FCFF!$B$9+FCFF!$I$9*(1+Inputs!$B$6)/(B6544-Inputs!$B$6)/(1+B6544)^7</f>
        <v>-1410.610012</v>
      </c>
    </row>
    <row r="6545" ht="14.25" customHeight="1">
      <c r="A6545" s="7">
        <v>6532.0</v>
      </c>
      <c r="B6545" s="14">
        <f t="shared" si="1"/>
        <v>0.1000439439</v>
      </c>
      <c r="C6545" s="39">
        <f t="array" ref="C6545">NPV(B6545,FCFF!$C$9:$I$9)+FCFF!$B$9+FCFF!$I$9*(1+Inputs!$B$6)/(B6545-Inputs!$B$6)/(1+B6545)^7</f>
        <v>-1384.936103</v>
      </c>
    </row>
    <row r="6546" ht="14.25" customHeight="1">
      <c r="A6546" s="7">
        <v>6533.0</v>
      </c>
      <c r="B6546" s="14">
        <f t="shared" si="1"/>
        <v>0.1108024145</v>
      </c>
      <c r="C6546" s="39">
        <f t="array" ref="C6546">NPV(B6546,FCFF!$C$9:$I$9)+FCFF!$B$9+FCFF!$I$9*(1+Inputs!$B$6)/(B6546-Inputs!$B$6)/(1+B6546)^7</f>
        <v>-1648.080774</v>
      </c>
    </row>
    <row r="6547" ht="14.25" customHeight="1">
      <c r="A6547" s="7">
        <v>6534.0</v>
      </c>
      <c r="B6547" s="14">
        <f t="shared" si="1"/>
        <v>0.101242044</v>
      </c>
      <c r="C6547" s="39">
        <f t="array" ref="C6547">NPV(B6547,FCFF!$C$9:$I$9)+FCFF!$B$9+FCFF!$I$9*(1+Inputs!$B$6)/(B6547-Inputs!$B$6)/(1+B6547)^7</f>
        <v>-1418.241406</v>
      </c>
    </row>
    <row r="6548" ht="14.25" customHeight="1">
      <c r="A6548" s="7">
        <v>6535.0</v>
      </c>
      <c r="B6548" s="14">
        <f t="shared" si="1"/>
        <v>0.1149483009</v>
      </c>
      <c r="C6548" s="39">
        <f t="array" ref="C6548">NPV(B6548,FCFF!$C$9:$I$9)+FCFF!$B$9+FCFF!$I$9*(1+Inputs!$B$6)/(B6548-Inputs!$B$6)/(1+B6548)^7</f>
        <v>-1731.230999</v>
      </c>
    </row>
    <row r="6549" ht="14.25" customHeight="1">
      <c r="A6549" s="7">
        <v>6536.0</v>
      </c>
      <c r="B6549" s="14">
        <f t="shared" si="1"/>
        <v>0.09326899326</v>
      </c>
      <c r="C6549" s="39">
        <f t="array" ref="C6549">NPV(B6549,FCFF!$C$9:$I$9)+FCFF!$B$9+FCFF!$I$9*(1+Inputs!$B$6)/(B6549-Inputs!$B$6)/(1+B6549)^7</f>
        <v>-1172.833151</v>
      </c>
    </row>
    <row r="6550" ht="14.25" customHeight="1">
      <c r="A6550" s="7">
        <v>6537.0</v>
      </c>
      <c r="B6550" s="14">
        <f t="shared" si="1"/>
        <v>0.09539833462</v>
      </c>
      <c r="C6550" s="39">
        <f t="array" ref="C6550">NPV(B6550,FCFF!$C$9:$I$9)+FCFF!$B$9+FCFF!$I$9*(1+Inputs!$B$6)/(B6550-Inputs!$B$6)/(1+B6550)^7</f>
        <v>-1244.214141</v>
      </c>
    </row>
    <row r="6551" ht="14.25" customHeight="1">
      <c r="A6551" s="7">
        <v>6538.0</v>
      </c>
      <c r="B6551" s="14">
        <f t="shared" si="1"/>
        <v>0.1275353625</v>
      </c>
      <c r="C6551" s="39">
        <f t="array" ref="C6551">NPV(B6551,FCFF!$C$9:$I$9)+FCFF!$B$9+FCFF!$I$9*(1+Inputs!$B$6)/(B6551-Inputs!$B$6)/(1+B6551)^7</f>
        <v>-1938.355762</v>
      </c>
    </row>
    <row r="6552" ht="14.25" customHeight="1">
      <c r="A6552" s="7">
        <v>6539.0</v>
      </c>
      <c r="B6552" s="14">
        <f t="shared" si="1"/>
        <v>0.1268937816</v>
      </c>
      <c r="C6552" s="39">
        <f t="array" ref="C6552">NPV(B6552,FCFF!$C$9:$I$9)+FCFF!$B$9+FCFF!$I$9*(1+Inputs!$B$6)/(B6552-Inputs!$B$6)/(1+B6552)^7</f>
        <v>-1929.182591</v>
      </c>
    </row>
    <row r="6553" ht="14.25" customHeight="1">
      <c r="A6553" s="7">
        <v>6540.0</v>
      </c>
      <c r="B6553" s="14">
        <f t="shared" si="1"/>
        <v>0.1231735288</v>
      </c>
      <c r="C6553" s="39">
        <f t="array" ref="C6553">NPV(B6553,FCFF!$C$9:$I$9)+FCFF!$B$9+FCFF!$I$9*(1+Inputs!$B$6)/(B6553-Inputs!$B$6)/(1+B6553)^7</f>
        <v>-1873.310813</v>
      </c>
    </row>
    <row r="6554" ht="14.25" customHeight="1">
      <c r="A6554" s="7">
        <v>6541.0</v>
      </c>
      <c r="B6554" s="14">
        <f t="shared" si="1"/>
        <v>0.09941777285</v>
      </c>
      <c r="C6554" s="39">
        <f t="array" ref="C6554">NPV(B6554,FCFF!$C$9:$I$9)+FCFF!$B$9+FCFF!$I$9*(1+Inputs!$B$6)/(B6554-Inputs!$B$6)/(1+B6554)^7</f>
        <v>-1367.068798</v>
      </c>
    </row>
    <row r="6555" ht="14.25" customHeight="1">
      <c r="A6555" s="7">
        <v>6542.0</v>
      </c>
      <c r="B6555" s="14">
        <f t="shared" si="1"/>
        <v>0.113141073</v>
      </c>
      <c r="C6555" s="39">
        <f t="array" ref="C6555">NPV(B6555,FCFF!$C$9:$I$9)+FCFF!$B$9+FCFF!$I$9*(1+Inputs!$B$6)/(B6555-Inputs!$B$6)/(1+B6555)^7</f>
        <v>-1696.045711</v>
      </c>
    </row>
    <row r="6556" ht="14.25" customHeight="1">
      <c r="A6556" s="7">
        <v>6543.0</v>
      </c>
      <c r="B6556" s="14">
        <f t="shared" si="1"/>
        <v>0.1111834223</v>
      </c>
      <c r="C6556" s="39">
        <f t="array" ref="C6556">NPV(B6556,FCFF!$C$9:$I$9)+FCFF!$B$9+FCFF!$I$9*(1+Inputs!$B$6)/(B6556-Inputs!$B$6)/(1+B6556)^7</f>
        <v>-1656.090567</v>
      </c>
    </row>
    <row r="6557" ht="14.25" customHeight="1">
      <c r="A6557" s="7">
        <v>6544.0</v>
      </c>
      <c r="B6557" s="14">
        <f t="shared" si="1"/>
        <v>0.09684529642</v>
      </c>
      <c r="C6557" s="39">
        <f t="array" ref="C6557">NPV(B6557,FCFF!$C$9:$I$9)+FCFF!$B$9+FCFF!$I$9*(1+Inputs!$B$6)/(B6557-Inputs!$B$6)/(1+B6557)^7</f>
        <v>-1290.141134</v>
      </c>
    </row>
    <row r="6558" ht="14.25" customHeight="1">
      <c r="A6558" s="7">
        <v>6545.0</v>
      </c>
      <c r="B6558" s="14">
        <f t="shared" si="1"/>
        <v>0.09913945591</v>
      </c>
      <c r="C6558" s="39">
        <f t="array" ref="C6558">NPV(B6558,FCFF!$C$9:$I$9)+FCFF!$B$9+FCFF!$I$9*(1+Inputs!$B$6)/(B6558-Inputs!$B$6)/(1+B6558)^7</f>
        <v>-1359.022798</v>
      </c>
    </row>
    <row r="6559" ht="14.25" customHeight="1">
      <c r="A6559" s="7">
        <v>6546.0</v>
      </c>
      <c r="B6559" s="14">
        <f t="shared" si="1"/>
        <v>0.1257011004</v>
      </c>
      <c r="C6559" s="39">
        <f t="array" ref="C6559">NPV(B6559,FCFF!$C$9:$I$9)+FCFF!$B$9+FCFF!$I$9*(1+Inputs!$B$6)/(B6559-Inputs!$B$6)/(1+B6559)^7</f>
        <v>-1911.77781</v>
      </c>
    </row>
    <row r="6560" ht="14.25" customHeight="1">
      <c r="A6560" s="7">
        <v>6547.0</v>
      </c>
      <c r="B6560" s="14">
        <f t="shared" si="1"/>
        <v>0.1156359127</v>
      </c>
      <c r="C6560" s="39">
        <f t="array" ref="C6560">NPV(B6560,FCFF!$C$9:$I$9)+FCFF!$B$9+FCFF!$I$9*(1+Inputs!$B$6)/(B6560-Inputs!$B$6)/(1+B6560)^7</f>
        <v>-1744.211071</v>
      </c>
    </row>
    <row r="6561" ht="14.25" customHeight="1">
      <c r="A6561" s="7">
        <v>6548.0</v>
      </c>
      <c r="B6561" s="14">
        <f t="shared" si="1"/>
        <v>0.1140166795</v>
      </c>
      <c r="C6561" s="39">
        <f t="array" ref="C6561">NPV(B6561,FCFF!$C$9:$I$9)+FCFF!$B$9+FCFF!$I$9*(1+Inputs!$B$6)/(B6561-Inputs!$B$6)/(1+B6561)^7</f>
        <v>-1713.290271</v>
      </c>
    </row>
    <row r="6562" ht="14.25" customHeight="1">
      <c r="A6562" s="7">
        <v>6549.0</v>
      </c>
      <c r="B6562" s="14">
        <f t="shared" si="1"/>
        <v>0.1024774532</v>
      </c>
      <c r="C6562" s="39">
        <f t="array" ref="C6562">NPV(B6562,FCFF!$C$9:$I$9)+FCFF!$B$9+FCFF!$I$9*(1+Inputs!$B$6)/(B6562-Inputs!$B$6)/(1+B6562)^7</f>
        <v>-1451.419654</v>
      </c>
    </row>
    <row r="6563" ht="14.25" customHeight="1">
      <c r="A6563" s="7">
        <v>6550.0</v>
      </c>
      <c r="B6563" s="14">
        <f t="shared" si="1"/>
        <v>0.1166037252</v>
      </c>
      <c r="C6563" s="39">
        <f t="array" ref="C6563">NPV(B6563,FCFF!$C$9:$I$9)+FCFF!$B$9+FCFF!$I$9*(1+Inputs!$B$6)/(B6563-Inputs!$B$6)/(1+B6563)^7</f>
        <v>-1762.114828</v>
      </c>
    </row>
    <row r="6564" ht="14.25" customHeight="1">
      <c r="A6564" s="7">
        <v>6551.0</v>
      </c>
      <c r="B6564" s="14">
        <f t="shared" si="1"/>
        <v>0.1245288553</v>
      </c>
      <c r="C6564" s="39">
        <f t="array" ref="C6564">NPV(B6564,FCFF!$C$9:$I$9)+FCFF!$B$9+FCFF!$I$9*(1+Inputs!$B$6)/(B6564-Inputs!$B$6)/(1+B6564)^7</f>
        <v>-1894.211277</v>
      </c>
    </row>
    <row r="6565" ht="14.25" customHeight="1">
      <c r="A6565" s="7">
        <v>6552.0</v>
      </c>
      <c r="B6565" s="14">
        <f t="shared" si="1"/>
        <v>0.101726372</v>
      </c>
      <c r="C6565" s="39">
        <f t="array" ref="C6565">NPV(B6565,FCFF!$C$9:$I$9)+FCFF!$B$9+FCFF!$I$9*(1+Inputs!$B$6)/(B6565-Inputs!$B$6)/(1+B6565)^7</f>
        <v>-1431.386302</v>
      </c>
    </row>
    <row r="6566" ht="14.25" customHeight="1">
      <c r="A6566" s="7">
        <v>6553.0</v>
      </c>
      <c r="B6566" s="14">
        <f t="shared" si="1"/>
        <v>0.09983419402</v>
      </c>
      <c r="C6566" s="39">
        <f t="array" ref="C6566">NPV(B6566,FCFF!$C$9:$I$9)+FCFF!$B$9+FCFF!$I$9*(1+Inputs!$B$6)/(B6566-Inputs!$B$6)/(1+B6566)^7</f>
        <v>-1378.986951</v>
      </c>
    </row>
    <row r="6567" ht="14.25" customHeight="1">
      <c r="A6567" s="7">
        <v>6554.0</v>
      </c>
      <c r="B6567" s="14">
        <f t="shared" si="1"/>
        <v>0.1017563429</v>
      </c>
      <c r="C6567" s="39">
        <f t="array" ref="C6567">NPV(B6567,FCFF!$C$9:$I$9)+FCFF!$B$9+FCFF!$I$9*(1+Inputs!$B$6)/(B6567-Inputs!$B$6)/(1+B6567)^7</f>
        <v>-1432.193835</v>
      </c>
    </row>
    <row r="6568" ht="14.25" customHeight="1">
      <c r="A6568" s="7">
        <v>6555.0</v>
      </c>
      <c r="B6568" s="14">
        <f t="shared" si="1"/>
        <v>0.1155007652</v>
      </c>
      <c r="C6568" s="39">
        <f t="array" ref="C6568">NPV(B6568,FCFF!$C$9:$I$9)+FCFF!$B$9+FCFF!$I$9*(1+Inputs!$B$6)/(B6568-Inputs!$B$6)/(1+B6568)^7</f>
        <v>-1741.67714</v>
      </c>
    </row>
    <row r="6569" ht="14.25" customHeight="1">
      <c r="A6569" s="7">
        <v>6556.0</v>
      </c>
      <c r="B6569" s="14">
        <f t="shared" si="1"/>
        <v>0.09563590283</v>
      </c>
      <c r="C6569" s="39">
        <f t="array" ref="C6569">NPV(B6569,FCFF!$C$9:$I$9)+FCFF!$B$9+FCFF!$I$9*(1+Inputs!$B$6)/(B6569-Inputs!$B$6)/(1+B6569)^7</f>
        <v>-1251.892971</v>
      </c>
    </row>
    <row r="6570" ht="14.25" customHeight="1">
      <c r="A6570" s="7">
        <v>6557.0</v>
      </c>
      <c r="B6570" s="14">
        <f t="shared" si="1"/>
        <v>0.1101389066</v>
      </c>
      <c r="C6570" s="39">
        <f t="array" ref="C6570">NPV(B6570,FCFF!$C$9:$I$9)+FCFF!$B$9+FCFF!$I$9*(1+Inputs!$B$6)/(B6570-Inputs!$B$6)/(1+B6570)^7</f>
        <v>-1633.943948</v>
      </c>
    </row>
    <row r="6571" ht="14.25" customHeight="1">
      <c r="A6571" s="7">
        <v>6558.0</v>
      </c>
      <c r="B6571" s="14">
        <f t="shared" si="1"/>
        <v>0.1315356585</v>
      </c>
      <c r="C6571" s="39">
        <f t="array" ref="C6571">NPV(B6571,FCFF!$C$9:$I$9)+FCFF!$B$9+FCFF!$I$9*(1+Inputs!$B$6)/(B6571-Inputs!$B$6)/(1+B6571)^7</f>
        <v>-1992.729604</v>
      </c>
    </row>
    <row r="6572" ht="14.25" customHeight="1">
      <c r="A6572" s="7">
        <v>6559.0</v>
      </c>
      <c r="B6572" s="14">
        <f t="shared" si="1"/>
        <v>0.1143222096</v>
      </c>
      <c r="C6572" s="39">
        <f t="array" ref="C6572">NPV(B6572,FCFF!$C$9:$I$9)+FCFF!$B$9+FCFF!$I$9*(1+Inputs!$B$6)/(B6572-Inputs!$B$6)/(1+B6572)^7</f>
        <v>-1719.219649</v>
      </c>
    </row>
    <row r="6573" ht="14.25" customHeight="1">
      <c r="A6573" s="7">
        <v>6560.0</v>
      </c>
      <c r="B6573" s="14">
        <f t="shared" si="1"/>
        <v>0.1226262592</v>
      </c>
      <c r="C6573" s="39">
        <f t="array" ref="C6573">NPV(B6573,FCFF!$C$9:$I$9)+FCFF!$B$9+FCFF!$I$9*(1+Inputs!$B$6)/(B6573-Inputs!$B$6)/(1+B6573)^7</f>
        <v>-1864.68616</v>
      </c>
    </row>
    <row r="6574" ht="14.25" customHeight="1">
      <c r="A6574" s="7">
        <v>6561.0</v>
      </c>
      <c r="B6574" s="14">
        <f t="shared" si="1"/>
        <v>0.1183471304</v>
      </c>
      <c r="C6574" s="39">
        <f t="array" ref="C6574">NPV(B6574,FCFF!$C$9:$I$9)+FCFF!$B$9+FCFF!$I$9*(1+Inputs!$B$6)/(B6574-Inputs!$B$6)/(1+B6574)^7</f>
        <v>-1793.327523</v>
      </c>
    </row>
    <row r="6575" ht="14.25" customHeight="1">
      <c r="A6575" s="7">
        <v>6562.0</v>
      </c>
      <c r="B6575" s="14">
        <f t="shared" si="1"/>
        <v>0.1244819671</v>
      </c>
      <c r="C6575" s="39">
        <f t="array" ref="C6575">NPV(B6575,FCFF!$C$9:$I$9)+FCFF!$B$9+FCFF!$I$9*(1+Inputs!$B$6)/(B6575-Inputs!$B$6)/(1+B6575)^7</f>
        <v>-1893.49892</v>
      </c>
    </row>
    <row r="6576" ht="14.25" customHeight="1">
      <c r="A6576" s="7">
        <v>6563.0</v>
      </c>
      <c r="B6576" s="14">
        <f t="shared" si="1"/>
        <v>0.1276593934</v>
      </c>
      <c r="C6576" s="39">
        <f t="array" ref="C6576">NPV(B6576,FCFF!$C$9:$I$9)+FCFF!$B$9+FCFF!$I$9*(1+Inputs!$B$6)/(B6576-Inputs!$B$6)/(1+B6576)^7</f>
        <v>-1940.11414</v>
      </c>
    </row>
    <row r="6577" ht="14.25" customHeight="1">
      <c r="A6577" s="7">
        <v>6564.0</v>
      </c>
      <c r="B6577" s="14">
        <f t="shared" si="1"/>
        <v>0.09324516218</v>
      </c>
      <c r="C6577" s="39">
        <f t="array" ref="C6577">NPV(B6577,FCFF!$C$9:$I$9)+FCFF!$B$9+FCFF!$I$9*(1+Inputs!$B$6)/(B6577-Inputs!$B$6)/(1+B6577)^7</f>
        <v>-1172.007339</v>
      </c>
    </row>
    <row r="6578" ht="14.25" customHeight="1">
      <c r="A6578" s="7">
        <v>6565.0</v>
      </c>
      <c r="B6578" s="14">
        <f t="shared" si="1"/>
        <v>0.1049347402</v>
      </c>
      <c r="C6578" s="39">
        <f t="array" ref="C6578">NPV(B6578,FCFF!$C$9:$I$9)+FCFF!$B$9+FCFF!$I$9*(1+Inputs!$B$6)/(B6578-Inputs!$B$6)/(1+B6578)^7</f>
        <v>-1514.116238</v>
      </c>
    </row>
    <row r="6579" ht="14.25" customHeight="1">
      <c r="A6579" s="7">
        <v>6566.0</v>
      </c>
      <c r="B6579" s="14">
        <f t="shared" si="1"/>
        <v>0.1063744935</v>
      </c>
      <c r="C6579" s="39">
        <f t="array" ref="C6579">NPV(B6579,FCFF!$C$9:$I$9)+FCFF!$B$9+FCFF!$I$9*(1+Inputs!$B$6)/(B6579-Inputs!$B$6)/(1+B6579)^7</f>
        <v>-1548.942574</v>
      </c>
    </row>
    <row r="6580" ht="14.25" customHeight="1">
      <c r="A6580" s="7">
        <v>6567.0</v>
      </c>
      <c r="B6580" s="14">
        <f t="shared" si="1"/>
        <v>0.09633628034</v>
      </c>
      <c r="C6580" s="39">
        <f t="array" ref="C6580">NPV(B6580,FCFF!$C$9:$I$9)+FCFF!$B$9+FCFF!$I$9*(1+Inputs!$B$6)/(B6580-Inputs!$B$6)/(1+B6580)^7</f>
        <v>-1274.212424</v>
      </c>
    </row>
    <row r="6581" ht="14.25" customHeight="1">
      <c r="A6581" s="7">
        <v>6568.0</v>
      </c>
      <c r="B6581" s="14">
        <f t="shared" si="1"/>
        <v>0.1227708684</v>
      </c>
      <c r="C6581" s="39">
        <f t="array" ref="C6581">NPV(B6581,FCFF!$C$9:$I$9)+FCFF!$B$9+FCFF!$I$9*(1+Inputs!$B$6)/(B6581-Inputs!$B$6)/(1+B6581)^7</f>
        <v>-1866.975665</v>
      </c>
    </row>
    <row r="6582" ht="14.25" customHeight="1">
      <c r="A6582" s="7">
        <v>6569.0</v>
      </c>
      <c r="B6582" s="14">
        <f t="shared" si="1"/>
        <v>0.09842774175</v>
      </c>
      <c r="C6582" s="39">
        <f t="array" ref="C6582">NPV(B6582,FCFF!$C$9:$I$9)+FCFF!$B$9+FCFF!$I$9*(1+Inputs!$B$6)/(B6582-Inputs!$B$6)/(1+B6582)^7</f>
        <v>-1338.148665</v>
      </c>
    </row>
    <row r="6583" ht="14.25" customHeight="1">
      <c r="A6583" s="7">
        <v>6570.0</v>
      </c>
      <c r="B6583" s="14">
        <f t="shared" si="1"/>
        <v>0.1196450414</v>
      </c>
      <c r="C6583" s="39">
        <f t="array" ref="C6583">NPV(B6583,FCFF!$C$9:$I$9)+FCFF!$B$9+FCFF!$I$9*(1+Inputs!$B$6)/(B6583-Inputs!$B$6)/(1+B6583)^7</f>
        <v>-1815.734181</v>
      </c>
    </row>
    <row r="6584" ht="14.25" customHeight="1">
      <c r="A6584" s="7">
        <v>6571.0</v>
      </c>
      <c r="B6584" s="14">
        <f t="shared" si="1"/>
        <v>0.100234181</v>
      </c>
      <c r="C6584" s="39">
        <f t="array" ref="C6584">NPV(B6584,FCFF!$C$9:$I$9)+FCFF!$B$9+FCFF!$I$9*(1+Inputs!$B$6)/(B6584-Inputs!$B$6)/(1+B6584)^7</f>
        <v>-1390.300881</v>
      </c>
    </row>
    <row r="6585" ht="14.25" customHeight="1">
      <c r="A6585" s="7">
        <v>6572.0</v>
      </c>
      <c r="B6585" s="14">
        <f t="shared" si="1"/>
        <v>0.1061036781</v>
      </c>
      <c r="C6585" s="39">
        <f t="array" ref="C6585">NPV(B6585,FCFF!$C$9:$I$9)+FCFF!$B$9+FCFF!$I$9*(1+Inputs!$B$6)/(B6585-Inputs!$B$6)/(1+B6585)^7</f>
        <v>-1542.494592</v>
      </c>
    </row>
    <row r="6586" ht="14.25" customHeight="1">
      <c r="A6586" s="7">
        <v>6573.0</v>
      </c>
      <c r="B6586" s="14">
        <f t="shared" si="1"/>
        <v>0.1187669215</v>
      </c>
      <c r="C6586" s="39">
        <f t="array" ref="C6586">NPV(B6586,FCFF!$C$9:$I$9)+FCFF!$B$9+FCFF!$I$9*(1+Inputs!$B$6)/(B6586-Inputs!$B$6)/(1+B6586)^7</f>
        <v>-1800.650353</v>
      </c>
    </row>
    <row r="6587" ht="14.25" customHeight="1">
      <c r="A6587" s="7">
        <v>6574.0</v>
      </c>
      <c r="B6587" s="14">
        <f t="shared" si="1"/>
        <v>0.1276575731</v>
      </c>
      <c r="C6587" s="39">
        <f t="array" ref="C6587">NPV(B6587,FCFF!$C$9:$I$9)+FCFF!$B$9+FCFF!$I$9*(1+Inputs!$B$6)/(B6587-Inputs!$B$6)/(1+B6587)^7</f>
        <v>-1940.088368</v>
      </c>
    </row>
    <row r="6588" ht="14.25" customHeight="1">
      <c r="A6588" s="7">
        <v>6575.0</v>
      </c>
      <c r="B6588" s="14">
        <f t="shared" si="1"/>
        <v>0.1208505226</v>
      </c>
      <c r="C6588" s="39">
        <f t="array" ref="C6588">NPV(B6588,FCFF!$C$9:$I$9)+FCFF!$B$9+FCFF!$I$9*(1+Inputs!$B$6)/(B6588-Inputs!$B$6)/(1+B6588)^7</f>
        <v>-1835.93907</v>
      </c>
    </row>
    <row r="6589" ht="14.25" customHeight="1">
      <c r="A6589" s="7">
        <v>6576.0</v>
      </c>
      <c r="B6589" s="14">
        <f t="shared" si="1"/>
        <v>0.0943916388</v>
      </c>
      <c r="C6589" s="39">
        <f t="array" ref="C6589">NPV(B6589,FCFF!$C$9:$I$9)+FCFF!$B$9+FCFF!$I$9*(1+Inputs!$B$6)/(B6589-Inputs!$B$6)/(1+B6589)^7</f>
        <v>-1211.050426</v>
      </c>
    </row>
    <row r="6590" ht="14.25" customHeight="1">
      <c r="A6590" s="7">
        <v>6577.0</v>
      </c>
      <c r="B6590" s="14">
        <f t="shared" si="1"/>
        <v>0.102314221</v>
      </c>
      <c r="C6590" s="39">
        <f t="array" ref="C6590">NPV(B6590,FCFF!$C$9:$I$9)+FCFF!$B$9+FCFF!$I$9*(1+Inputs!$B$6)/(B6590-Inputs!$B$6)/(1+B6590)^7</f>
        <v>-1447.10164</v>
      </c>
    </row>
    <row r="6591" ht="14.25" customHeight="1">
      <c r="A6591" s="7">
        <v>6578.0</v>
      </c>
      <c r="B6591" s="14">
        <f t="shared" si="1"/>
        <v>0.1142015902</v>
      </c>
      <c r="C6591" s="39">
        <f t="array" ref="C6591">NPV(B6591,FCFF!$C$9:$I$9)+FCFF!$B$9+FCFF!$I$9*(1+Inputs!$B$6)/(B6591-Inputs!$B$6)/(1+B6591)^7</f>
        <v>-1716.884171</v>
      </c>
    </row>
    <row r="6592" ht="14.25" customHeight="1">
      <c r="A6592" s="7">
        <v>6579.0</v>
      </c>
      <c r="B6592" s="14">
        <f t="shared" si="1"/>
        <v>0.128671348</v>
      </c>
      <c r="C6592" s="39">
        <f t="array" ref="C6592">NPV(B6592,FCFF!$C$9:$I$9)+FCFF!$B$9+FCFF!$I$9*(1+Inputs!$B$6)/(B6592-Inputs!$B$6)/(1+B6592)^7</f>
        <v>-1954.282321</v>
      </c>
    </row>
    <row r="6593" ht="14.25" customHeight="1">
      <c r="A6593" s="7">
        <v>6580.0</v>
      </c>
      <c r="B6593" s="14">
        <f t="shared" si="1"/>
        <v>0.1002422605</v>
      </c>
      <c r="C6593" s="39">
        <f t="array" ref="C6593">NPV(B6593,FCFF!$C$9:$I$9)+FCFF!$B$9+FCFF!$I$9*(1+Inputs!$B$6)/(B6593-Inputs!$B$6)/(1+B6593)^7</f>
        <v>-1390.528078</v>
      </c>
    </row>
    <row r="6594" ht="14.25" customHeight="1">
      <c r="A6594" s="7">
        <v>6581.0</v>
      </c>
      <c r="B6594" s="14">
        <f t="shared" si="1"/>
        <v>0.1285655402</v>
      </c>
      <c r="C6594" s="39">
        <f t="array" ref="C6594">NPV(B6594,FCFF!$C$9:$I$9)+FCFF!$B$9+FCFF!$I$9*(1+Inputs!$B$6)/(B6594-Inputs!$B$6)/(1+B6594)^7</f>
        <v>-1952.815641</v>
      </c>
    </row>
    <row r="6595" ht="14.25" customHeight="1">
      <c r="A6595" s="7">
        <v>6582.0</v>
      </c>
      <c r="B6595" s="14">
        <f t="shared" si="1"/>
        <v>0.1106175489</v>
      </c>
      <c r="C6595" s="39">
        <f t="array" ref="C6595">NPV(B6595,FCFF!$C$9:$I$9)+FCFF!$B$9+FCFF!$I$9*(1+Inputs!$B$6)/(B6595-Inputs!$B$6)/(1+B6595)^7</f>
        <v>-1644.166173</v>
      </c>
    </row>
    <row r="6596" ht="14.25" customHeight="1">
      <c r="A6596" s="7">
        <v>6583.0</v>
      </c>
      <c r="B6596" s="14">
        <f t="shared" si="1"/>
        <v>0.1098948987</v>
      </c>
      <c r="C6596" s="39">
        <f t="array" ref="C6596">NPV(B6596,FCFF!$C$9:$I$9)+FCFF!$B$9+FCFF!$I$9*(1+Inputs!$B$6)/(B6596-Inputs!$B$6)/(1+B6596)^7</f>
        <v>-1628.684033</v>
      </c>
    </row>
    <row r="6597" ht="14.25" customHeight="1">
      <c r="A6597" s="7">
        <v>6584.0</v>
      </c>
      <c r="B6597" s="14">
        <f t="shared" si="1"/>
        <v>0.1135673479</v>
      </c>
      <c r="C6597" s="39">
        <f t="array" ref="C6597">NPV(B6597,FCFF!$C$9:$I$9)+FCFF!$B$9+FCFF!$I$9*(1+Inputs!$B$6)/(B6597-Inputs!$B$6)/(1+B6597)^7</f>
        <v>-1704.487984</v>
      </c>
    </row>
    <row r="6598" ht="14.25" customHeight="1">
      <c r="A6598" s="7">
        <v>6585.0</v>
      </c>
      <c r="B6598" s="14">
        <f t="shared" si="1"/>
        <v>0.1041424863</v>
      </c>
      <c r="C6598" s="39">
        <f t="array" ref="C6598">NPV(B6598,FCFF!$C$9:$I$9)+FCFF!$B$9+FCFF!$I$9*(1+Inputs!$B$6)/(B6598-Inputs!$B$6)/(1+B6598)^7</f>
        <v>-1494.3637</v>
      </c>
    </row>
    <row r="6599" ht="14.25" customHeight="1">
      <c r="A6599" s="7">
        <v>6586.0</v>
      </c>
      <c r="B6599" s="14">
        <f t="shared" si="1"/>
        <v>0.1112928222</v>
      </c>
      <c r="C6599" s="39">
        <f t="array" ref="C6599">NPV(B6599,FCFF!$C$9:$I$9)+FCFF!$B$9+FCFF!$I$9*(1+Inputs!$B$6)/(B6599-Inputs!$B$6)/(1+B6599)^7</f>
        <v>-1658.376078</v>
      </c>
    </row>
    <row r="6600" ht="14.25" customHeight="1">
      <c r="A6600" s="7">
        <v>6587.0</v>
      </c>
      <c r="B6600" s="14">
        <f t="shared" si="1"/>
        <v>0.1206764431</v>
      </c>
      <c r="C6600" s="39">
        <f t="array" ref="C6600">NPV(B6600,FCFF!$C$9:$I$9)+FCFF!$B$9+FCFF!$I$9*(1+Inputs!$B$6)/(B6600-Inputs!$B$6)/(1+B6600)^7</f>
        <v>-1833.056516</v>
      </c>
    </row>
    <row r="6601" ht="14.25" customHeight="1">
      <c r="A6601" s="7">
        <v>6588.0</v>
      </c>
      <c r="B6601" s="14">
        <f t="shared" si="1"/>
        <v>0.1015534005</v>
      </c>
      <c r="C6601" s="39">
        <f t="array" ref="C6601">NPV(B6601,FCFF!$C$9:$I$9)+FCFF!$B$9+FCFF!$I$9*(1+Inputs!$B$6)/(B6601-Inputs!$B$6)/(1+B6601)^7</f>
        <v>-1426.712413</v>
      </c>
    </row>
    <row r="6602" ht="14.25" customHeight="1">
      <c r="A6602" s="7">
        <v>6589.0</v>
      </c>
      <c r="B6602" s="14">
        <f t="shared" si="1"/>
        <v>0.1013933703</v>
      </c>
      <c r="C6602" s="39">
        <f t="array" ref="C6602">NPV(B6602,FCFF!$C$9:$I$9)+FCFF!$B$9+FCFF!$I$9*(1+Inputs!$B$6)/(B6602-Inputs!$B$6)/(1+B6602)^7</f>
        <v>-1422.36783</v>
      </c>
    </row>
    <row r="6603" ht="14.25" customHeight="1">
      <c r="A6603" s="7">
        <v>6590.0</v>
      </c>
      <c r="B6603" s="14">
        <f t="shared" si="1"/>
        <v>0.122837055</v>
      </c>
      <c r="C6603" s="39">
        <f t="array" ref="C6603">NPV(B6603,FCFF!$C$9:$I$9)+FCFF!$B$9+FCFF!$I$9*(1+Inputs!$B$6)/(B6603-Inputs!$B$6)/(1+B6603)^7</f>
        <v>-1868.02102</v>
      </c>
    </row>
    <row r="6604" ht="14.25" customHeight="1">
      <c r="A6604" s="7">
        <v>6591.0</v>
      </c>
      <c r="B6604" s="14">
        <f t="shared" si="1"/>
        <v>0.116947332</v>
      </c>
      <c r="C6604" s="39">
        <f t="array" ref="C6604">NPV(B6604,FCFF!$C$9:$I$9)+FCFF!$B$9+FCFF!$I$9*(1+Inputs!$B$6)/(B6604-Inputs!$B$6)/(1+B6604)^7</f>
        <v>-1768.370703</v>
      </c>
    </row>
    <row r="6605" ht="14.25" customHeight="1">
      <c r="A6605" s="7">
        <v>6592.0</v>
      </c>
      <c r="B6605" s="14">
        <f t="shared" si="1"/>
        <v>0.1139453039</v>
      </c>
      <c r="C6605" s="39">
        <f t="array" ref="C6605">NPV(B6605,FCFF!$C$9:$I$9)+FCFF!$B$9+FCFF!$I$9*(1+Inputs!$B$6)/(B6605-Inputs!$B$6)/(1+B6605)^7</f>
        <v>-1711.898607</v>
      </c>
    </row>
    <row r="6606" ht="14.25" customHeight="1">
      <c r="A6606" s="7">
        <v>6593.0</v>
      </c>
      <c r="B6606" s="14">
        <f t="shared" si="1"/>
        <v>0.1169416116</v>
      </c>
      <c r="C6606" s="39">
        <f t="array" ref="C6606">NPV(B6606,FCFF!$C$9:$I$9)+FCFF!$B$9+FCFF!$I$9*(1+Inputs!$B$6)/(B6606-Inputs!$B$6)/(1+B6606)^7</f>
        <v>-1768.266981</v>
      </c>
    </row>
    <row r="6607" ht="14.25" customHeight="1">
      <c r="A6607" s="7">
        <v>6594.0</v>
      </c>
      <c r="B6607" s="14">
        <f t="shared" si="1"/>
        <v>0.09306605787</v>
      </c>
      <c r="C6607" s="39">
        <f t="array" ref="C6607">NPV(B6607,FCFF!$C$9:$I$9)+FCFF!$B$9+FCFF!$I$9*(1+Inputs!$B$6)/(B6607-Inputs!$B$6)/(1+B6607)^7</f>
        <v>-1165.781151</v>
      </c>
    </row>
    <row r="6608" ht="14.25" customHeight="1">
      <c r="A6608" s="7">
        <v>6595.0</v>
      </c>
      <c r="B6608" s="14">
        <f t="shared" si="1"/>
        <v>0.1139940751</v>
      </c>
      <c r="C6608" s="39">
        <f t="array" ref="C6608">NPV(B6608,FCFF!$C$9:$I$9)+FCFF!$B$9+FCFF!$I$9*(1+Inputs!$B$6)/(B6608-Inputs!$B$6)/(1+B6608)^7</f>
        <v>-1712.849802</v>
      </c>
    </row>
    <row r="6609" ht="14.25" customHeight="1">
      <c r="A6609" s="7">
        <v>6596.0</v>
      </c>
      <c r="B6609" s="14">
        <f t="shared" si="1"/>
        <v>0.1187763855</v>
      </c>
      <c r="C6609" s="39">
        <f t="array" ref="C6609">NPV(B6609,FCFF!$C$9:$I$9)+FCFF!$B$9+FCFF!$I$9*(1+Inputs!$B$6)/(B6609-Inputs!$B$6)/(1+B6609)^7</f>
        <v>-1800.8146</v>
      </c>
    </row>
    <row r="6610" ht="14.25" customHeight="1">
      <c r="A6610" s="7">
        <v>6597.0</v>
      </c>
      <c r="B6610" s="14">
        <f t="shared" si="1"/>
        <v>0.1097774782</v>
      </c>
      <c r="C6610" s="39">
        <f t="array" ref="C6610">NPV(B6610,FCFF!$C$9:$I$9)+FCFF!$B$9+FCFF!$I$9*(1+Inputs!$B$6)/(B6610-Inputs!$B$6)/(1+B6610)^7</f>
        <v>-1626.141034</v>
      </c>
    </row>
    <row r="6611" ht="14.25" customHeight="1">
      <c r="A6611" s="7">
        <v>6598.0</v>
      </c>
      <c r="B6611" s="14">
        <f t="shared" si="1"/>
        <v>0.1029937062</v>
      </c>
      <c r="C6611" s="39">
        <f t="array" ref="C6611">NPV(B6611,FCFF!$C$9:$I$9)+FCFF!$B$9+FCFF!$I$9*(1+Inputs!$B$6)/(B6611-Inputs!$B$6)/(1+B6611)^7</f>
        <v>-1464.947392</v>
      </c>
    </row>
    <row r="6612" ht="14.25" customHeight="1">
      <c r="A6612" s="7">
        <v>6599.0</v>
      </c>
      <c r="B6612" s="14">
        <f t="shared" si="1"/>
        <v>0.1023660294</v>
      </c>
      <c r="C6612" s="39">
        <f t="array" ref="C6612">NPV(B6612,FCFF!$C$9:$I$9)+FCFF!$B$9+FCFF!$I$9*(1+Inputs!$B$6)/(B6612-Inputs!$B$6)/(1+B6612)^7</f>
        <v>-1448.474275</v>
      </c>
    </row>
    <row r="6613" ht="14.25" customHeight="1">
      <c r="A6613" s="7">
        <v>6600.0</v>
      </c>
      <c r="B6613" s="14">
        <f t="shared" si="1"/>
        <v>0.09387319337</v>
      </c>
      <c r="C6613" s="39">
        <f t="array" ref="C6613">NPV(B6613,FCFF!$C$9:$I$9)+FCFF!$B$9+FCFF!$I$9*(1+Inputs!$B$6)/(B6613-Inputs!$B$6)/(1+B6613)^7</f>
        <v>-1193.566712</v>
      </c>
    </row>
    <row r="6614" ht="14.25" customHeight="1">
      <c r="A6614" s="7">
        <v>6601.0</v>
      </c>
      <c r="B6614" s="14">
        <f t="shared" si="1"/>
        <v>0.1189969297</v>
      </c>
      <c r="C6614" s="39">
        <f t="array" ref="C6614">NPV(B6614,FCFF!$C$9:$I$9)+FCFF!$B$9+FCFF!$I$9*(1+Inputs!$B$6)/(B6614-Inputs!$B$6)/(1+B6614)^7</f>
        <v>-1804.6317</v>
      </c>
    </row>
    <row r="6615" ht="14.25" customHeight="1">
      <c r="A6615" s="7">
        <v>6602.0</v>
      </c>
      <c r="B6615" s="14">
        <f t="shared" si="1"/>
        <v>0.09835161613</v>
      </c>
      <c r="C6615" s="39">
        <f t="array" ref="C6615">NPV(B6615,FCFF!$C$9:$I$9)+FCFF!$B$9+FCFF!$I$9*(1+Inputs!$B$6)/(B6615-Inputs!$B$6)/(1+B6615)^7</f>
        <v>-1335.890138</v>
      </c>
    </row>
    <row r="6616" ht="14.25" customHeight="1">
      <c r="A6616" s="7">
        <v>6603.0</v>
      </c>
      <c r="B6616" s="14">
        <f t="shared" si="1"/>
        <v>0.1253131346</v>
      </c>
      <c r="C6616" s="39">
        <f t="array" ref="C6616">NPV(B6616,FCFF!$C$9:$I$9)+FCFF!$B$9+FCFF!$I$9*(1+Inputs!$B$6)/(B6616-Inputs!$B$6)/(1+B6616)^7</f>
        <v>-1906.015294</v>
      </c>
    </row>
    <row r="6617" ht="14.25" customHeight="1">
      <c r="A6617" s="7">
        <v>6604.0</v>
      </c>
      <c r="B6617" s="14">
        <f t="shared" si="1"/>
        <v>0.1159086864</v>
      </c>
      <c r="C6617" s="39">
        <f t="array" ref="C6617">NPV(B6617,FCFF!$C$9:$I$9)+FCFF!$B$9+FCFF!$I$9*(1+Inputs!$B$6)/(B6617-Inputs!$B$6)/(1+B6617)^7</f>
        <v>-1749.299974</v>
      </c>
    </row>
    <row r="6618" ht="14.25" customHeight="1">
      <c r="A6618" s="7">
        <v>6605.0</v>
      </c>
      <c r="B6618" s="14">
        <f t="shared" si="1"/>
        <v>0.1280491383</v>
      </c>
      <c r="C6618" s="39">
        <f t="array" ref="C6618">NPV(B6618,FCFF!$C$9:$I$9)+FCFF!$B$9+FCFF!$I$9*(1+Inputs!$B$6)/(B6618-Inputs!$B$6)/(1+B6618)^7</f>
        <v>-1945.608291</v>
      </c>
    </row>
    <row r="6619" ht="14.25" customHeight="1">
      <c r="A6619" s="7">
        <v>6606.0</v>
      </c>
      <c r="B6619" s="14">
        <f t="shared" si="1"/>
        <v>0.1067266863</v>
      </c>
      <c r="C6619" s="39">
        <f t="array" ref="C6619">NPV(B6619,FCFF!$C$9:$I$9)+FCFF!$B$9+FCFF!$I$9*(1+Inputs!$B$6)/(B6619-Inputs!$B$6)/(1+B6619)^7</f>
        <v>-1557.258443</v>
      </c>
    </row>
    <row r="6620" ht="14.25" customHeight="1">
      <c r="A6620" s="7">
        <v>6607.0</v>
      </c>
      <c r="B6620" s="14">
        <f t="shared" si="1"/>
        <v>0.1278379093</v>
      </c>
      <c r="C6620" s="39">
        <f t="array" ref="C6620">NPV(B6620,FCFF!$C$9:$I$9)+FCFF!$B$9+FCFF!$I$9*(1+Inputs!$B$6)/(B6620-Inputs!$B$6)/(1+B6620)^7</f>
        <v>-1942.636505</v>
      </c>
    </row>
    <row r="6621" ht="14.25" customHeight="1">
      <c r="A6621" s="7">
        <v>6608.0</v>
      </c>
      <c r="B6621" s="14">
        <f t="shared" si="1"/>
        <v>0.1214728209</v>
      </c>
      <c r="C6621" s="39">
        <f t="array" ref="C6621">NPV(B6621,FCFF!$C$9:$I$9)+FCFF!$B$9+FCFF!$I$9*(1+Inputs!$B$6)/(B6621-Inputs!$B$6)/(1+B6621)^7</f>
        <v>-1846.148414</v>
      </c>
    </row>
    <row r="6622" ht="14.25" customHeight="1">
      <c r="A6622" s="7">
        <v>6609.0</v>
      </c>
      <c r="B6622" s="14">
        <f t="shared" si="1"/>
        <v>0.09536206489</v>
      </c>
      <c r="C6622" s="39">
        <f t="array" ref="C6622">NPV(B6622,FCFF!$C$9:$I$9)+FCFF!$B$9+FCFF!$I$9*(1+Inputs!$B$6)/(B6622-Inputs!$B$6)/(1+B6622)^7</f>
        <v>-1243.036924</v>
      </c>
    </row>
    <row r="6623" ht="14.25" customHeight="1">
      <c r="A6623" s="7">
        <v>6610.0</v>
      </c>
      <c r="B6623" s="14">
        <f t="shared" si="1"/>
        <v>0.1322269107</v>
      </c>
      <c r="C6623" s="39">
        <f t="array" ref="C6623">NPV(B6623,FCFF!$C$9:$I$9)+FCFF!$B$9+FCFF!$I$9*(1+Inputs!$B$6)/(B6623-Inputs!$B$6)/(1+B6623)^7</f>
        <v>-2001.657722</v>
      </c>
    </row>
    <row r="6624" ht="14.25" customHeight="1">
      <c r="A6624" s="7">
        <v>6611.0</v>
      </c>
      <c r="B6624" s="14">
        <f t="shared" si="1"/>
        <v>0.09857875053</v>
      </c>
      <c r="C6624" s="39">
        <f t="array" ref="C6624">NPV(B6624,FCFF!$C$9:$I$9)+FCFF!$B$9+FCFF!$I$9*(1+Inputs!$B$6)/(B6624-Inputs!$B$6)/(1+B6624)^7</f>
        <v>-1342.613983</v>
      </c>
    </row>
    <row r="6625" ht="14.25" customHeight="1">
      <c r="A6625" s="7">
        <v>6612.0</v>
      </c>
      <c r="B6625" s="14">
        <f t="shared" si="1"/>
        <v>0.1035748576</v>
      </c>
      <c r="C6625" s="39">
        <f t="array" ref="C6625">NPV(B6625,FCFF!$C$9:$I$9)+FCFF!$B$9+FCFF!$I$9*(1+Inputs!$B$6)/(B6625-Inputs!$B$6)/(1+B6625)^7</f>
        <v>-1479.945316</v>
      </c>
    </row>
    <row r="6626" ht="14.25" customHeight="1">
      <c r="A6626" s="7">
        <v>6613.0</v>
      </c>
      <c r="B6626" s="14">
        <f t="shared" si="1"/>
        <v>0.130473295</v>
      </c>
      <c r="C6626" s="39">
        <f t="array" ref="C6626">NPV(B6626,FCFF!$C$9:$I$9)+FCFF!$B$9+FCFF!$I$9*(1+Inputs!$B$6)/(B6626-Inputs!$B$6)/(1+B6626)^7</f>
        <v>-1978.747255</v>
      </c>
    </row>
    <row r="6627" ht="14.25" customHeight="1">
      <c r="A6627" s="7">
        <v>6614.0</v>
      </c>
      <c r="B6627" s="14">
        <f t="shared" si="1"/>
        <v>0.1016561645</v>
      </c>
      <c r="C6627" s="39">
        <f t="array" ref="C6627">NPV(B6627,FCFF!$C$9:$I$9)+FCFF!$B$9+FCFF!$I$9*(1+Inputs!$B$6)/(B6627-Inputs!$B$6)/(1+B6627)^7</f>
        <v>-1429.491964</v>
      </c>
    </row>
    <row r="6628" ht="14.25" customHeight="1">
      <c r="A6628" s="7">
        <v>6615.0</v>
      </c>
      <c r="B6628" s="14">
        <f t="shared" si="1"/>
        <v>0.1231244019</v>
      </c>
      <c r="C6628" s="39">
        <f t="array" ref="C6628">NPV(B6628,FCFF!$C$9:$I$9)+FCFF!$B$9+FCFF!$I$9*(1+Inputs!$B$6)/(B6628-Inputs!$B$6)/(1+B6628)^7</f>
        <v>-1872.541018</v>
      </c>
    </row>
    <row r="6629" ht="14.25" customHeight="1">
      <c r="A6629" s="7">
        <v>6616.0</v>
      </c>
      <c r="B6629" s="14">
        <f t="shared" si="1"/>
        <v>0.1121869863</v>
      </c>
      <c r="C6629" s="39">
        <f t="array" ref="C6629">NPV(B6629,FCFF!$C$9:$I$9)+FCFF!$B$9+FCFF!$I$9*(1+Inputs!$B$6)/(B6629-Inputs!$B$6)/(1+B6629)^7</f>
        <v>-1676.819939</v>
      </c>
    </row>
    <row r="6630" ht="14.25" customHeight="1">
      <c r="A6630" s="7">
        <v>6617.0</v>
      </c>
      <c r="B6630" s="14">
        <f t="shared" si="1"/>
        <v>0.1203011405</v>
      </c>
      <c r="C6630" s="39">
        <f t="array" ref="C6630">NPV(B6630,FCFF!$C$9:$I$9)+FCFF!$B$9+FCFF!$I$9*(1+Inputs!$B$6)/(B6630-Inputs!$B$6)/(1+B6630)^7</f>
        <v>-1826.80184</v>
      </c>
    </row>
    <row r="6631" ht="14.25" customHeight="1">
      <c r="A6631" s="7">
        <v>6618.0</v>
      </c>
      <c r="B6631" s="14">
        <f t="shared" si="1"/>
        <v>0.1144990027</v>
      </c>
      <c r="C6631" s="39">
        <f t="array" ref="C6631">NPV(B6631,FCFF!$C$9:$I$9)+FCFF!$B$9+FCFF!$I$9*(1+Inputs!$B$6)/(B6631-Inputs!$B$6)/(1+B6631)^7</f>
        <v>-1722.630205</v>
      </c>
    </row>
    <row r="6632" ht="14.25" customHeight="1">
      <c r="A6632" s="7">
        <v>6619.0</v>
      </c>
      <c r="B6632" s="14">
        <f t="shared" si="1"/>
        <v>0.1309922378</v>
      </c>
      <c r="C6632" s="39">
        <f t="array" ref="C6632">NPV(B6632,FCFF!$C$9:$I$9)+FCFF!$B$9+FCFF!$I$9*(1+Inputs!$B$6)/(B6632-Inputs!$B$6)/(1+B6632)^7</f>
        <v>-1985.617326</v>
      </c>
    </row>
    <row r="6633" ht="14.25" customHeight="1">
      <c r="A6633" s="7">
        <v>6620.0</v>
      </c>
      <c r="B6633" s="14">
        <f t="shared" si="1"/>
        <v>0.1088842154</v>
      </c>
      <c r="C6633" s="39">
        <f t="array" ref="C6633">NPV(B6633,FCFF!$C$9:$I$9)+FCFF!$B$9+FCFF!$I$9*(1+Inputs!$B$6)/(B6633-Inputs!$B$6)/(1+B6633)^7</f>
        <v>-1606.539763</v>
      </c>
    </row>
    <row r="6634" ht="14.25" customHeight="1">
      <c r="A6634" s="7">
        <v>6621.0</v>
      </c>
      <c r="B6634" s="14">
        <f t="shared" si="1"/>
        <v>0.1219488277</v>
      </c>
      <c r="C6634" s="39">
        <f t="array" ref="C6634">NPV(B6634,FCFF!$C$9:$I$9)+FCFF!$B$9+FCFF!$I$9*(1+Inputs!$B$6)/(B6634-Inputs!$B$6)/(1+B6634)^7</f>
        <v>-1853.858643</v>
      </c>
    </row>
    <row r="6635" ht="14.25" customHeight="1">
      <c r="A6635" s="7">
        <v>6622.0</v>
      </c>
      <c r="B6635" s="14">
        <f t="shared" si="1"/>
        <v>0.1035867945</v>
      </c>
      <c r="C6635" s="39">
        <f t="array" ref="C6635">NPV(B6635,FCFF!$C$9:$I$9)+FCFF!$B$9+FCFF!$I$9*(1+Inputs!$B$6)/(B6635-Inputs!$B$6)/(1+B6635)^7</f>
        <v>-1480.250853</v>
      </c>
    </row>
    <row r="6636" ht="14.25" customHeight="1">
      <c r="A6636" s="7">
        <v>6623.0</v>
      </c>
      <c r="B6636" s="14">
        <f t="shared" si="1"/>
        <v>0.1083858588</v>
      </c>
      <c r="C6636" s="39">
        <f t="array" ref="C6636">NPV(B6636,FCFF!$C$9:$I$9)+FCFF!$B$9+FCFF!$I$9*(1+Inputs!$B$6)/(B6636-Inputs!$B$6)/(1+B6636)^7</f>
        <v>-1595.404054</v>
      </c>
    </row>
    <row r="6637" ht="14.25" customHeight="1">
      <c r="A6637" s="7">
        <v>6624.0</v>
      </c>
      <c r="B6637" s="14">
        <f t="shared" si="1"/>
        <v>0.1233307664</v>
      </c>
      <c r="C6637" s="39">
        <f t="array" ref="C6637">NPV(B6637,FCFF!$C$9:$I$9)+FCFF!$B$9+FCFF!$I$9*(1+Inputs!$B$6)/(B6637-Inputs!$B$6)/(1+B6637)^7</f>
        <v>-1875.768836</v>
      </c>
    </row>
    <row r="6638" ht="14.25" customHeight="1">
      <c r="A6638" s="7">
        <v>6625.0</v>
      </c>
      <c r="B6638" s="14">
        <f t="shared" si="1"/>
        <v>0.09644241249</v>
      </c>
      <c r="C6638" s="39">
        <f t="array" ref="C6638">NPV(B6638,FCFF!$C$9:$I$9)+FCFF!$B$9+FCFF!$I$9*(1+Inputs!$B$6)/(B6638-Inputs!$B$6)/(1+B6638)^7</f>
        <v>-1277.553716</v>
      </c>
    </row>
    <row r="6639" ht="14.25" customHeight="1">
      <c r="A6639" s="7">
        <v>6626.0</v>
      </c>
      <c r="B6639" s="14">
        <f t="shared" si="1"/>
        <v>0.1241368559</v>
      </c>
      <c r="C6639" s="39">
        <f t="array" ref="C6639">NPV(B6639,FCFF!$C$9:$I$9)+FCFF!$B$9+FCFF!$I$9*(1+Inputs!$B$6)/(B6639-Inputs!$B$6)/(1+B6639)^7</f>
        <v>-1888.23239</v>
      </c>
    </row>
    <row r="6640" ht="14.25" customHeight="1">
      <c r="A6640" s="7">
        <v>6627.0</v>
      </c>
      <c r="B6640" s="14">
        <f t="shared" si="1"/>
        <v>0.1249802804</v>
      </c>
      <c r="C6640" s="39">
        <f t="array" ref="C6640">NPV(B6640,FCFF!$C$9:$I$9)+FCFF!$B$9+FCFF!$I$9*(1+Inputs!$B$6)/(B6640-Inputs!$B$6)/(1+B6640)^7</f>
        <v>-1901.031097</v>
      </c>
    </row>
    <row r="6641" ht="14.25" customHeight="1">
      <c r="A6641" s="7">
        <v>6628.0</v>
      </c>
      <c r="B6641" s="14">
        <f t="shared" si="1"/>
        <v>0.1133085272</v>
      </c>
      <c r="C6641" s="39">
        <f t="array" ref="C6641">NPV(B6641,FCFF!$C$9:$I$9)+FCFF!$B$9+FCFF!$I$9*(1+Inputs!$B$6)/(B6641-Inputs!$B$6)/(1+B6641)^7</f>
        <v>-1699.372832</v>
      </c>
    </row>
    <row r="6642" ht="14.25" customHeight="1">
      <c r="A6642" s="7">
        <v>6629.0</v>
      </c>
      <c r="B6642" s="14">
        <f t="shared" si="1"/>
        <v>0.1020608636</v>
      </c>
      <c r="C6642" s="39">
        <f t="array" ref="C6642">NPV(B6642,FCFF!$C$9:$I$9)+FCFF!$B$9+FCFF!$I$9*(1+Inputs!$B$6)/(B6642-Inputs!$B$6)/(1+B6642)^7</f>
        <v>-1440.360289</v>
      </c>
    </row>
    <row r="6643" ht="14.25" customHeight="1">
      <c r="A6643" s="7">
        <v>6630.0</v>
      </c>
      <c r="B6643" s="14">
        <f t="shared" si="1"/>
        <v>0.09592654087</v>
      </c>
      <c r="C6643" s="39">
        <f t="array" ref="C6643">NPV(B6643,FCFF!$C$9:$I$9)+FCFF!$B$9+FCFF!$I$9*(1+Inputs!$B$6)/(B6643-Inputs!$B$6)/(1+B6643)^7</f>
        <v>-1261.21227</v>
      </c>
    </row>
    <row r="6644" ht="14.25" customHeight="1">
      <c r="A6644" s="7">
        <v>6631.0</v>
      </c>
      <c r="B6644" s="14">
        <f t="shared" si="1"/>
        <v>0.125365823</v>
      </c>
      <c r="C6644" s="39">
        <f t="array" ref="C6644">NPV(B6644,FCFF!$C$9:$I$9)+FCFF!$B$9+FCFF!$I$9*(1+Inputs!$B$6)/(B6644-Inputs!$B$6)/(1+B6644)^7</f>
        <v>-1906.800835</v>
      </c>
    </row>
    <row r="6645" ht="14.25" customHeight="1">
      <c r="A6645" s="7">
        <v>6632.0</v>
      </c>
      <c r="B6645" s="14">
        <f t="shared" si="1"/>
        <v>0.1201784352</v>
      </c>
      <c r="C6645" s="39">
        <f t="array" ref="C6645">NPV(B6645,FCFF!$C$9:$I$9)+FCFF!$B$9+FCFF!$I$9*(1+Inputs!$B$6)/(B6645-Inputs!$B$6)/(1+B6645)^7</f>
        <v>-1824.744902</v>
      </c>
    </row>
    <row r="6646" ht="14.25" customHeight="1">
      <c r="A6646" s="7">
        <v>6633.0</v>
      </c>
      <c r="B6646" s="14">
        <f t="shared" si="1"/>
        <v>0.09642457742</v>
      </c>
      <c r="C6646" s="39">
        <f t="array" ref="C6646">NPV(B6646,FCFF!$C$9:$I$9)+FCFF!$B$9+FCFF!$I$9*(1+Inputs!$B$6)/(B6646-Inputs!$B$6)/(1+B6646)^7</f>
        <v>-1276.99297</v>
      </c>
    </row>
    <row r="6647" ht="14.25" customHeight="1">
      <c r="A6647" s="7">
        <v>6634.0</v>
      </c>
      <c r="B6647" s="14">
        <f t="shared" si="1"/>
        <v>0.1266845549</v>
      </c>
      <c r="C6647" s="39">
        <f t="array" ref="C6647">NPV(B6647,FCFF!$C$9:$I$9)+FCFF!$B$9+FCFF!$I$9*(1+Inputs!$B$6)/(B6647-Inputs!$B$6)/(1+B6647)^7</f>
        <v>-1926.16275</v>
      </c>
    </row>
    <row r="6648" ht="14.25" customHeight="1">
      <c r="A6648" s="7">
        <v>6635.0</v>
      </c>
      <c r="B6648" s="14">
        <f t="shared" si="1"/>
        <v>0.1044146091</v>
      </c>
      <c r="C6648" s="39">
        <f t="array" ref="C6648">NPV(B6648,FCFF!$C$9:$I$9)+FCFF!$B$9+FCFF!$I$9*(1+Inputs!$B$6)/(B6648-Inputs!$B$6)/(1+B6648)^7</f>
        <v>-1501.196579</v>
      </c>
    </row>
    <row r="6649" ht="14.25" customHeight="1">
      <c r="A6649" s="7">
        <v>6636.0</v>
      </c>
      <c r="B6649" s="14">
        <f t="shared" si="1"/>
        <v>0.09811097442</v>
      </c>
      <c r="C6649" s="39">
        <f t="array" ref="C6649">NPV(B6649,FCFF!$C$9:$I$9)+FCFF!$B$9+FCFF!$I$9*(1+Inputs!$B$6)/(B6649-Inputs!$B$6)/(1+B6649)^7</f>
        <v>-1328.717409</v>
      </c>
    </row>
    <row r="6650" ht="14.25" customHeight="1">
      <c r="A6650" s="7">
        <v>6637.0</v>
      </c>
      <c r="B6650" s="14">
        <f t="shared" si="1"/>
        <v>0.09326639479</v>
      </c>
      <c r="C6650" s="39">
        <f t="array" ref="C6650">NPV(B6650,FCFF!$C$9:$I$9)+FCFF!$B$9+FCFF!$I$9*(1+Inputs!$B$6)/(B6650-Inputs!$B$6)/(1+B6650)^7</f>
        <v>-1172.743137</v>
      </c>
    </row>
    <row r="6651" ht="14.25" customHeight="1">
      <c r="A6651" s="7">
        <v>6638.0</v>
      </c>
      <c r="B6651" s="14">
        <f t="shared" si="1"/>
        <v>0.1043520989</v>
      </c>
      <c r="C6651" s="39">
        <f t="array" ref="C6651">NPV(B6651,FCFF!$C$9:$I$9)+FCFF!$B$9+FCFF!$I$9*(1+Inputs!$B$6)/(B6651-Inputs!$B$6)/(1+B6651)^7</f>
        <v>-1499.63148</v>
      </c>
    </row>
    <row r="6652" ht="14.25" customHeight="1">
      <c r="A6652" s="7">
        <v>6639.0</v>
      </c>
      <c r="B6652" s="14">
        <f t="shared" si="1"/>
        <v>0.1007164173</v>
      </c>
      <c r="C6652" s="39">
        <f t="array" ref="C6652">NPV(B6652,FCFF!$C$9:$I$9)+FCFF!$B$9+FCFF!$I$9*(1+Inputs!$B$6)/(B6652-Inputs!$B$6)/(1+B6652)^7</f>
        <v>-1403.769905</v>
      </c>
    </row>
    <row r="6653" ht="14.25" customHeight="1">
      <c r="A6653" s="7">
        <v>6640.0</v>
      </c>
      <c r="B6653" s="14">
        <f t="shared" si="1"/>
        <v>0.09811727879</v>
      </c>
      <c r="C6653" s="39">
        <f t="array" ref="C6653">NPV(B6653,FCFF!$C$9:$I$9)+FCFF!$B$9+FCFF!$I$9*(1+Inputs!$B$6)/(B6653-Inputs!$B$6)/(1+B6653)^7</f>
        <v>-1328.905969</v>
      </c>
    </row>
    <row r="6654" ht="14.25" customHeight="1">
      <c r="A6654" s="7">
        <v>6641.0</v>
      </c>
      <c r="B6654" s="14">
        <f t="shared" si="1"/>
        <v>0.1028170068</v>
      </c>
      <c r="C6654" s="39">
        <f t="array" ref="C6654">NPV(B6654,FCFF!$C$9:$I$9)+FCFF!$B$9+FCFF!$I$9*(1+Inputs!$B$6)/(B6654-Inputs!$B$6)/(1+B6654)^7</f>
        <v>-1460.339103</v>
      </c>
    </row>
    <row r="6655" ht="14.25" customHeight="1">
      <c r="A6655" s="7">
        <v>6642.0</v>
      </c>
      <c r="B6655" s="14">
        <f t="shared" si="1"/>
        <v>0.1016867262</v>
      </c>
      <c r="C6655" s="39">
        <f t="array" ref="C6655">NPV(B6655,FCFF!$C$9:$I$9)+FCFF!$B$9+FCFF!$I$9*(1+Inputs!$B$6)/(B6655-Inputs!$B$6)/(1+B6655)^7</f>
        <v>-1430.317042</v>
      </c>
    </row>
    <row r="6656" ht="14.25" customHeight="1">
      <c r="A6656" s="7">
        <v>6643.0</v>
      </c>
      <c r="B6656" s="14">
        <f t="shared" si="1"/>
        <v>0.123363408</v>
      </c>
      <c r="C6656" s="39">
        <f t="array" ref="C6656">NPV(B6656,FCFF!$C$9:$I$9)+FCFF!$B$9+FCFF!$I$9*(1+Inputs!$B$6)/(B6656-Inputs!$B$6)/(1+B6656)^7</f>
        <v>-1876.277999</v>
      </c>
    </row>
    <row r="6657" ht="14.25" customHeight="1">
      <c r="A6657" s="7">
        <v>6644.0</v>
      </c>
      <c r="B6657" s="14">
        <f t="shared" si="1"/>
        <v>0.1068576405</v>
      </c>
      <c r="C6657" s="39">
        <f t="array" ref="C6657">NPV(B6657,FCFF!$C$9:$I$9)+FCFF!$B$9+FCFF!$I$9*(1+Inputs!$B$6)/(B6657-Inputs!$B$6)/(1+B6657)^7</f>
        <v>-1560.33059</v>
      </c>
    </row>
    <row r="6658" ht="14.25" customHeight="1">
      <c r="A6658" s="7">
        <v>6645.0</v>
      </c>
      <c r="B6658" s="14">
        <f t="shared" si="1"/>
        <v>0.09399444362</v>
      </c>
      <c r="C6658" s="39">
        <f t="array" ref="C6658">NPV(B6658,FCFF!$C$9:$I$9)+FCFF!$B$9+FCFF!$I$9*(1+Inputs!$B$6)/(B6658-Inputs!$B$6)/(1+B6658)^7</f>
        <v>-1197.680819</v>
      </c>
    </row>
    <row r="6659" ht="14.25" customHeight="1">
      <c r="A6659" s="7">
        <v>6646.0</v>
      </c>
      <c r="B6659" s="14">
        <f t="shared" si="1"/>
        <v>0.128752136</v>
      </c>
      <c r="C6659" s="39">
        <f t="array" ref="C6659">NPV(B6659,FCFF!$C$9:$I$9)+FCFF!$B$9+FCFF!$I$9*(1+Inputs!$B$6)/(B6659-Inputs!$B$6)/(1+B6659)^7</f>
        <v>-1955.399894</v>
      </c>
    </row>
    <row r="6660" ht="14.25" customHeight="1">
      <c r="A6660" s="7">
        <v>6647.0</v>
      </c>
      <c r="B6660" s="14">
        <f t="shared" si="1"/>
        <v>0.1147460931</v>
      </c>
      <c r="C6660" s="39">
        <f t="array" ref="C6660">NPV(B6660,FCFF!$C$9:$I$9)+FCFF!$B$9+FCFF!$I$9*(1+Inputs!$B$6)/(B6660-Inputs!$B$6)/(1+B6660)^7</f>
        <v>-1727.371984</v>
      </c>
    </row>
    <row r="6661" ht="14.25" customHeight="1">
      <c r="A6661" s="7">
        <v>6648.0</v>
      </c>
      <c r="B6661" s="14">
        <f t="shared" si="1"/>
        <v>0.09539956002</v>
      </c>
      <c r="C6661" s="39">
        <f t="array" ref="C6661">NPV(B6661,FCFF!$C$9:$I$9)+FCFF!$B$9+FCFF!$I$9*(1+Inputs!$B$6)/(B6661-Inputs!$B$6)/(1+B6661)^7</f>
        <v>-1244.253892</v>
      </c>
    </row>
    <row r="6662" ht="14.25" customHeight="1">
      <c r="A6662" s="7">
        <v>6649.0</v>
      </c>
      <c r="B6662" s="14">
        <f t="shared" si="1"/>
        <v>0.1120951597</v>
      </c>
      <c r="C6662" s="39">
        <f t="array" ref="C6662">NPV(B6662,FCFF!$C$9:$I$9)+FCFF!$B$9+FCFF!$I$9*(1+Inputs!$B$6)/(B6662-Inputs!$B$6)/(1+B6662)^7</f>
        <v>-1674.945043</v>
      </c>
    </row>
    <row r="6663" ht="14.25" customHeight="1">
      <c r="A6663" s="7">
        <v>6650.0</v>
      </c>
      <c r="B6663" s="14">
        <f t="shared" si="1"/>
        <v>0.09715742091</v>
      </c>
      <c r="C6663" s="39">
        <f t="array" ref="C6663">NPV(B6663,FCFF!$C$9:$I$9)+FCFF!$B$9+FCFF!$I$9*(1+Inputs!$B$6)/(B6663-Inputs!$B$6)/(1+B6663)^7</f>
        <v>-1299.789306</v>
      </c>
    </row>
    <row r="6664" ht="14.25" customHeight="1">
      <c r="A6664" s="7">
        <v>6651.0</v>
      </c>
      <c r="B6664" s="14">
        <f t="shared" si="1"/>
        <v>0.1056557147</v>
      </c>
      <c r="C6664" s="39">
        <f t="array" ref="C6664">NPV(B6664,FCFF!$C$9:$I$9)+FCFF!$B$9+FCFF!$I$9*(1+Inputs!$B$6)/(B6664-Inputs!$B$6)/(1+B6664)^7</f>
        <v>-1531.72519</v>
      </c>
    </row>
    <row r="6665" ht="14.25" customHeight="1">
      <c r="A6665" s="7">
        <v>6652.0</v>
      </c>
      <c r="B6665" s="14">
        <f t="shared" si="1"/>
        <v>0.1245427535</v>
      </c>
      <c r="C6665" s="39">
        <f t="array" ref="C6665">NPV(B6665,FCFF!$C$9:$I$9)+FCFF!$B$9+FCFF!$I$9*(1+Inputs!$B$6)/(B6665-Inputs!$B$6)/(1+B6665)^7</f>
        <v>-1894.422282</v>
      </c>
    </row>
    <row r="6666" ht="14.25" customHeight="1">
      <c r="A6666" s="7">
        <v>6653.0</v>
      </c>
      <c r="B6666" s="14">
        <f t="shared" si="1"/>
        <v>0.1074420319</v>
      </c>
      <c r="C6666" s="39">
        <f t="array" ref="C6666">NPV(B6666,FCFF!$C$9:$I$9)+FCFF!$B$9+FCFF!$I$9*(1+Inputs!$B$6)/(B6666-Inputs!$B$6)/(1+B6666)^7</f>
        <v>-1573.910471</v>
      </c>
    </row>
    <row r="6667" ht="14.25" customHeight="1">
      <c r="A6667" s="7">
        <v>6654.0</v>
      </c>
      <c r="B6667" s="14">
        <f t="shared" si="1"/>
        <v>0.1244796169</v>
      </c>
      <c r="C6667" s="39">
        <f t="array" ref="C6667">NPV(B6667,FCFF!$C$9:$I$9)+FCFF!$B$9+FCFF!$I$9*(1+Inputs!$B$6)/(B6667-Inputs!$B$6)/(1+B6667)^7</f>
        <v>-1893.463194</v>
      </c>
    </row>
    <row r="6668" ht="14.25" customHeight="1">
      <c r="A6668" s="7">
        <v>6655.0</v>
      </c>
      <c r="B6668" s="14">
        <f t="shared" si="1"/>
        <v>0.1188709931</v>
      </c>
      <c r="C6668" s="39">
        <f t="array" ref="C6668">NPV(B6668,FCFF!$C$9:$I$9)+FCFF!$B$9+FCFF!$I$9*(1+Inputs!$B$6)/(B6668-Inputs!$B$6)/(1+B6668)^7</f>
        <v>-1802.454485</v>
      </c>
    </row>
    <row r="6669" ht="14.25" customHeight="1">
      <c r="A6669" s="7">
        <v>6656.0</v>
      </c>
      <c r="B6669" s="14">
        <f t="shared" si="1"/>
        <v>0.1210238681</v>
      </c>
      <c r="C6669" s="39">
        <f t="array" ref="C6669">NPV(B6669,FCFF!$C$9:$I$9)+FCFF!$B$9+FCFF!$I$9*(1+Inputs!$B$6)/(B6669-Inputs!$B$6)/(1+B6669)^7</f>
        <v>-1838.797847</v>
      </c>
    </row>
    <row r="6670" ht="14.25" customHeight="1">
      <c r="A6670" s="7">
        <v>6657.0</v>
      </c>
      <c r="B6670" s="14">
        <f t="shared" si="1"/>
        <v>0.09845241486</v>
      </c>
      <c r="C6670" s="39">
        <f t="array" ref="C6670">NPV(B6670,FCFF!$C$9:$I$9)+FCFF!$B$9+FCFF!$I$9*(1+Inputs!$B$6)/(B6670-Inputs!$B$6)/(1+B6670)^7</f>
        <v>-1338.879597</v>
      </c>
    </row>
    <row r="6671" ht="14.25" customHeight="1">
      <c r="A6671" s="7">
        <v>6658.0</v>
      </c>
      <c r="B6671" s="14">
        <f t="shared" si="1"/>
        <v>0.1081236963</v>
      </c>
      <c r="C6671" s="39">
        <f t="array" ref="C6671">NPV(B6671,FCFF!$C$9:$I$9)+FCFF!$B$9+FCFF!$I$9*(1+Inputs!$B$6)/(B6671-Inputs!$B$6)/(1+B6671)^7</f>
        <v>-1589.487399</v>
      </c>
    </row>
    <row r="6672" ht="14.25" customHeight="1">
      <c r="A6672" s="7">
        <v>6659.0</v>
      </c>
      <c r="B6672" s="14">
        <f t="shared" si="1"/>
        <v>0.1235400612</v>
      </c>
      <c r="C6672" s="39">
        <f t="array" ref="C6672">NPV(B6672,FCFF!$C$9:$I$9)+FCFF!$B$9+FCFF!$I$9*(1+Inputs!$B$6)/(B6672-Inputs!$B$6)/(1+B6672)^7</f>
        <v>-1879.026961</v>
      </c>
    </row>
    <row r="6673" ht="14.25" customHeight="1">
      <c r="A6673" s="7">
        <v>6660.0</v>
      </c>
      <c r="B6673" s="14">
        <f t="shared" si="1"/>
        <v>0.1028589639</v>
      </c>
      <c r="C6673" s="39">
        <f t="array" ref="C6673">NPV(B6673,FCFF!$C$9:$I$9)+FCFF!$B$9+FCFF!$I$9*(1+Inputs!$B$6)/(B6673-Inputs!$B$6)/(1+B6673)^7</f>
        <v>-1461.435391</v>
      </c>
    </row>
    <row r="6674" ht="14.25" customHeight="1">
      <c r="A6674" s="7">
        <v>6661.0</v>
      </c>
      <c r="B6674" s="14">
        <f t="shared" si="1"/>
        <v>0.1268471941</v>
      </c>
      <c r="C6674" s="39">
        <f t="array" ref="C6674">NPV(B6674,FCFF!$C$9:$I$9)+FCFF!$B$9+FCFF!$I$9*(1+Inputs!$B$6)/(B6674-Inputs!$B$6)/(1+B6674)^7</f>
        <v>-1928.511393</v>
      </c>
    </row>
    <row r="6675" ht="14.25" customHeight="1">
      <c r="A6675" s="7">
        <v>6662.0</v>
      </c>
      <c r="B6675" s="14">
        <f t="shared" si="1"/>
        <v>0.1149444669</v>
      </c>
      <c r="C6675" s="39">
        <f t="array" ref="C6675">NPV(B6675,FCFF!$C$9:$I$9)+FCFF!$B$9+FCFF!$I$9*(1+Inputs!$B$6)/(B6675-Inputs!$B$6)/(1+B6675)^7</f>
        <v>-1731.158008</v>
      </c>
    </row>
    <row r="6676" ht="14.25" customHeight="1">
      <c r="A6676" s="7">
        <v>6663.0</v>
      </c>
      <c r="B6676" s="14">
        <f t="shared" si="1"/>
        <v>0.1150511735</v>
      </c>
      <c r="C6676" s="39">
        <f t="array" ref="C6676">NPV(B6676,FCFF!$C$9:$I$9)+FCFF!$B$9+FCFF!$I$9*(1+Inputs!$B$6)/(B6676-Inputs!$B$6)/(1+B6676)^7</f>
        <v>-1733.186899</v>
      </c>
    </row>
    <row r="6677" ht="14.25" customHeight="1">
      <c r="A6677" s="7">
        <v>6664.0</v>
      </c>
      <c r="B6677" s="14">
        <f t="shared" si="1"/>
        <v>0.1122771238</v>
      </c>
      <c r="C6677" s="39">
        <f t="array" ref="C6677">NPV(B6677,FCFF!$C$9:$I$9)+FCFF!$B$9+FCFF!$I$9*(1+Inputs!$B$6)/(B6677-Inputs!$B$6)/(1+B6677)^7</f>
        <v>-1678.656121</v>
      </c>
    </row>
    <row r="6678" ht="14.25" customHeight="1">
      <c r="A6678" s="7">
        <v>6665.0</v>
      </c>
      <c r="B6678" s="14">
        <f t="shared" si="1"/>
        <v>0.1032295896</v>
      </c>
      <c r="C6678" s="39">
        <f t="array" ref="C6678">NPV(B6678,FCFF!$C$9:$I$9)+FCFF!$B$9+FCFF!$I$9*(1+Inputs!$B$6)/(B6678-Inputs!$B$6)/(1+B6678)^7</f>
        <v>-1471.064032</v>
      </c>
    </row>
    <row r="6679" ht="14.25" customHeight="1">
      <c r="A6679" s="7">
        <v>6666.0</v>
      </c>
      <c r="B6679" s="14">
        <f t="shared" si="1"/>
        <v>0.1262751646</v>
      </c>
      <c r="C6679" s="39">
        <f t="array" ref="C6679">NPV(B6679,FCFF!$C$9:$I$9)+FCFF!$B$9+FCFF!$I$9*(1+Inputs!$B$6)/(B6679-Inputs!$B$6)/(1+B6679)^7</f>
        <v>-1920.213006</v>
      </c>
    </row>
    <row r="6680" ht="14.25" customHeight="1">
      <c r="A6680" s="7">
        <v>6667.0</v>
      </c>
      <c r="B6680" s="14">
        <f t="shared" si="1"/>
        <v>0.113718599</v>
      </c>
      <c r="C6680" s="39">
        <f t="array" ref="C6680">NPV(B6680,FCFF!$C$9:$I$9)+FCFF!$B$9+FCFF!$I$9*(1+Inputs!$B$6)/(B6680-Inputs!$B$6)/(1+B6680)^7</f>
        <v>-1707.461951</v>
      </c>
    </row>
    <row r="6681" ht="14.25" customHeight="1">
      <c r="A6681" s="7">
        <v>6668.0</v>
      </c>
      <c r="B6681" s="14">
        <f t="shared" si="1"/>
        <v>0.1111438843</v>
      </c>
      <c r="C6681" s="39">
        <f t="array" ref="C6681">NPV(B6681,FCFF!$C$9:$I$9)+FCFF!$B$9+FCFF!$I$9*(1+Inputs!$B$6)/(B6681-Inputs!$B$6)/(1+B6681)^7</f>
        <v>-1655.262995</v>
      </c>
    </row>
    <row r="6682" ht="14.25" customHeight="1">
      <c r="A6682" s="7">
        <v>6669.0</v>
      </c>
      <c r="B6682" s="14">
        <f t="shared" si="1"/>
        <v>0.128020303</v>
      </c>
      <c r="C6682" s="39">
        <f t="array" ref="C6682">NPV(B6682,FCFF!$C$9:$I$9)+FCFF!$B$9+FCFF!$I$9*(1+Inputs!$B$6)/(B6682-Inputs!$B$6)/(1+B6682)^7</f>
        <v>-1945.203422</v>
      </c>
    </row>
    <row r="6683" ht="14.25" customHeight="1">
      <c r="A6683" s="7">
        <v>6670.0</v>
      </c>
      <c r="B6683" s="14">
        <f t="shared" si="1"/>
        <v>0.1275778095</v>
      </c>
      <c r="C6683" s="39">
        <f t="array" ref="C6683">NPV(B6683,FCFF!$C$9:$I$9)+FCFF!$B$9+FCFF!$I$9*(1+Inputs!$B$6)/(B6683-Inputs!$B$6)/(1+B6683)^7</f>
        <v>-1938.958073</v>
      </c>
    </row>
    <row r="6684" ht="14.25" customHeight="1">
      <c r="A6684" s="7">
        <v>6671.0</v>
      </c>
      <c r="B6684" s="14">
        <f t="shared" si="1"/>
        <v>0.1004929511</v>
      </c>
      <c r="C6684" s="39">
        <f t="array" ref="C6684">NPV(B6684,FCFF!$C$9:$I$9)+FCFF!$B$9+FCFF!$I$9*(1+Inputs!$B$6)/(B6684-Inputs!$B$6)/(1+B6684)^7</f>
        <v>-1397.551506</v>
      </c>
    </row>
    <row r="6685" ht="14.25" customHeight="1">
      <c r="A6685" s="7">
        <v>6672.0</v>
      </c>
      <c r="B6685" s="14">
        <f t="shared" si="1"/>
        <v>0.1264684703</v>
      </c>
      <c r="C6685" s="39">
        <f t="array" ref="C6685">NPV(B6685,FCFF!$C$9:$I$9)+FCFF!$B$9+FCFF!$I$9*(1+Inputs!$B$6)/(B6685-Inputs!$B$6)/(1+B6685)^7</f>
        <v>-1923.029123</v>
      </c>
    </row>
    <row r="6686" ht="14.25" customHeight="1">
      <c r="A6686" s="7">
        <v>6673.0</v>
      </c>
      <c r="B6686" s="14">
        <f t="shared" si="1"/>
        <v>0.1257433695</v>
      </c>
      <c r="C6686" s="39">
        <f t="array" ref="C6686">NPV(B6686,FCFF!$C$9:$I$9)+FCFF!$B$9+FCFF!$I$9*(1+Inputs!$B$6)/(B6686-Inputs!$B$6)/(1+B6686)^7</f>
        <v>-1912.402611</v>
      </c>
    </row>
    <row r="6687" ht="14.25" customHeight="1">
      <c r="A6687" s="7">
        <v>6674.0</v>
      </c>
      <c r="B6687" s="14">
        <f t="shared" si="1"/>
        <v>0.1177507413</v>
      </c>
      <c r="C6687" s="39">
        <f t="array" ref="C6687">NPV(B6687,FCFF!$C$9:$I$9)+FCFF!$B$9+FCFF!$I$9*(1+Inputs!$B$6)/(B6687-Inputs!$B$6)/(1+B6687)^7</f>
        <v>-1782.797061</v>
      </c>
    </row>
    <row r="6688" ht="14.25" customHeight="1">
      <c r="A6688" s="7">
        <v>6675.0</v>
      </c>
      <c r="B6688" s="14">
        <f t="shared" si="1"/>
        <v>0.1190379636</v>
      </c>
      <c r="C6688" s="39">
        <f t="array" ref="C6688">NPV(B6688,FCFF!$C$9:$I$9)+FCFF!$B$9+FCFF!$I$9*(1+Inputs!$B$6)/(B6688-Inputs!$B$6)/(1+B6688)^7</f>
        <v>-1805.339696</v>
      </c>
    </row>
    <row r="6689" ht="14.25" customHeight="1">
      <c r="A6689" s="7">
        <v>6676.0</v>
      </c>
      <c r="B6689" s="14">
        <f t="shared" si="1"/>
        <v>0.122534149</v>
      </c>
      <c r="C6689" s="39">
        <f t="array" ref="C6689">NPV(B6689,FCFF!$C$9:$I$9)+FCFF!$B$9+FCFF!$I$9*(1+Inputs!$B$6)/(B6689-Inputs!$B$6)/(1+B6689)^7</f>
        <v>-1863.223862</v>
      </c>
    </row>
    <row r="6690" ht="14.25" customHeight="1">
      <c r="A6690" s="7">
        <v>6677.0</v>
      </c>
      <c r="B6690" s="14">
        <f t="shared" si="1"/>
        <v>0.129914931</v>
      </c>
      <c r="C6690" s="39">
        <f t="array" ref="C6690">NPV(B6690,FCFF!$C$9:$I$9)+FCFF!$B$9+FCFF!$I$9*(1+Inputs!$B$6)/(B6690-Inputs!$B$6)/(1+B6690)^7</f>
        <v>-1971.268672</v>
      </c>
    </row>
    <row r="6691" ht="14.25" customHeight="1">
      <c r="A6691" s="7">
        <v>6678.0</v>
      </c>
      <c r="B6691" s="14">
        <f t="shared" si="1"/>
        <v>0.09519904048</v>
      </c>
      <c r="C6691" s="39">
        <f t="array" ref="C6691">NPV(B6691,FCFF!$C$9:$I$9)+FCFF!$B$9+FCFF!$I$9*(1+Inputs!$B$6)/(B6691-Inputs!$B$6)/(1+B6691)^7</f>
        <v>-1237.729516</v>
      </c>
    </row>
    <row r="6692" ht="14.25" customHeight="1">
      <c r="A6692" s="7">
        <v>6679.0</v>
      </c>
      <c r="B6692" s="14">
        <f t="shared" si="1"/>
        <v>0.1308985981</v>
      </c>
      <c r="C6692" s="39">
        <f t="array" ref="C6692">NPV(B6692,FCFF!$C$9:$I$9)+FCFF!$B$9+FCFF!$I$9*(1+Inputs!$B$6)/(B6692-Inputs!$B$6)/(1+B6692)^7</f>
        <v>-1984.38335</v>
      </c>
    </row>
    <row r="6693" ht="14.25" customHeight="1">
      <c r="A6693" s="7">
        <v>6680.0</v>
      </c>
      <c r="B6693" s="14">
        <f t="shared" si="1"/>
        <v>0.1013863142</v>
      </c>
      <c r="C6693" s="39">
        <f t="array" ref="C6693">NPV(B6693,FCFF!$C$9:$I$9)+FCFF!$B$9+FCFF!$I$9*(1+Inputs!$B$6)/(B6693-Inputs!$B$6)/(1+B6693)^7</f>
        <v>-1422.175813</v>
      </c>
    </row>
    <row r="6694" ht="14.25" customHeight="1">
      <c r="A6694" s="7">
        <v>6681.0</v>
      </c>
      <c r="B6694" s="14">
        <f t="shared" si="1"/>
        <v>0.1012949272</v>
      </c>
      <c r="C6694" s="39">
        <f t="array" ref="C6694">NPV(B6694,FCFF!$C$9:$I$9)+FCFF!$B$9+FCFF!$I$9*(1+Inputs!$B$6)/(B6694-Inputs!$B$6)/(1+B6694)^7</f>
        <v>-1419.685457</v>
      </c>
    </row>
    <row r="6695" ht="14.25" customHeight="1">
      <c r="A6695" s="7">
        <v>6682.0</v>
      </c>
      <c r="B6695" s="14">
        <f t="shared" si="1"/>
        <v>0.09609385456</v>
      </c>
      <c r="C6695" s="39">
        <f t="array" ref="C6695">NPV(B6695,FCFF!$C$9:$I$9)+FCFF!$B$9+FCFF!$I$9*(1+Inputs!$B$6)/(B6695-Inputs!$B$6)/(1+B6695)^7</f>
        <v>-1266.540171</v>
      </c>
    </row>
    <row r="6696" ht="14.25" customHeight="1">
      <c r="A6696" s="7">
        <v>6683.0</v>
      </c>
      <c r="B6696" s="14">
        <f t="shared" si="1"/>
        <v>0.1141181236</v>
      </c>
      <c r="C6696" s="39">
        <f t="array" ref="C6696">NPV(B6696,FCFF!$C$9:$I$9)+FCFF!$B$9+FCFF!$I$9*(1+Inputs!$B$6)/(B6696-Inputs!$B$6)/(1+B6696)^7</f>
        <v>-1715.263967</v>
      </c>
    </row>
    <row r="6697" ht="14.25" customHeight="1">
      <c r="A6697" s="7">
        <v>6684.0</v>
      </c>
      <c r="B6697" s="14">
        <f t="shared" si="1"/>
        <v>0.1148582422</v>
      </c>
      <c r="C6697" s="39">
        <f t="array" ref="C6697">NPV(B6697,FCFF!$C$9:$I$9)+FCFF!$B$9+FCFF!$I$9*(1+Inputs!$B$6)/(B6697-Inputs!$B$6)/(1+B6697)^7</f>
        <v>-1729.514658</v>
      </c>
    </row>
    <row r="6698" ht="14.25" customHeight="1">
      <c r="A6698" s="7">
        <v>6685.0</v>
      </c>
      <c r="B6698" s="14">
        <f t="shared" si="1"/>
        <v>0.1140195291</v>
      </c>
      <c r="C6698" s="39">
        <f t="array" ref="C6698">NPV(B6698,FCFF!$C$9:$I$9)+FCFF!$B$9+FCFF!$I$9*(1+Inputs!$B$6)/(B6698-Inputs!$B$6)/(1+B6698)^7</f>
        <v>-1713.345782</v>
      </c>
    </row>
    <row r="6699" ht="14.25" customHeight="1">
      <c r="A6699" s="7">
        <v>6686.0</v>
      </c>
      <c r="B6699" s="14">
        <f t="shared" si="1"/>
        <v>0.1148169835</v>
      </c>
      <c r="C6699" s="39">
        <f t="array" ref="C6699">NPV(B6699,FCFF!$C$9:$I$9)+FCFF!$B$9+FCFF!$I$9*(1+Inputs!$B$6)/(B6699-Inputs!$B$6)/(1+B6699)^7</f>
        <v>-1728.727074</v>
      </c>
    </row>
    <row r="6700" ht="14.25" customHeight="1">
      <c r="A6700" s="7">
        <v>6687.0</v>
      </c>
      <c r="B6700" s="14">
        <f t="shared" si="1"/>
        <v>0.105544662</v>
      </c>
      <c r="C6700" s="39">
        <f t="array" ref="C6700">NPV(B6700,FCFF!$C$9:$I$9)+FCFF!$B$9+FCFF!$I$9*(1+Inputs!$B$6)/(B6700-Inputs!$B$6)/(1+B6700)^7</f>
        <v>-1529.035207</v>
      </c>
    </row>
    <row r="6701" ht="14.25" customHeight="1">
      <c r="A6701" s="7">
        <v>6688.0</v>
      </c>
      <c r="B6701" s="14">
        <f t="shared" si="1"/>
        <v>0.1290097569</v>
      </c>
      <c r="C6701" s="39">
        <f t="array" ref="C6701">NPV(B6701,FCFF!$C$9:$I$9)+FCFF!$B$9+FCFF!$I$9*(1+Inputs!$B$6)/(B6701-Inputs!$B$6)/(1+B6701)^7</f>
        <v>-1958.950493</v>
      </c>
    </row>
    <row r="6702" ht="14.25" customHeight="1">
      <c r="A6702" s="7">
        <v>6689.0</v>
      </c>
      <c r="B6702" s="14">
        <f t="shared" si="1"/>
        <v>0.1021399614</v>
      </c>
      <c r="C6702" s="39">
        <f t="array" ref="C6702">NPV(B6702,FCFF!$C$9:$I$9)+FCFF!$B$9+FCFF!$I$9*(1+Inputs!$B$6)/(B6702-Inputs!$B$6)/(1+B6702)^7</f>
        <v>-1442.470074</v>
      </c>
    </row>
    <row r="6703" ht="14.25" customHeight="1">
      <c r="A6703" s="7">
        <v>6690.0</v>
      </c>
      <c r="B6703" s="14">
        <f t="shared" si="1"/>
        <v>0.1074073565</v>
      </c>
      <c r="C6703" s="39">
        <f t="array" ref="C6703">NPV(B6703,FCFF!$C$9:$I$9)+FCFF!$B$9+FCFF!$I$9*(1+Inputs!$B$6)/(B6703-Inputs!$B$6)/(1+B6703)^7</f>
        <v>-1573.110565</v>
      </c>
    </row>
    <row r="6704" ht="14.25" customHeight="1">
      <c r="A6704" s="7">
        <v>6691.0</v>
      </c>
      <c r="B6704" s="14">
        <f t="shared" si="1"/>
        <v>0.1232004802</v>
      </c>
      <c r="C6704" s="39">
        <f t="array" ref="C6704">NPV(B6704,FCFF!$C$9:$I$9)+FCFF!$B$9+FCFF!$I$9*(1+Inputs!$B$6)/(B6704-Inputs!$B$6)/(1+B6704)^7</f>
        <v>-1873.73276</v>
      </c>
    </row>
    <row r="6705" ht="14.25" customHeight="1">
      <c r="A6705" s="7">
        <v>6692.0</v>
      </c>
      <c r="B6705" s="14">
        <f t="shared" si="1"/>
        <v>0.09579935294</v>
      </c>
      <c r="C6705" s="39">
        <f t="array" ref="C6705">NPV(B6705,FCFF!$C$9:$I$9)+FCFF!$B$9+FCFF!$I$9*(1+Inputs!$B$6)/(B6705-Inputs!$B$6)/(1+B6705)^7</f>
        <v>-1257.144076</v>
      </c>
    </row>
    <row r="6706" ht="14.25" customHeight="1">
      <c r="A6706" s="7">
        <v>6693.0</v>
      </c>
      <c r="B6706" s="14">
        <f t="shared" si="1"/>
        <v>0.1233511406</v>
      </c>
      <c r="C6706" s="39">
        <f t="array" ref="C6706">NPV(B6706,FCFF!$C$9:$I$9)+FCFF!$B$9+FCFF!$I$9*(1+Inputs!$B$6)/(B6706-Inputs!$B$6)/(1+B6706)^7</f>
        <v>-1876.08669</v>
      </c>
    </row>
    <row r="6707" ht="14.25" customHeight="1">
      <c r="A6707" s="7">
        <v>6694.0</v>
      </c>
      <c r="B6707" s="14">
        <f t="shared" si="1"/>
        <v>0.1058963766</v>
      </c>
      <c r="C6707" s="39">
        <f t="array" ref="C6707">NPV(B6707,FCFF!$C$9:$I$9)+FCFF!$B$9+FCFF!$I$9*(1+Inputs!$B$6)/(B6707-Inputs!$B$6)/(1+B6707)^7</f>
        <v>-1537.527047</v>
      </c>
    </row>
    <row r="6708" ht="14.25" customHeight="1">
      <c r="A6708" s="7">
        <v>6695.0</v>
      </c>
      <c r="B6708" s="14">
        <f t="shared" si="1"/>
        <v>0.1274701436</v>
      </c>
      <c r="C6708" s="39">
        <f t="array" ref="C6708">NPV(B6708,FCFF!$C$9:$I$9)+FCFF!$B$9+FCFF!$I$9*(1+Inputs!$B$6)/(B6708-Inputs!$B$6)/(1+B6708)^7</f>
        <v>-1937.429221</v>
      </c>
    </row>
    <row r="6709" ht="14.25" customHeight="1">
      <c r="A6709" s="7">
        <v>6696.0</v>
      </c>
      <c r="B6709" s="14">
        <f t="shared" si="1"/>
        <v>0.1170056734</v>
      </c>
      <c r="C6709" s="39">
        <f t="array" ref="C6709">NPV(B6709,FCFF!$C$9:$I$9)+FCFF!$B$9+FCFF!$I$9*(1+Inputs!$B$6)/(B6709-Inputs!$B$6)/(1+B6709)^7</f>
        <v>-1769.427742</v>
      </c>
    </row>
    <row r="6710" ht="14.25" customHeight="1">
      <c r="A6710" s="7">
        <v>6697.0</v>
      </c>
      <c r="B6710" s="14">
        <f t="shared" si="1"/>
        <v>0.1072014097</v>
      </c>
      <c r="C6710" s="39">
        <f t="array" ref="C6710">NPV(B6710,FCFF!$C$9:$I$9)+FCFF!$B$9+FCFF!$I$9*(1+Inputs!$B$6)/(B6710-Inputs!$B$6)/(1+B6710)^7</f>
        <v>-1568.344506</v>
      </c>
    </row>
    <row r="6711" ht="14.25" customHeight="1">
      <c r="A6711" s="7">
        <v>6698.0</v>
      </c>
      <c r="B6711" s="14">
        <f t="shared" si="1"/>
        <v>0.1147393995</v>
      </c>
      <c r="C6711" s="39">
        <f t="array" ref="C6711">NPV(B6711,FCFF!$C$9:$I$9)+FCFF!$B$9+FCFF!$I$9*(1+Inputs!$B$6)/(B6711-Inputs!$B$6)/(1+B6711)^7</f>
        <v>-1727.243912</v>
      </c>
    </row>
    <row r="6712" ht="14.25" customHeight="1">
      <c r="A6712" s="7">
        <v>6699.0</v>
      </c>
      <c r="B6712" s="14">
        <f t="shared" si="1"/>
        <v>0.1084964373</v>
      </c>
      <c r="C6712" s="39">
        <f t="array" ref="C6712">NPV(B6712,FCFF!$C$9:$I$9)+FCFF!$B$9+FCFF!$I$9*(1+Inputs!$B$6)/(B6712-Inputs!$B$6)/(1+B6712)^7</f>
        <v>-1597.887477</v>
      </c>
    </row>
    <row r="6713" ht="14.25" customHeight="1">
      <c r="A6713" s="7">
        <v>6700.0</v>
      </c>
      <c r="B6713" s="14">
        <f t="shared" si="1"/>
        <v>0.1118594865</v>
      </c>
      <c r="C6713" s="39">
        <f t="array" ref="C6713">NPV(B6713,FCFF!$C$9:$I$9)+FCFF!$B$9+FCFF!$I$9*(1+Inputs!$B$6)/(B6713-Inputs!$B$6)/(1+B6713)^7</f>
        <v>-1670.113131</v>
      </c>
    </row>
    <row r="6714" ht="14.25" customHeight="1">
      <c r="A6714" s="7">
        <v>6701.0</v>
      </c>
      <c r="B6714" s="14">
        <f t="shared" si="1"/>
        <v>0.1118324252</v>
      </c>
      <c r="C6714" s="39">
        <f t="array" ref="C6714">NPV(B6714,FCFF!$C$9:$I$9)+FCFF!$B$9+FCFF!$I$9*(1+Inputs!$B$6)/(B6714-Inputs!$B$6)/(1+B6714)^7</f>
        <v>-1669.556455</v>
      </c>
    </row>
    <row r="6715" ht="14.25" customHeight="1">
      <c r="A6715" s="7">
        <v>6702.0</v>
      </c>
      <c r="B6715" s="14">
        <f t="shared" si="1"/>
        <v>0.1201209422</v>
      </c>
      <c r="C6715" s="39">
        <f t="array" ref="C6715">NPV(B6715,FCFF!$C$9:$I$9)+FCFF!$B$9+FCFF!$I$9*(1+Inputs!$B$6)/(B6715-Inputs!$B$6)/(1+B6715)^7</f>
        <v>-1823.779092</v>
      </c>
    </row>
    <row r="6716" ht="14.25" customHeight="1">
      <c r="A6716" s="7">
        <v>6703.0</v>
      </c>
      <c r="B6716" s="14">
        <f t="shared" si="1"/>
        <v>0.1020557886</v>
      </c>
      <c r="C6716" s="39">
        <f t="array" ref="C6716">NPV(B6716,FCFF!$C$9:$I$9)+FCFF!$B$9+FCFF!$I$9*(1+Inputs!$B$6)/(B6716-Inputs!$B$6)/(1+B6716)^7</f>
        <v>-1440.224763</v>
      </c>
    </row>
    <row r="6717" ht="14.25" customHeight="1">
      <c r="A6717" s="7">
        <v>6704.0</v>
      </c>
      <c r="B6717" s="14">
        <f t="shared" si="1"/>
        <v>0.1225426869</v>
      </c>
      <c r="C6717" s="39">
        <f t="array" ref="C6717">NPV(B6717,FCFF!$C$9:$I$9)+FCFF!$B$9+FCFF!$I$9*(1+Inputs!$B$6)/(B6717-Inputs!$B$6)/(1+B6717)^7</f>
        <v>-1863.359535</v>
      </c>
    </row>
    <row r="6718" ht="14.25" customHeight="1">
      <c r="A6718" s="7">
        <v>6705.0</v>
      </c>
      <c r="B6718" s="14">
        <f t="shared" si="1"/>
        <v>0.09630609171</v>
      </c>
      <c r="C6718" s="39">
        <f t="array" ref="C6718">NPV(B6718,FCFF!$C$9:$I$9)+FCFF!$B$9+FCFF!$I$9*(1+Inputs!$B$6)/(B6718-Inputs!$B$6)/(1+B6718)^7</f>
        <v>-1273.260066</v>
      </c>
    </row>
    <row r="6719" ht="14.25" customHeight="1">
      <c r="A6719" s="7">
        <v>6706.0</v>
      </c>
      <c r="B6719" s="14">
        <f t="shared" si="1"/>
        <v>0.09873151292</v>
      </c>
      <c r="C6719" s="39">
        <f t="array" ref="C6719">NPV(B6719,FCFF!$C$9:$I$9)+FCFF!$B$9+FCFF!$I$9*(1+Inputs!$B$6)/(B6719-Inputs!$B$6)/(1+B6719)^7</f>
        <v>-1347.111136</v>
      </c>
    </row>
    <row r="6720" ht="14.25" customHeight="1">
      <c r="A6720" s="7">
        <v>6707.0</v>
      </c>
      <c r="B6720" s="14">
        <f t="shared" si="1"/>
        <v>0.1173177267</v>
      </c>
      <c r="C6720" s="39">
        <f t="array" ref="C6720">NPV(B6720,FCFF!$C$9:$I$9)+FCFF!$B$9+FCFF!$I$9*(1+Inputs!$B$6)/(B6720-Inputs!$B$6)/(1+B6720)^7</f>
        <v>-1775.05636</v>
      </c>
    </row>
    <row r="6721" ht="14.25" customHeight="1">
      <c r="A6721" s="7">
        <v>6708.0</v>
      </c>
      <c r="B6721" s="14">
        <f t="shared" si="1"/>
        <v>0.1106561082</v>
      </c>
      <c r="C6721" s="39">
        <f t="array" ref="C6721">NPV(B6721,FCFF!$C$9:$I$9)+FCFF!$B$9+FCFF!$I$9*(1+Inputs!$B$6)/(B6721-Inputs!$B$6)/(1+B6721)^7</f>
        <v>-1644.984212</v>
      </c>
    </row>
    <row r="6722" ht="14.25" customHeight="1">
      <c r="A6722" s="7">
        <v>6709.0</v>
      </c>
      <c r="B6722" s="14">
        <f t="shared" si="1"/>
        <v>0.1248332343</v>
      </c>
      <c r="C6722" s="39">
        <f t="array" ref="C6722">NPV(B6722,FCFF!$C$9:$I$9)+FCFF!$B$9+FCFF!$I$9*(1+Inputs!$B$6)/(B6722-Inputs!$B$6)/(1+B6722)^7</f>
        <v>-1898.817264</v>
      </c>
    </row>
    <row r="6723" ht="14.25" customHeight="1">
      <c r="A6723" s="7">
        <v>6710.0</v>
      </c>
      <c r="B6723" s="14">
        <f t="shared" si="1"/>
        <v>0.1246842876</v>
      </c>
      <c r="C6723" s="39">
        <f t="array" ref="C6723">NPV(B6723,FCFF!$C$9:$I$9)+FCFF!$B$9+FCFF!$I$9*(1+Inputs!$B$6)/(B6723-Inputs!$B$6)/(1+B6723)^7</f>
        <v>-1896.567304</v>
      </c>
    </row>
    <row r="6724" ht="14.25" customHeight="1">
      <c r="A6724" s="7">
        <v>6711.0</v>
      </c>
      <c r="B6724" s="14">
        <f t="shared" si="1"/>
        <v>0.1272757441</v>
      </c>
      <c r="C6724" s="39">
        <f t="array" ref="C6724">NPV(B6724,FCFF!$C$9:$I$9)+FCFF!$B$9+FCFF!$I$9*(1+Inputs!$B$6)/(B6724-Inputs!$B$6)/(1+B6724)^7</f>
        <v>-1934.659509</v>
      </c>
    </row>
    <row r="6725" ht="14.25" customHeight="1">
      <c r="A6725" s="7">
        <v>6712.0</v>
      </c>
      <c r="B6725" s="14">
        <f t="shared" si="1"/>
        <v>0.1329532815</v>
      </c>
      <c r="C6725" s="39">
        <f t="array" ref="C6725">NPV(B6725,FCFF!$C$9:$I$9)+FCFF!$B$9+FCFF!$I$9*(1+Inputs!$B$6)/(B6725-Inputs!$B$6)/(1+B6725)^7</f>
        <v>-2010.898556</v>
      </c>
    </row>
    <row r="6726" ht="14.25" customHeight="1">
      <c r="A6726" s="7">
        <v>6713.0</v>
      </c>
      <c r="B6726" s="14">
        <f t="shared" si="1"/>
        <v>0.1147265247</v>
      </c>
      <c r="C6726" s="39">
        <f t="array" ref="C6726">NPV(B6726,FCFF!$C$9:$I$9)+FCFF!$B$9+FCFF!$I$9*(1+Inputs!$B$6)/(B6726-Inputs!$B$6)/(1+B6726)^7</f>
        <v>-1726.997511</v>
      </c>
    </row>
    <row r="6727" ht="14.25" customHeight="1">
      <c r="A6727" s="7">
        <v>6714.0</v>
      </c>
      <c r="B6727" s="14">
        <f t="shared" si="1"/>
        <v>0.1015601397</v>
      </c>
      <c r="C6727" s="39">
        <f t="array" ref="C6727">NPV(B6727,FCFF!$C$9:$I$9)+FCFF!$B$9+FCFF!$I$9*(1+Inputs!$B$6)/(B6727-Inputs!$B$6)/(1+B6727)^7</f>
        <v>-1426.894941</v>
      </c>
    </row>
    <row r="6728" ht="14.25" customHeight="1">
      <c r="A6728" s="7">
        <v>6715.0</v>
      </c>
      <c r="B6728" s="14">
        <f t="shared" si="1"/>
        <v>0.1062697098</v>
      </c>
      <c r="C6728" s="39">
        <f t="array" ref="C6728">NPV(B6728,FCFF!$C$9:$I$9)+FCFF!$B$9+FCFF!$I$9*(1+Inputs!$B$6)/(B6728-Inputs!$B$6)/(1+B6728)^7</f>
        <v>-1546.45328</v>
      </c>
    </row>
    <row r="6729" ht="14.25" customHeight="1">
      <c r="A6729" s="7">
        <v>6716.0</v>
      </c>
      <c r="B6729" s="14">
        <f t="shared" si="1"/>
        <v>0.09608255177</v>
      </c>
      <c r="C6729" s="39">
        <f t="array" ref="C6729">NPV(B6729,FCFF!$C$9:$I$9)+FCFF!$B$9+FCFF!$I$9*(1+Inputs!$B$6)/(B6729-Inputs!$B$6)/(1+B6729)^7</f>
        <v>-1266.181094</v>
      </c>
    </row>
    <row r="6730" ht="14.25" customHeight="1">
      <c r="A6730" s="7">
        <v>6717.0</v>
      </c>
      <c r="B6730" s="14">
        <f t="shared" si="1"/>
        <v>0.1216579794</v>
      </c>
      <c r="C6730" s="39">
        <f t="array" ref="C6730">NPV(B6730,FCFF!$C$9:$I$9)+FCFF!$B$9+FCFF!$I$9*(1+Inputs!$B$6)/(B6730-Inputs!$B$6)/(1+B6730)^7</f>
        <v>-1849.15768</v>
      </c>
    </row>
    <row r="6731" ht="14.25" customHeight="1">
      <c r="A6731" s="7">
        <v>6718.0</v>
      </c>
      <c r="B6731" s="14">
        <f t="shared" si="1"/>
        <v>0.1311398866</v>
      </c>
      <c r="C6731" s="39">
        <f t="array" ref="C6731">NPV(B6731,FCFF!$C$9:$I$9)+FCFF!$B$9+FCFF!$I$9*(1+Inputs!$B$6)/(B6731-Inputs!$B$6)/(1+B6731)^7</f>
        <v>-1987.557981</v>
      </c>
    </row>
    <row r="6732" ht="14.25" customHeight="1">
      <c r="A6732" s="7">
        <v>6719.0</v>
      </c>
      <c r="B6732" s="14">
        <f t="shared" si="1"/>
        <v>0.1189028277</v>
      </c>
      <c r="C6732" s="39">
        <f t="array" ref="C6732">NPV(B6732,FCFF!$C$9:$I$9)+FCFF!$B$9+FCFF!$I$9*(1+Inputs!$B$6)/(B6732-Inputs!$B$6)/(1+B6732)^7</f>
        <v>-1803.005462</v>
      </c>
    </row>
    <row r="6733" ht="14.25" customHeight="1">
      <c r="A6733" s="7">
        <v>6720.0</v>
      </c>
      <c r="B6733" s="14">
        <f t="shared" si="1"/>
        <v>0.117775318</v>
      </c>
      <c r="C6733" s="39">
        <f t="array" ref="C6733">NPV(B6733,FCFF!$C$9:$I$9)+FCFF!$B$9+FCFF!$I$9*(1+Inputs!$B$6)/(B6733-Inputs!$B$6)/(1+B6733)^7</f>
        <v>-1783.23399</v>
      </c>
    </row>
    <row r="6734" ht="14.25" customHeight="1">
      <c r="A6734" s="7">
        <v>6721.0</v>
      </c>
      <c r="B6734" s="14">
        <f t="shared" si="1"/>
        <v>0.1238091657</v>
      </c>
      <c r="C6734" s="39">
        <f t="array" ref="C6734">NPV(B6734,FCFF!$C$9:$I$9)+FCFF!$B$9+FCFF!$I$9*(1+Inputs!$B$6)/(B6734-Inputs!$B$6)/(1+B6734)^7</f>
        <v>-1883.193337</v>
      </c>
    </row>
    <row r="6735" ht="14.25" customHeight="1">
      <c r="A6735" s="7">
        <v>6722.0</v>
      </c>
      <c r="B6735" s="14">
        <f t="shared" si="1"/>
        <v>0.1112028765</v>
      </c>
      <c r="C6735" s="39">
        <f t="array" ref="C6735">NPV(B6735,FCFF!$C$9:$I$9)+FCFF!$B$9+FCFF!$I$9*(1+Inputs!$B$6)/(B6735-Inputs!$B$6)/(1+B6735)^7</f>
        <v>-1656.497457</v>
      </c>
    </row>
    <row r="6736" ht="14.25" customHeight="1">
      <c r="A6736" s="7">
        <v>6723.0</v>
      </c>
      <c r="B6736" s="14">
        <f t="shared" si="1"/>
        <v>0.1107889223</v>
      </c>
      <c r="C6736" s="39">
        <f t="array" ref="C6736">NPV(B6736,FCFF!$C$9:$I$9)+FCFF!$B$9+FCFF!$I$9*(1+Inputs!$B$6)/(B6736-Inputs!$B$6)/(1+B6736)^7</f>
        <v>-1647.795698</v>
      </c>
    </row>
    <row r="6737" ht="14.25" customHeight="1">
      <c r="A6737" s="7">
        <v>6724.0</v>
      </c>
      <c r="B6737" s="14">
        <f t="shared" si="1"/>
        <v>0.1058634423</v>
      </c>
      <c r="C6737" s="39">
        <f t="array" ref="C6737">NPV(B6737,FCFF!$C$9:$I$9)+FCFF!$B$9+FCFF!$I$9*(1+Inputs!$B$6)/(B6737-Inputs!$B$6)/(1+B6737)^7</f>
        <v>-1536.73529</v>
      </c>
    </row>
    <row r="6738" ht="14.25" customHeight="1">
      <c r="A6738" s="7">
        <v>6725.0</v>
      </c>
      <c r="B6738" s="14">
        <f t="shared" si="1"/>
        <v>0.1207600611</v>
      </c>
      <c r="C6738" s="39">
        <f t="array" ref="C6738">NPV(B6738,FCFF!$C$9:$I$9)+FCFF!$B$9+FCFF!$I$9*(1+Inputs!$B$6)/(B6738-Inputs!$B$6)/(1+B6738)^7</f>
        <v>-1834.442597</v>
      </c>
    </row>
    <row r="6739" ht="14.25" customHeight="1">
      <c r="A6739" s="7">
        <v>6726.0</v>
      </c>
      <c r="B6739" s="14">
        <f t="shared" si="1"/>
        <v>0.1118413979</v>
      </c>
      <c r="C6739" s="39">
        <f t="array" ref="C6739">NPV(B6739,FCFF!$C$9:$I$9)+FCFF!$B$9+FCFF!$I$9*(1+Inputs!$B$6)/(B6739-Inputs!$B$6)/(1+B6739)^7</f>
        <v>-1669.741073</v>
      </c>
    </row>
    <row r="6740" ht="14.25" customHeight="1">
      <c r="A6740" s="7">
        <v>6727.0</v>
      </c>
      <c r="B6740" s="14">
        <f t="shared" si="1"/>
        <v>0.1239486578</v>
      </c>
      <c r="C6740" s="39">
        <f t="array" ref="C6740">NPV(B6740,FCFF!$C$9:$I$9)+FCFF!$B$9+FCFF!$I$9*(1+Inputs!$B$6)/(B6740-Inputs!$B$6)/(1+B6740)^7</f>
        <v>-1885.34297</v>
      </c>
    </row>
    <row r="6741" ht="14.25" customHeight="1">
      <c r="A6741" s="7">
        <v>6728.0</v>
      </c>
      <c r="B6741" s="14">
        <f t="shared" si="1"/>
        <v>0.1067041884</v>
      </c>
      <c r="C6741" s="39">
        <f t="array" ref="C6741">NPV(B6741,FCFF!$C$9:$I$9)+FCFF!$B$9+FCFF!$I$9*(1+Inputs!$B$6)/(B6741-Inputs!$B$6)/(1+B6741)^7</f>
        <v>-1556.729567</v>
      </c>
    </row>
    <row r="6742" ht="14.25" customHeight="1">
      <c r="A6742" s="7">
        <v>6729.0</v>
      </c>
      <c r="B6742" s="14">
        <f t="shared" si="1"/>
        <v>0.1034703315</v>
      </c>
      <c r="C6742" s="39">
        <f t="array" ref="C6742">NPV(B6742,FCFF!$C$9:$I$9)+FCFF!$B$9+FCFF!$I$9*(1+Inputs!$B$6)/(B6742-Inputs!$B$6)/(1+B6742)^7</f>
        <v>-1477.265552</v>
      </c>
    </row>
    <row r="6743" ht="14.25" customHeight="1">
      <c r="A6743" s="7">
        <v>6730.0</v>
      </c>
      <c r="B6743" s="14">
        <f t="shared" si="1"/>
        <v>0.09306067916</v>
      </c>
      <c r="C6743" s="39">
        <f t="array" ref="C6743">NPV(B6743,FCFF!$C$9:$I$9)+FCFF!$B$9+FCFF!$I$9*(1+Inputs!$B$6)/(B6743-Inputs!$B$6)/(1+B6743)^7</f>
        <v>-1165.593631</v>
      </c>
    </row>
    <row r="6744" ht="14.25" customHeight="1">
      <c r="A6744" s="7">
        <v>6731.0</v>
      </c>
      <c r="B6744" s="14">
        <f t="shared" si="1"/>
        <v>0.1183061077</v>
      </c>
      <c r="C6744" s="39">
        <f t="array" ref="C6744">NPV(B6744,FCFF!$C$9:$I$9)+FCFF!$B$9+FCFF!$I$9*(1+Inputs!$B$6)/(B6744-Inputs!$B$6)/(1+B6744)^7</f>
        <v>-1792.607984</v>
      </c>
    </row>
    <row r="6745" ht="14.25" customHeight="1">
      <c r="A6745" s="7">
        <v>6732.0</v>
      </c>
      <c r="B6745" s="14">
        <f t="shared" si="1"/>
        <v>0.1110363969</v>
      </c>
      <c r="C6745" s="39">
        <f t="array" ref="C6745">NPV(B6745,FCFF!$C$9:$I$9)+FCFF!$B$9+FCFF!$I$9*(1+Inputs!$B$6)/(B6745-Inputs!$B$6)/(1+B6745)^7</f>
        <v>-1653.008944</v>
      </c>
    </row>
    <row r="6746" ht="14.25" customHeight="1">
      <c r="A6746" s="7">
        <v>6733.0</v>
      </c>
      <c r="B6746" s="14">
        <f t="shared" si="1"/>
        <v>0.118464592</v>
      </c>
      <c r="C6746" s="39">
        <f t="array" ref="C6746">NPV(B6746,FCFF!$C$9:$I$9)+FCFF!$B$9+FCFF!$I$9*(1+Inputs!$B$6)/(B6746-Inputs!$B$6)/(1+B6746)^7</f>
        <v>-1795.383908</v>
      </c>
    </row>
    <row r="6747" ht="14.25" customHeight="1">
      <c r="A6747" s="7">
        <v>6734.0</v>
      </c>
      <c r="B6747" s="14">
        <f t="shared" si="1"/>
        <v>0.1160045618</v>
      </c>
      <c r="C6747" s="39">
        <f t="array" ref="C6747">NPV(B6747,FCFF!$C$9:$I$9)+FCFF!$B$9+FCFF!$I$9*(1+Inputs!$B$6)/(B6747-Inputs!$B$6)/(1+B6747)^7</f>
        <v>-1751.080603</v>
      </c>
    </row>
    <row r="6748" ht="14.25" customHeight="1">
      <c r="A6748" s="7">
        <v>6735.0</v>
      </c>
      <c r="B6748" s="14">
        <f t="shared" si="1"/>
        <v>0.1056199015</v>
      </c>
      <c r="C6748" s="39">
        <f t="array" ref="C6748">NPV(B6748,FCFF!$C$9:$I$9)+FCFF!$B$9+FCFF!$I$9*(1+Inputs!$B$6)/(B6748-Inputs!$B$6)/(1+B6748)^7</f>
        <v>-1530.858584</v>
      </c>
    </row>
    <row r="6749" ht="14.25" customHeight="1">
      <c r="A6749" s="7">
        <v>6736.0</v>
      </c>
      <c r="B6749" s="14">
        <f t="shared" si="1"/>
        <v>0.09798686318</v>
      </c>
      <c r="C6749" s="39">
        <f t="array" ref="C6749">NPV(B6749,FCFF!$C$9:$I$9)+FCFF!$B$9+FCFF!$I$9*(1+Inputs!$B$6)/(B6749-Inputs!$B$6)/(1+B6749)^7</f>
        <v>-1324.998186</v>
      </c>
    </row>
    <row r="6750" ht="14.25" customHeight="1">
      <c r="A6750" s="7">
        <v>6737.0</v>
      </c>
      <c r="B6750" s="14">
        <f t="shared" si="1"/>
        <v>0.1223410414</v>
      </c>
      <c r="C6750" s="39">
        <f t="array" ref="C6750">NPV(B6750,FCFF!$C$9:$I$9)+FCFF!$B$9+FCFF!$I$9*(1+Inputs!$B$6)/(B6750-Inputs!$B$6)/(1+B6750)^7</f>
        <v>-1860.148087</v>
      </c>
    </row>
    <row r="6751" ht="14.25" customHeight="1">
      <c r="A6751" s="7">
        <v>6738.0</v>
      </c>
      <c r="B6751" s="14">
        <f t="shared" si="1"/>
        <v>0.1259672651</v>
      </c>
      <c r="C6751" s="39">
        <f t="array" ref="C6751">NPV(B6751,FCFF!$C$9:$I$9)+FCFF!$B$9+FCFF!$I$9*(1+Inputs!$B$6)/(B6751-Inputs!$B$6)/(1+B6751)^7</f>
        <v>-1915.702269</v>
      </c>
    </row>
    <row r="6752" ht="14.25" customHeight="1">
      <c r="A6752" s="7">
        <v>6739.0</v>
      </c>
      <c r="B6752" s="14">
        <f t="shared" si="1"/>
        <v>0.09331598885</v>
      </c>
      <c r="C6752" s="39">
        <f t="array" ref="C6752">NPV(B6752,FCFF!$C$9:$I$9)+FCFF!$B$9+FCFF!$I$9*(1+Inputs!$B$6)/(B6752-Inputs!$B$6)/(1+B6752)^7</f>
        <v>-1174.459875</v>
      </c>
    </row>
    <row r="6753" ht="14.25" customHeight="1">
      <c r="A6753" s="7">
        <v>6740.0</v>
      </c>
      <c r="B6753" s="14">
        <f t="shared" si="1"/>
        <v>0.1068912425</v>
      </c>
      <c r="C6753" s="39">
        <f t="array" ref="C6753">NPV(B6753,FCFF!$C$9:$I$9)+FCFF!$B$9+FCFF!$I$9*(1+Inputs!$B$6)/(B6753-Inputs!$B$6)/(1+B6753)^7</f>
        <v>-1561.117154</v>
      </c>
    </row>
    <row r="6754" ht="14.25" customHeight="1">
      <c r="A6754" s="7">
        <v>6741.0</v>
      </c>
      <c r="B6754" s="14">
        <f t="shared" si="1"/>
        <v>0.1219806694</v>
      </c>
      <c r="C6754" s="39">
        <f t="array" ref="C6754">NPV(B6754,FCFF!$C$9:$I$9)+FCFF!$B$9+FCFF!$I$9*(1+Inputs!$B$6)/(B6754-Inputs!$B$6)/(1+B6754)^7</f>
        <v>-1854.371378</v>
      </c>
    </row>
    <row r="6755" ht="14.25" customHeight="1">
      <c r="A6755" s="7">
        <v>6742.0</v>
      </c>
      <c r="B6755" s="14">
        <f t="shared" si="1"/>
        <v>0.1274219271</v>
      </c>
      <c r="C6755" s="39">
        <f t="array" ref="C6755">NPV(B6755,FCFF!$C$9:$I$9)+FCFF!$B$9+FCFF!$I$9*(1+Inputs!$B$6)/(B6755-Inputs!$B$6)/(1+B6755)^7</f>
        <v>-1936.743367</v>
      </c>
    </row>
    <row r="6756" ht="14.25" customHeight="1">
      <c r="A6756" s="7">
        <v>6743.0</v>
      </c>
      <c r="B6756" s="14">
        <f t="shared" si="1"/>
        <v>0.1130718811</v>
      </c>
      <c r="C6756" s="39">
        <f t="array" ref="C6756">NPV(B6756,FCFF!$C$9:$I$9)+FCFF!$B$9+FCFF!$I$9*(1+Inputs!$B$6)/(B6756-Inputs!$B$6)/(1+B6756)^7</f>
        <v>-1694.666871</v>
      </c>
    </row>
    <row r="6757" ht="14.25" customHeight="1">
      <c r="A6757" s="7">
        <v>6744.0</v>
      </c>
      <c r="B6757" s="14">
        <f t="shared" si="1"/>
        <v>0.1317890934</v>
      </c>
      <c r="C6757" s="39">
        <f t="array" ref="C6757">NPV(B6757,FCFF!$C$9:$I$9)+FCFF!$B$9+FCFF!$I$9*(1+Inputs!$B$6)/(B6757-Inputs!$B$6)/(1+B6757)^7</f>
        <v>-1996.018283</v>
      </c>
    </row>
    <row r="6758" ht="14.25" customHeight="1">
      <c r="A6758" s="7">
        <v>6745.0</v>
      </c>
      <c r="B6758" s="14">
        <f t="shared" si="1"/>
        <v>0.1013420365</v>
      </c>
      <c r="C6758" s="39">
        <f t="array" ref="C6758">NPV(B6758,FCFF!$C$9:$I$9)+FCFF!$B$9+FCFF!$I$9*(1+Inputs!$B$6)/(B6758-Inputs!$B$6)/(1+B6758)^7</f>
        <v>-1420.970022</v>
      </c>
    </row>
    <row r="6759" ht="14.25" customHeight="1">
      <c r="A6759" s="7">
        <v>6746.0</v>
      </c>
      <c r="B6759" s="14">
        <f t="shared" si="1"/>
        <v>0.1296169788</v>
      </c>
      <c r="C6759" s="39">
        <f t="array" ref="C6759">NPV(B6759,FCFF!$C$9:$I$9)+FCFF!$B$9+FCFF!$I$9*(1+Inputs!$B$6)/(B6759-Inputs!$B$6)/(1+B6759)^7</f>
        <v>-1967.240739</v>
      </c>
    </row>
    <row r="6760" ht="14.25" customHeight="1">
      <c r="A6760" s="7">
        <v>6747.0</v>
      </c>
      <c r="B6760" s="14">
        <f t="shared" si="1"/>
        <v>0.132635025</v>
      </c>
      <c r="C6760" s="39">
        <f t="array" ref="C6760">NPV(B6760,FCFF!$C$9:$I$9)+FCFF!$B$9+FCFF!$I$9*(1+Inputs!$B$6)/(B6760-Inputs!$B$6)/(1+B6760)^7</f>
        <v>-2006.867305</v>
      </c>
    </row>
    <row r="6761" ht="14.25" customHeight="1">
      <c r="A6761" s="7">
        <v>6748.0</v>
      </c>
      <c r="B6761" s="14">
        <f t="shared" si="1"/>
        <v>0.1148979976</v>
      </c>
      <c r="C6761" s="39">
        <f t="array" ref="C6761">NPV(B6761,FCFF!$C$9:$I$9)+FCFF!$B$9+FCFF!$I$9*(1+Inputs!$B$6)/(B6761-Inputs!$B$6)/(1+B6761)^7</f>
        <v>-1730.272787</v>
      </c>
    </row>
    <row r="6762" ht="14.25" customHeight="1">
      <c r="A6762" s="7">
        <v>6749.0</v>
      </c>
      <c r="B6762" s="14">
        <f t="shared" si="1"/>
        <v>0.1274844582</v>
      </c>
      <c r="C6762" s="39">
        <f t="array" ref="C6762">NPV(B6762,FCFF!$C$9:$I$9)+FCFF!$B$9+FCFF!$I$9*(1+Inputs!$B$6)/(B6762-Inputs!$B$6)/(1+B6762)^7</f>
        <v>-1937.632698</v>
      </c>
    </row>
    <row r="6763" ht="14.25" customHeight="1">
      <c r="A6763" s="7">
        <v>6750.0</v>
      </c>
      <c r="B6763" s="14">
        <f t="shared" si="1"/>
        <v>0.09586166421</v>
      </c>
      <c r="C6763" s="39">
        <f t="array" ref="C6763">NPV(B6763,FCFF!$C$9:$I$9)+FCFF!$B$9+FCFF!$I$9*(1+Inputs!$B$6)/(B6763-Inputs!$B$6)/(1+B6763)^7</f>
        <v>-1259.1391</v>
      </c>
    </row>
    <row r="6764" ht="14.25" customHeight="1">
      <c r="A6764" s="7">
        <v>6751.0</v>
      </c>
      <c r="B6764" s="14">
        <f t="shared" si="1"/>
        <v>0.1192407977</v>
      </c>
      <c r="C6764" s="39">
        <f t="array" ref="C6764">NPV(B6764,FCFF!$C$9:$I$9)+FCFF!$B$9+FCFF!$I$9*(1+Inputs!$B$6)/(B6764-Inputs!$B$6)/(1+B6764)^7</f>
        <v>-1808.829284</v>
      </c>
    </row>
    <row r="6765" ht="14.25" customHeight="1">
      <c r="A6765" s="7">
        <v>6752.0</v>
      </c>
      <c r="B6765" s="14">
        <f t="shared" si="1"/>
        <v>0.113066993</v>
      </c>
      <c r="C6765" s="39">
        <f t="array" ref="C6765">NPV(B6765,FCFF!$C$9:$I$9)+FCFF!$B$9+FCFF!$I$9*(1+Inputs!$B$6)/(B6765-Inputs!$B$6)/(1+B6765)^7</f>
        <v>-1694.569371</v>
      </c>
    </row>
    <row r="6766" ht="14.25" customHeight="1">
      <c r="A6766" s="7">
        <v>6753.0</v>
      </c>
      <c r="B6766" s="14">
        <f t="shared" si="1"/>
        <v>0.1264702266</v>
      </c>
      <c r="C6766" s="39">
        <f t="array" ref="C6766">NPV(B6766,FCFF!$C$9:$I$9)+FCFF!$B$9+FCFF!$I$9*(1+Inputs!$B$6)/(B6766-Inputs!$B$6)/(1+B6766)^7</f>
        <v>-1923.054654</v>
      </c>
    </row>
    <row r="6767" ht="14.25" customHeight="1">
      <c r="A6767" s="7">
        <v>6754.0</v>
      </c>
      <c r="B6767" s="14">
        <f t="shared" si="1"/>
        <v>0.1204423655</v>
      </c>
      <c r="C6767" s="39">
        <f t="array" ref="C6767">NPV(B6767,FCFF!$C$9:$I$9)+FCFF!$B$9+FCFF!$I$9*(1+Inputs!$B$6)/(B6767-Inputs!$B$6)/(1+B6767)^7</f>
        <v>-1829.161909</v>
      </c>
    </row>
    <row r="6768" ht="14.25" customHeight="1">
      <c r="A6768" s="7">
        <v>6755.0</v>
      </c>
      <c r="B6768" s="14">
        <f t="shared" si="1"/>
        <v>0.09912841036</v>
      </c>
      <c r="C6768" s="39">
        <f t="array" ref="C6768">NPV(B6768,FCFF!$C$9:$I$9)+FCFF!$B$9+FCFF!$I$9*(1+Inputs!$B$6)/(B6768-Inputs!$B$6)/(1+B6768)^7</f>
        <v>-1358.702134</v>
      </c>
    </row>
    <row r="6769" ht="14.25" customHeight="1">
      <c r="A6769" s="7">
        <v>6756.0</v>
      </c>
      <c r="B6769" s="14">
        <f t="shared" si="1"/>
        <v>0.1051548819</v>
      </c>
      <c r="C6769" s="39">
        <f t="array" ref="C6769">NPV(B6769,FCFF!$C$9:$I$9)+FCFF!$B$9+FCFF!$I$9*(1+Inputs!$B$6)/(B6769-Inputs!$B$6)/(1+B6769)^7</f>
        <v>-1519.529498</v>
      </c>
    </row>
    <row r="6770" ht="14.25" customHeight="1">
      <c r="A6770" s="7">
        <v>6757.0</v>
      </c>
      <c r="B6770" s="14">
        <f t="shared" si="1"/>
        <v>0.124054313</v>
      </c>
      <c r="C6770" s="39">
        <f t="array" ref="C6770">NPV(B6770,FCFF!$C$9:$I$9)+FCFF!$B$9+FCFF!$I$9*(1+Inputs!$B$6)/(B6770-Inputs!$B$6)/(1+B6770)^7</f>
        <v>-1886.966625</v>
      </c>
    </row>
    <row r="6771" ht="14.25" customHeight="1">
      <c r="A6771" s="7">
        <v>6758.0</v>
      </c>
      <c r="B6771" s="14">
        <f t="shared" si="1"/>
        <v>0.104181708</v>
      </c>
      <c r="C6771" s="39">
        <f t="array" ref="C6771">NPV(B6771,FCFF!$C$9:$I$9)+FCFF!$B$9+FCFF!$I$9*(1+Inputs!$B$6)/(B6771-Inputs!$B$6)/(1+B6771)^7</f>
        <v>-1495.351684</v>
      </c>
    </row>
    <row r="6772" ht="14.25" customHeight="1">
      <c r="A6772" s="7">
        <v>6759.0</v>
      </c>
      <c r="B6772" s="14">
        <f t="shared" si="1"/>
        <v>0.1000358167</v>
      </c>
      <c r="C6772" s="39">
        <f t="array" ref="C6772">NPV(B6772,FCFF!$C$9:$I$9)+FCFF!$B$9+FCFF!$I$9*(1+Inputs!$B$6)/(B6772-Inputs!$B$6)/(1+B6772)^7</f>
        <v>-1384.706258</v>
      </c>
    </row>
    <row r="6773" ht="14.25" customHeight="1">
      <c r="A6773" s="7">
        <v>6760.0</v>
      </c>
      <c r="B6773" s="14">
        <f t="shared" si="1"/>
        <v>0.09847427868</v>
      </c>
      <c r="C6773" s="39">
        <f t="array" ref="C6773">NPV(B6773,FCFF!$C$9:$I$9)+FCFF!$B$9+FCFF!$I$9*(1+Inputs!$B$6)/(B6773-Inputs!$B$6)/(1+B6773)^7</f>
        <v>-1339.526863</v>
      </c>
    </row>
    <row r="6774" ht="14.25" customHeight="1">
      <c r="A6774" s="7">
        <v>6761.0</v>
      </c>
      <c r="B6774" s="14">
        <f t="shared" si="1"/>
        <v>0.0965778122</v>
      </c>
      <c r="C6774" s="39">
        <f t="array" ref="C6774">NPV(B6774,FCFF!$C$9:$I$9)+FCFF!$B$9+FCFF!$I$9*(1+Inputs!$B$6)/(B6774-Inputs!$B$6)/(1+B6774)^7</f>
        <v>-1281.801002</v>
      </c>
    </row>
    <row r="6775" ht="14.25" customHeight="1">
      <c r="A6775" s="7">
        <v>6762.0</v>
      </c>
      <c r="B6775" s="14">
        <f t="shared" si="1"/>
        <v>0.102972694</v>
      </c>
      <c r="C6775" s="39">
        <f t="array" ref="C6775">NPV(B6775,FCFF!$C$9:$I$9)+FCFF!$B$9+FCFF!$I$9*(1+Inputs!$B$6)/(B6775-Inputs!$B$6)/(1+B6775)^7</f>
        <v>-1464.400585</v>
      </c>
    </row>
    <row r="6776" ht="14.25" customHeight="1">
      <c r="A6776" s="7">
        <v>6763.0</v>
      </c>
      <c r="B6776" s="14">
        <f t="shared" si="1"/>
        <v>0.1321875591</v>
      </c>
      <c r="C6776" s="39">
        <f t="array" ref="C6776">NPV(B6776,FCFF!$C$9:$I$9)+FCFF!$B$9+FCFF!$I$9*(1+Inputs!$B$6)/(B6776-Inputs!$B$6)/(1+B6776)^7</f>
        <v>-2001.152997</v>
      </c>
    </row>
    <row r="6777" ht="14.25" customHeight="1">
      <c r="A6777" s="7">
        <v>6764.0</v>
      </c>
      <c r="B6777" s="14">
        <f t="shared" si="1"/>
        <v>0.09888758882</v>
      </c>
      <c r="C6777" s="39">
        <f t="array" ref="C6777">NPV(B6777,FCFF!$C$9:$I$9)+FCFF!$B$9+FCFF!$I$9*(1+Inputs!$B$6)/(B6777-Inputs!$B$6)/(1+B6777)^7</f>
        <v>-1351.685171</v>
      </c>
    </row>
    <row r="6778" ht="14.25" customHeight="1">
      <c r="A6778" s="7">
        <v>6765.0</v>
      </c>
      <c r="B6778" s="14">
        <f t="shared" si="1"/>
        <v>0.09423920721</v>
      </c>
      <c r="C6778" s="39">
        <f t="array" ref="C6778">NPV(B6778,FCFF!$C$9:$I$9)+FCFF!$B$9+FCFF!$I$9*(1+Inputs!$B$6)/(B6778-Inputs!$B$6)/(1+B6778)^7</f>
        <v>-1205.938947</v>
      </c>
    </row>
    <row r="6779" ht="14.25" customHeight="1">
      <c r="A6779" s="7">
        <v>6766.0</v>
      </c>
      <c r="B6779" s="14">
        <f t="shared" si="1"/>
        <v>0.1231904835</v>
      </c>
      <c r="C6779" s="39">
        <f t="array" ref="C6779">NPV(B6779,FCFF!$C$9:$I$9)+FCFF!$B$9+FCFF!$I$9*(1+Inputs!$B$6)/(B6779-Inputs!$B$6)/(1+B6779)^7</f>
        <v>-1873.576283</v>
      </c>
    </row>
    <row r="6780" ht="14.25" customHeight="1">
      <c r="A6780" s="7">
        <v>6767.0</v>
      </c>
      <c r="B6780" s="14">
        <f t="shared" si="1"/>
        <v>0.09817226315</v>
      </c>
      <c r="C6780" s="39">
        <f t="array" ref="C6780">NPV(B6780,FCFF!$C$9:$I$9)+FCFF!$B$9+FCFF!$I$9*(1+Inputs!$B$6)/(B6780-Inputs!$B$6)/(1+B6780)^7</f>
        <v>-1330.549037</v>
      </c>
    </row>
    <row r="6781" ht="14.25" customHeight="1">
      <c r="A6781" s="7">
        <v>6768.0</v>
      </c>
      <c r="B6781" s="14">
        <f t="shared" si="1"/>
        <v>0.1318363961</v>
      </c>
      <c r="C6781" s="39">
        <f t="array" ref="C6781">NPV(B6781,FCFF!$C$9:$I$9)+FCFF!$B$9+FCFF!$I$9*(1+Inputs!$B$6)/(B6781-Inputs!$B$6)/(1+B6781)^7</f>
        <v>-1996.630127</v>
      </c>
    </row>
    <row r="6782" ht="14.25" customHeight="1">
      <c r="A6782" s="7">
        <v>6769.0</v>
      </c>
      <c r="B6782" s="14">
        <f t="shared" si="1"/>
        <v>0.101925328</v>
      </c>
      <c r="C6782" s="39">
        <f t="array" ref="C6782">NPV(B6782,FCFF!$C$9:$I$9)+FCFF!$B$9+FCFF!$I$9*(1+Inputs!$B$6)/(B6782-Inputs!$B$6)/(1+B6782)^7</f>
        <v>-1436.734214</v>
      </c>
    </row>
    <row r="6783" ht="14.25" customHeight="1">
      <c r="A6783" s="7">
        <v>6770.0</v>
      </c>
      <c r="B6783" s="14">
        <f t="shared" si="1"/>
        <v>0.1137046961</v>
      </c>
      <c r="C6783" s="39">
        <f t="array" ref="C6783">NPV(B6783,FCFF!$C$9:$I$9)+FCFF!$B$9+FCFF!$I$9*(1+Inputs!$B$6)/(B6783-Inputs!$B$6)/(1+B6783)^7</f>
        <v>-1707.189053</v>
      </c>
    </row>
    <row r="6784" ht="14.25" customHeight="1">
      <c r="A6784" s="7">
        <v>6771.0</v>
      </c>
      <c r="B6784" s="14">
        <f t="shared" si="1"/>
        <v>0.1232393317</v>
      </c>
      <c r="C6784" s="39">
        <f t="array" ref="C6784">NPV(B6784,FCFF!$C$9:$I$9)+FCFF!$B$9+FCFF!$I$9*(1+Inputs!$B$6)/(B6784-Inputs!$B$6)/(1+B6784)^7</f>
        <v>-1874.340555</v>
      </c>
    </row>
    <row r="6785" ht="14.25" customHeight="1">
      <c r="A6785" s="7">
        <v>6772.0</v>
      </c>
      <c r="B6785" s="14">
        <f t="shared" si="1"/>
        <v>0.1205310829</v>
      </c>
      <c r="C6785" s="39">
        <f t="array" ref="C6785">NPV(B6785,FCFF!$C$9:$I$9)+FCFF!$B$9+FCFF!$I$9*(1+Inputs!$B$6)/(B6785-Inputs!$B$6)/(1+B6785)^7</f>
        <v>-1830.640511</v>
      </c>
    </row>
    <row r="6786" ht="14.25" customHeight="1">
      <c r="A6786" s="7">
        <v>6773.0</v>
      </c>
      <c r="B6786" s="14">
        <f t="shared" si="1"/>
        <v>0.1120417128</v>
      </c>
      <c r="C6786" s="39">
        <f t="array" ref="C6786">NPV(B6786,FCFF!$C$9:$I$9)+FCFF!$B$9+FCFF!$I$9*(1+Inputs!$B$6)/(B6786-Inputs!$B$6)/(1+B6786)^7</f>
        <v>-1673.851768</v>
      </c>
    </row>
    <row r="6787" ht="14.25" customHeight="1">
      <c r="A6787" s="7">
        <v>6774.0</v>
      </c>
      <c r="B6787" s="14">
        <f t="shared" si="1"/>
        <v>0.09628546523</v>
      </c>
      <c r="C6787" s="39">
        <f t="array" ref="C6787">NPV(B6787,FCFF!$C$9:$I$9)+FCFF!$B$9+FCFF!$I$9*(1+Inputs!$B$6)/(B6787-Inputs!$B$6)/(1+B6787)^7</f>
        <v>-1272.608868</v>
      </c>
    </row>
    <row r="6788" ht="14.25" customHeight="1">
      <c r="A6788" s="7">
        <v>6775.0</v>
      </c>
      <c r="B6788" s="14">
        <f t="shared" si="1"/>
        <v>0.1049271882</v>
      </c>
      <c r="C6788" s="39">
        <f t="array" ref="C6788">NPV(B6788,FCFF!$C$9:$I$9)+FCFF!$B$9+FCFF!$I$9*(1+Inputs!$B$6)/(B6788-Inputs!$B$6)/(1+B6788)^7</f>
        <v>-1513.92996</v>
      </c>
    </row>
    <row r="6789" ht="14.25" customHeight="1">
      <c r="A6789" s="7">
        <v>6776.0</v>
      </c>
      <c r="B6789" s="14">
        <f t="shared" si="1"/>
        <v>0.1227227917</v>
      </c>
      <c r="C6789" s="39">
        <f t="array" ref="C6789">NPV(B6789,FCFF!$C$9:$I$9)+FCFF!$B$9+FCFF!$I$9*(1+Inputs!$B$6)/(B6789-Inputs!$B$6)/(1+B6789)^7</f>
        <v>-1866.215343</v>
      </c>
    </row>
    <row r="6790" ht="14.25" customHeight="1">
      <c r="A6790" s="7">
        <v>6777.0</v>
      </c>
      <c r="B6790" s="14">
        <f t="shared" si="1"/>
        <v>0.09928987067</v>
      </c>
      <c r="C6790" s="39">
        <f t="array" ref="C6790">NPV(B6790,FCFF!$C$9:$I$9)+FCFF!$B$9+FCFF!$I$9*(1+Inputs!$B$6)/(B6790-Inputs!$B$6)/(1+B6790)^7</f>
        <v>-1363.379275</v>
      </c>
    </row>
    <row r="6791" ht="14.25" customHeight="1">
      <c r="A6791" s="7">
        <v>6778.0</v>
      </c>
      <c r="B6791" s="14">
        <f t="shared" si="1"/>
        <v>0.104516758</v>
      </c>
      <c r="C6791" s="39">
        <f t="array" ref="C6791">NPV(B6791,FCFF!$C$9:$I$9)+FCFF!$B$9+FCFF!$I$9*(1+Inputs!$B$6)/(B6791-Inputs!$B$6)/(1+B6791)^7</f>
        <v>-1503.748379</v>
      </c>
    </row>
    <row r="6792" ht="14.25" customHeight="1">
      <c r="A6792" s="7">
        <v>6779.0</v>
      </c>
      <c r="B6792" s="14">
        <f t="shared" si="1"/>
        <v>0.09456824209</v>
      </c>
      <c r="C6792" s="39">
        <f t="array" ref="C6792">NPV(B6792,FCFF!$C$9:$I$9)+FCFF!$B$9+FCFF!$I$9*(1+Inputs!$B$6)/(B6792-Inputs!$B$6)/(1+B6792)^7</f>
        <v>-1216.942531</v>
      </c>
    </row>
    <row r="6793" ht="14.25" customHeight="1">
      <c r="A6793" s="7">
        <v>6780.0</v>
      </c>
      <c r="B6793" s="14">
        <f t="shared" si="1"/>
        <v>0.1189251608</v>
      </c>
      <c r="C6793" s="39">
        <f t="array" ref="C6793">NPV(B6793,FCFF!$C$9:$I$9)+FCFF!$B$9+FCFF!$I$9*(1+Inputs!$B$6)/(B6793-Inputs!$B$6)/(1+B6793)^7</f>
        <v>-1803.391743</v>
      </c>
    </row>
    <row r="6794" ht="14.25" customHeight="1">
      <c r="A6794" s="7">
        <v>6781.0</v>
      </c>
      <c r="B6794" s="14">
        <f t="shared" si="1"/>
        <v>0.1290967794</v>
      </c>
      <c r="C6794" s="39">
        <f t="array" ref="C6794">NPV(B6794,FCFF!$C$9:$I$9)+FCFF!$B$9+FCFF!$I$9*(1+Inputs!$B$6)/(B6794-Inputs!$B$6)/(1+B6794)^7</f>
        <v>-1960.145344</v>
      </c>
    </row>
    <row r="6795" ht="14.25" customHeight="1">
      <c r="A6795" s="7">
        <v>6782.0</v>
      </c>
      <c r="B6795" s="14">
        <f t="shared" si="1"/>
        <v>0.1059008109</v>
      </c>
      <c r="C6795" s="39">
        <f t="array" ref="C6795">NPV(B6795,FCFF!$C$9:$I$9)+FCFF!$B$9+FCFF!$I$9*(1+Inputs!$B$6)/(B6795-Inputs!$B$6)/(1+B6795)^7</f>
        <v>-1537.633595</v>
      </c>
    </row>
    <row r="6796" ht="14.25" customHeight="1">
      <c r="A6796" s="7">
        <v>6783.0</v>
      </c>
      <c r="B6796" s="14">
        <f t="shared" si="1"/>
        <v>0.1230985408</v>
      </c>
      <c r="C6796" s="39">
        <f t="array" ref="C6796">NPV(B6796,FCFF!$C$9:$I$9)+FCFF!$B$9+FCFF!$I$9*(1+Inputs!$B$6)/(B6796-Inputs!$B$6)/(1+B6796)^7</f>
        <v>-1872.135438</v>
      </c>
    </row>
    <row r="6797" ht="14.25" customHeight="1">
      <c r="A6797" s="7">
        <v>6784.0</v>
      </c>
      <c r="B6797" s="14">
        <f t="shared" si="1"/>
        <v>0.1126485835</v>
      </c>
      <c r="C6797" s="39">
        <f t="array" ref="C6797">NPV(B6797,FCFF!$C$9:$I$9)+FCFF!$B$9+FCFF!$I$9*(1+Inputs!$B$6)/(B6797-Inputs!$B$6)/(1+B6797)^7</f>
        <v>-1686.179195</v>
      </c>
    </row>
    <row r="6798" ht="14.25" customHeight="1">
      <c r="A6798" s="7">
        <v>6785.0</v>
      </c>
      <c r="B6798" s="14">
        <f t="shared" si="1"/>
        <v>0.09940974361</v>
      </c>
      <c r="C6798" s="39">
        <f t="array" ref="C6798">NPV(B6798,FCFF!$C$9:$I$9)+FCFF!$B$9+FCFF!$I$9*(1+Inputs!$B$6)/(B6798-Inputs!$B$6)/(1+B6798)^7</f>
        <v>-1366.837585</v>
      </c>
    </row>
    <row r="6799" ht="14.25" customHeight="1">
      <c r="A6799" s="7">
        <v>6786.0</v>
      </c>
      <c r="B6799" s="14">
        <f t="shared" si="1"/>
        <v>0.122657818</v>
      </c>
      <c r="C6799" s="39">
        <f t="array" ref="C6799">NPV(B6799,FCFF!$C$9:$I$9)+FCFF!$B$9+FCFF!$I$9*(1+Inputs!$B$6)/(B6799-Inputs!$B$6)/(1+B6799)^7</f>
        <v>-1865.18646</v>
      </c>
    </row>
    <row r="6800" ht="14.25" customHeight="1">
      <c r="A6800" s="7">
        <v>6787.0</v>
      </c>
      <c r="B6800" s="14">
        <f t="shared" si="1"/>
        <v>0.1097329149</v>
      </c>
      <c r="C6800" s="39">
        <f t="array" ref="C6800">NPV(B6800,FCFF!$C$9:$I$9)+FCFF!$B$9+FCFF!$I$9*(1+Inputs!$B$6)/(B6800-Inputs!$B$6)/(1+B6800)^7</f>
        <v>-1625.173897</v>
      </c>
    </row>
    <row r="6801" ht="14.25" customHeight="1">
      <c r="A6801" s="7">
        <v>6788.0</v>
      </c>
      <c r="B6801" s="14">
        <f t="shared" si="1"/>
        <v>0.1071550393</v>
      </c>
      <c r="C6801" s="39">
        <f t="array" ref="C6801">NPV(B6801,FCFF!$C$9:$I$9)+FCFF!$B$9+FCFF!$I$9*(1+Inputs!$B$6)/(B6801-Inputs!$B$6)/(1+B6801)^7</f>
        <v>-1567.267796</v>
      </c>
    </row>
    <row r="6802" ht="14.25" customHeight="1">
      <c r="A6802" s="7">
        <v>6789.0</v>
      </c>
      <c r="B6802" s="14">
        <f t="shared" si="1"/>
        <v>0.1298275651</v>
      </c>
      <c r="C6802" s="39">
        <f t="array" ref="C6802">NPV(B6802,FCFF!$C$9:$I$9)+FCFF!$B$9+FCFF!$I$9*(1+Inputs!$B$6)/(B6802-Inputs!$B$6)/(1+B6802)^7</f>
        <v>-1970.090299</v>
      </c>
    </row>
    <row r="6803" ht="14.25" customHeight="1">
      <c r="A6803" s="7">
        <v>6790.0</v>
      </c>
      <c r="B6803" s="14">
        <f t="shared" si="1"/>
        <v>0.1037953409</v>
      </c>
      <c r="C6803" s="39">
        <f t="array" ref="C6803">NPV(B6803,FCFF!$C$9:$I$9)+FCFF!$B$9+FCFF!$I$9*(1+Inputs!$B$6)/(B6803-Inputs!$B$6)/(1+B6803)^7</f>
        <v>-1485.572615</v>
      </c>
    </row>
    <row r="6804" ht="14.25" customHeight="1">
      <c r="A6804" s="7">
        <v>6791.0</v>
      </c>
      <c r="B6804" s="14">
        <f t="shared" si="1"/>
        <v>0.1044492073</v>
      </c>
      <c r="C6804" s="39">
        <f t="array" ref="C6804">NPV(B6804,FCFF!$C$9:$I$9)+FCFF!$B$9+FCFF!$I$9*(1+Inputs!$B$6)/(B6804-Inputs!$B$6)/(1+B6804)^7</f>
        <v>-1502.061681</v>
      </c>
    </row>
    <row r="6805" ht="14.25" customHeight="1">
      <c r="A6805" s="7">
        <v>6792.0</v>
      </c>
      <c r="B6805" s="14">
        <f t="shared" si="1"/>
        <v>0.1234368733</v>
      </c>
      <c r="C6805" s="39">
        <f t="array" ref="C6805">NPV(B6805,FCFF!$C$9:$I$9)+FCFF!$B$9+FCFF!$I$9*(1+Inputs!$B$6)/(B6805-Inputs!$B$6)/(1+B6805)^7</f>
        <v>-1877.422567</v>
      </c>
    </row>
    <row r="6806" ht="14.25" customHeight="1">
      <c r="A6806" s="7">
        <v>6793.0</v>
      </c>
      <c r="B6806" s="14">
        <f t="shared" si="1"/>
        <v>0.1325467851</v>
      </c>
      <c r="C6806" s="39">
        <f t="array" ref="C6806">NPV(B6806,FCFF!$C$9:$I$9)+FCFF!$B$9+FCFF!$I$9*(1+Inputs!$B$6)/(B6806-Inputs!$B$6)/(1+B6806)^7</f>
        <v>-2005.744757</v>
      </c>
    </row>
    <row r="6807" ht="14.25" customHeight="1">
      <c r="A6807" s="7">
        <v>6794.0</v>
      </c>
      <c r="B6807" s="14">
        <f t="shared" si="1"/>
        <v>0.09434222432</v>
      </c>
      <c r="C6807" s="39">
        <f t="array" ref="C6807">NPV(B6807,FCFF!$C$9:$I$9)+FCFF!$B$9+FCFF!$I$9*(1+Inputs!$B$6)/(B6807-Inputs!$B$6)/(1+B6807)^7</f>
        <v>-1209.396043</v>
      </c>
    </row>
    <row r="6808" ht="14.25" customHeight="1">
      <c r="A6808" s="7">
        <v>6795.0</v>
      </c>
      <c r="B6808" s="14">
        <f t="shared" si="1"/>
        <v>0.1138580171</v>
      </c>
      <c r="C6808" s="39">
        <f t="array" ref="C6808">NPV(B6808,FCFF!$C$9:$I$9)+FCFF!$B$9+FCFF!$I$9*(1+Inputs!$B$6)/(B6808-Inputs!$B$6)/(1+B6808)^7</f>
        <v>-1710.19335</v>
      </c>
    </row>
    <row r="6809" ht="14.25" customHeight="1">
      <c r="A6809" s="7">
        <v>6796.0</v>
      </c>
      <c r="B6809" s="14">
        <f t="shared" si="1"/>
        <v>0.1005682041</v>
      </c>
      <c r="C6809" s="39">
        <f t="array" ref="C6809">NPV(B6809,FCFF!$C$9:$I$9)+FCFF!$B$9+FCFF!$I$9*(1+Inputs!$B$6)/(B6809-Inputs!$B$6)/(1+B6809)^7</f>
        <v>-1399.650006</v>
      </c>
    </row>
    <row r="6810" ht="14.25" customHeight="1">
      <c r="A6810" s="7">
        <v>6797.0</v>
      </c>
      <c r="B6810" s="14">
        <f t="shared" si="1"/>
        <v>0.1063595676</v>
      </c>
      <c r="C6810" s="39">
        <f t="array" ref="C6810">NPV(B6810,FCFF!$C$9:$I$9)+FCFF!$B$9+FCFF!$I$9*(1+Inputs!$B$6)/(B6810-Inputs!$B$6)/(1+B6810)^7</f>
        <v>-1548.588414</v>
      </c>
    </row>
    <row r="6811" ht="14.25" customHeight="1">
      <c r="A6811" s="7">
        <v>6798.0</v>
      </c>
      <c r="B6811" s="14">
        <f t="shared" si="1"/>
        <v>0.0972120854</v>
      </c>
      <c r="C6811" s="39">
        <f t="array" ref="C6811">NPV(B6811,FCFF!$C$9:$I$9)+FCFF!$B$9+FCFF!$I$9*(1+Inputs!$B$6)/(B6811-Inputs!$B$6)/(1+B6811)^7</f>
        <v>-1301.469847</v>
      </c>
    </row>
    <row r="6812" ht="14.25" customHeight="1">
      <c r="A6812" s="7">
        <v>6799.0</v>
      </c>
      <c r="B6812" s="14">
        <f t="shared" si="1"/>
        <v>0.1049171642</v>
      </c>
      <c r="C6812" s="39">
        <f t="array" ref="C6812">NPV(B6812,FCFF!$C$9:$I$9)+FCFF!$B$9+FCFF!$I$9*(1+Inputs!$B$6)/(B6812-Inputs!$B$6)/(1+B6812)^7</f>
        <v>-1513.682648</v>
      </c>
    </row>
    <row r="6813" ht="14.25" customHeight="1">
      <c r="A6813" s="7">
        <v>6800.0</v>
      </c>
      <c r="B6813" s="14">
        <f t="shared" si="1"/>
        <v>0.1122729496</v>
      </c>
      <c r="C6813" s="39">
        <f t="array" ref="C6813">NPV(B6813,FCFF!$C$9:$I$9)+FCFF!$B$9+FCFF!$I$9*(1+Inputs!$B$6)/(B6813-Inputs!$B$6)/(1+B6813)^7</f>
        <v>-1678.571183</v>
      </c>
    </row>
    <row r="6814" ht="14.25" customHeight="1">
      <c r="A6814" s="7">
        <v>6801.0</v>
      </c>
      <c r="B6814" s="14">
        <f t="shared" si="1"/>
        <v>0.1079476153</v>
      </c>
      <c r="C6814" s="39">
        <f t="array" ref="C6814">NPV(B6814,FCFF!$C$9:$I$9)+FCFF!$B$9+FCFF!$I$9*(1+Inputs!$B$6)/(B6814-Inputs!$B$6)/(1+B6814)^7</f>
        <v>-1585.49052</v>
      </c>
    </row>
    <row r="6815" ht="14.25" customHeight="1">
      <c r="A6815" s="7">
        <v>6802.0</v>
      </c>
      <c r="B6815" s="14">
        <f t="shared" si="1"/>
        <v>0.128981798</v>
      </c>
      <c r="C6815" s="39">
        <f t="array" ref="C6815">NPV(B6815,FCFF!$C$9:$I$9)+FCFF!$B$9+FCFF!$I$9*(1+Inputs!$B$6)/(B6815-Inputs!$B$6)/(1+B6815)^7</f>
        <v>-1958.566124</v>
      </c>
    </row>
    <row r="6816" ht="14.25" customHeight="1">
      <c r="A6816" s="7">
        <v>6803.0</v>
      </c>
      <c r="B6816" s="14">
        <f t="shared" si="1"/>
        <v>0.1120829412</v>
      </c>
      <c r="C6816" s="39">
        <f t="array" ref="C6816">NPV(B6816,FCFF!$C$9:$I$9)+FCFF!$B$9+FCFF!$I$9*(1+Inputs!$B$6)/(B6816-Inputs!$B$6)/(1+B6816)^7</f>
        <v>-1674.695241</v>
      </c>
    </row>
    <row r="6817" ht="14.25" customHeight="1">
      <c r="A6817" s="7">
        <v>6804.0</v>
      </c>
      <c r="B6817" s="14">
        <f t="shared" si="1"/>
        <v>0.1224987847</v>
      </c>
      <c r="C6817" s="39">
        <f t="array" ref="C6817">NPV(B6817,FCFF!$C$9:$I$9)+FCFF!$B$9+FCFF!$I$9*(1+Inputs!$B$6)/(B6817-Inputs!$B$6)/(1+B6817)^7</f>
        <v>-1862.66161</v>
      </c>
    </row>
    <row r="6818" ht="14.25" customHeight="1">
      <c r="A6818" s="7">
        <v>6805.0</v>
      </c>
      <c r="B6818" s="14">
        <f t="shared" si="1"/>
        <v>0.1139743051</v>
      </c>
      <c r="C6818" s="39">
        <f t="array" ref="C6818">NPV(B6818,FCFF!$C$9:$I$9)+FCFF!$B$9+FCFF!$I$9*(1+Inputs!$B$6)/(B6818-Inputs!$B$6)/(1+B6818)^7</f>
        <v>-1712.464363</v>
      </c>
    </row>
    <row r="6819" ht="14.25" customHeight="1">
      <c r="A6819" s="7">
        <v>6806.0</v>
      </c>
      <c r="B6819" s="14">
        <f t="shared" si="1"/>
        <v>0.1329406715</v>
      </c>
      <c r="C6819" s="39">
        <f t="array" ref="C6819">NPV(B6819,FCFF!$C$9:$I$9)+FCFF!$B$9+FCFF!$I$9*(1+Inputs!$B$6)/(B6819-Inputs!$B$6)/(1+B6819)^7</f>
        <v>-2010.739348</v>
      </c>
    </row>
    <row r="6820" ht="14.25" customHeight="1">
      <c r="A6820" s="7">
        <v>6807.0</v>
      </c>
      <c r="B6820" s="14">
        <f t="shared" si="1"/>
        <v>0.1308729895</v>
      </c>
      <c r="C6820" s="39">
        <f t="array" ref="C6820">NPV(B6820,FCFF!$C$9:$I$9)+FCFF!$B$9+FCFF!$I$9*(1+Inputs!$B$6)/(B6820-Inputs!$B$6)/(1+B6820)^7</f>
        <v>-1984.045448</v>
      </c>
    </row>
    <row r="6821" ht="14.25" customHeight="1">
      <c r="A6821" s="7">
        <v>6808.0</v>
      </c>
      <c r="B6821" s="14">
        <f t="shared" si="1"/>
        <v>0.1279816434</v>
      </c>
      <c r="C6821" s="39">
        <f t="array" ref="C6821">NPV(B6821,FCFF!$C$9:$I$9)+FCFF!$B$9+FCFF!$I$9*(1+Inputs!$B$6)/(B6821-Inputs!$B$6)/(1+B6821)^7</f>
        <v>-1944.660207</v>
      </c>
    </row>
    <row r="6822" ht="14.25" customHeight="1">
      <c r="A6822" s="7">
        <v>6809.0</v>
      </c>
      <c r="B6822" s="14">
        <f t="shared" si="1"/>
        <v>0.1329850638</v>
      </c>
      <c r="C6822" s="39">
        <f t="array" ref="C6822">NPV(B6822,FCFF!$C$9:$I$9)+FCFF!$B$9+FCFF!$I$9*(1+Inputs!$B$6)/(B6822-Inputs!$B$6)/(1+B6822)^7</f>
        <v>-2011.299637</v>
      </c>
    </row>
    <row r="6823" ht="14.25" customHeight="1">
      <c r="A6823" s="7">
        <v>6810.0</v>
      </c>
      <c r="B6823" s="14">
        <f t="shared" si="1"/>
        <v>0.1110863532</v>
      </c>
      <c r="C6823" s="39">
        <f t="array" ref="C6823">NPV(B6823,FCFF!$C$9:$I$9)+FCFF!$B$9+FCFF!$I$9*(1+Inputs!$B$6)/(B6823-Inputs!$B$6)/(1+B6823)^7</f>
        <v>-1654.057315</v>
      </c>
    </row>
    <row r="6824" ht="14.25" customHeight="1">
      <c r="A6824" s="7">
        <v>6811.0</v>
      </c>
      <c r="B6824" s="14">
        <f t="shared" si="1"/>
        <v>0.1044484669</v>
      </c>
      <c r="C6824" s="39">
        <f t="array" ref="C6824">NPV(B6824,FCFF!$C$9:$I$9)+FCFF!$B$9+FCFF!$I$9*(1+Inputs!$B$6)/(B6824-Inputs!$B$6)/(1+B6824)^7</f>
        <v>-1502.043177</v>
      </c>
    </row>
    <row r="6825" ht="14.25" customHeight="1">
      <c r="A6825" s="7">
        <v>6812.0</v>
      </c>
      <c r="B6825" s="14">
        <f t="shared" si="1"/>
        <v>0.1172306995</v>
      </c>
      <c r="C6825" s="39">
        <f t="array" ref="C6825">NPV(B6825,FCFF!$C$9:$I$9)+FCFF!$B$9+FCFF!$I$9*(1+Inputs!$B$6)/(B6825-Inputs!$B$6)/(1+B6825)^7</f>
        <v>-1773.490876</v>
      </c>
    </row>
    <row r="6826" ht="14.25" customHeight="1">
      <c r="A6826" s="7">
        <v>6813.0</v>
      </c>
      <c r="B6826" s="14">
        <f t="shared" si="1"/>
        <v>0.1178837993</v>
      </c>
      <c r="C6826" s="39">
        <f t="array" ref="C6826">NPV(B6826,FCFF!$C$9:$I$9)+FCFF!$B$9+FCFF!$I$9*(1+Inputs!$B$6)/(B6826-Inputs!$B$6)/(1+B6826)^7</f>
        <v>-1785.159521</v>
      </c>
    </row>
    <row r="6827" ht="14.25" customHeight="1">
      <c r="A6827" s="7">
        <v>6814.0</v>
      </c>
      <c r="B6827" s="14">
        <f t="shared" si="1"/>
        <v>0.1113137935</v>
      </c>
      <c r="C6827" s="39">
        <f t="array" ref="C6827">NPV(B6827,FCFF!$C$9:$I$9)+FCFF!$B$9+FCFF!$I$9*(1+Inputs!$B$6)/(B6827-Inputs!$B$6)/(1+B6827)^7</f>
        <v>-1658.813466</v>
      </c>
    </row>
    <row r="6828" ht="14.25" customHeight="1">
      <c r="A6828" s="7">
        <v>6815.0</v>
      </c>
      <c r="B6828" s="14">
        <f t="shared" si="1"/>
        <v>0.1197059956</v>
      </c>
      <c r="C6828" s="39">
        <f t="array" ref="C6828">NPV(B6828,FCFF!$C$9:$I$9)+FCFF!$B$9+FCFF!$I$9*(1+Inputs!$B$6)/(B6828-Inputs!$B$6)/(1+B6828)^7</f>
        <v>-1816.769631</v>
      </c>
    </row>
    <row r="6829" ht="14.25" customHeight="1">
      <c r="A6829" s="7">
        <v>6816.0</v>
      </c>
      <c r="B6829" s="14">
        <f t="shared" si="1"/>
        <v>0.09305907196</v>
      </c>
      <c r="C6829" s="39">
        <f t="array" ref="C6829">NPV(B6829,FCFF!$C$9:$I$9)+FCFF!$B$9+FCFF!$I$9*(1+Inputs!$B$6)/(B6829-Inputs!$B$6)/(1+B6829)^7</f>
        <v>-1165.537592</v>
      </c>
    </row>
    <row r="6830" ht="14.25" customHeight="1">
      <c r="A6830" s="7">
        <v>6817.0</v>
      </c>
      <c r="B6830" s="14">
        <f t="shared" si="1"/>
        <v>0.1077610225</v>
      </c>
      <c r="C6830" s="39">
        <f t="array" ref="C6830">NPV(B6830,FCFF!$C$9:$I$9)+FCFF!$B$9+FCFF!$I$9*(1+Inputs!$B$6)/(B6830-Inputs!$B$6)/(1+B6830)^7</f>
        <v>-1581.234739</v>
      </c>
    </row>
    <row r="6831" ht="14.25" customHeight="1">
      <c r="A6831" s="7">
        <v>6818.0</v>
      </c>
      <c r="B6831" s="14">
        <f t="shared" si="1"/>
        <v>0.1168639239</v>
      </c>
      <c r="C6831" s="39">
        <f t="array" ref="C6831">NPV(B6831,FCFF!$C$9:$I$9)+FCFF!$B$9+FCFF!$I$9*(1+Inputs!$B$6)/(B6831-Inputs!$B$6)/(1+B6831)^7</f>
        <v>-1766.856914</v>
      </c>
    </row>
    <row r="6832" ht="14.25" customHeight="1">
      <c r="A6832" s="7">
        <v>6819.0</v>
      </c>
      <c r="B6832" s="14">
        <f t="shared" si="1"/>
        <v>0.1255026666</v>
      </c>
      <c r="C6832" s="39">
        <f t="array" ref="C6832">NPV(B6832,FCFF!$C$9:$I$9)+FCFF!$B$9+FCFF!$I$9*(1+Inputs!$B$6)/(B6832-Inputs!$B$6)/(1+B6832)^7</f>
        <v>-1908.83672</v>
      </c>
    </row>
    <row r="6833" ht="14.25" customHeight="1">
      <c r="A6833" s="7">
        <v>6820.0</v>
      </c>
      <c r="B6833" s="14">
        <f t="shared" si="1"/>
        <v>0.09973081122</v>
      </c>
      <c r="C6833" s="39">
        <f t="array" ref="C6833">NPV(B6833,FCFF!$C$9:$I$9)+FCFF!$B$9+FCFF!$I$9*(1+Inputs!$B$6)/(B6833-Inputs!$B$6)/(1+B6833)^7</f>
        <v>-1376.041448</v>
      </c>
    </row>
    <row r="6834" ht="14.25" customHeight="1">
      <c r="A6834" s="7">
        <v>6821.0</v>
      </c>
      <c r="B6834" s="14">
        <f t="shared" si="1"/>
        <v>0.1121071114</v>
      </c>
      <c r="C6834" s="39">
        <f t="array" ref="C6834">NPV(B6834,FCFF!$C$9:$I$9)+FCFF!$B$9+FCFF!$I$9*(1+Inputs!$B$6)/(B6834-Inputs!$B$6)/(1+B6834)^7</f>
        <v>-1675.189317</v>
      </c>
    </row>
    <row r="6835" ht="14.25" customHeight="1">
      <c r="A6835" s="7">
        <v>6822.0</v>
      </c>
      <c r="B6835" s="14">
        <f t="shared" si="1"/>
        <v>0.1121690087</v>
      </c>
      <c r="C6835" s="39">
        <f t="array" ref="C6835">NPV(B6835,FCFF!$C$9:$I$9)+FCFF!$B$9+FCFF!$I$9*(1+Inputs!$B$6)/(B6835-Inputs!$B$6)/(1+B6835)^7</f>
        <v>-1676.45322</v>
      </c>
    </row>
    <row r="6836" ht="14.25" customHeight="1">
      <c r="A6836" s="7">
        <v>6823.0</v>
      </c>
      <c r="B6836" s="14">
        <f t="shared" si="1"/>
        <v>0.1080202185</v>
      </c>
      <c r="C6836" s="39">
        <f t="array" ref="C6836">NPV(B6836,FCFF!$C$9:$I$9)+FCFF!$B$9+FCFF!$I$9*(1+Inputs!$B$6)/(B6836-Inputs!$B$6)/(1+B6836)^7</f>
        <v>-1587.140793</v>
      </c>
    </row>
    <row r="6837" ht="14.25" customHeight="1">
      <c r="A6837" s="7">
        <v>6824.0</v>
      </c>
      <c r="B6837" s="14">
        <f t="shared" si="1"/>
        <v>0.1259900295</v>
      </c>
      <c r="C6837" s="39">
        <f t="array" ref="C6837">NPV(B6837,FCFF!$C$9:$I$9)+FCFF!$B$9+FCFF!$I$9*(1+Inputs!$B$6)/(B6837-Inputs!$B$6)/(1+B6837)^7</f>
        <v>-1916.036833</v>
      </c>
    </row>
    <row r="6838" ht="14.25" customHeight="1">
      <c r="A6838" s="7">
        <v>6825.0</v>
      </c>
      <c r="B6838" s="14">
        <f t="shared" si="1"/>
        <v>0.1009519714</v>
      </c>
      <c r="C6838" s="39">
        <f t="array" ref="C6838">NPV(B6838,FCFF!$C$9:$I$9)+FCFF!$B$9+FCFF!$I$9*(1+Inputs!$B$6)/(B6838-Inputs!$B$6)/(1+B6838)^7</f>
        <v>-1410.281911</v>
      </c>
    </row>
    <row r="6839" ht="14.25" customHeight="1">
      <c r="A6839" s="7">
        <v>6826.0</v>
      </c>
      <c r="B6839" s="14">
        <f t="shared" si="1"/>
        <v>0.1225519488</v>
      </c>
      <c r="C6839" s="39">
        <f t="array" ref="C6839">NPV(B6839,FCFF!$C$9:$I$9)+FCFF!$B$9+FCFF!$I$9*(1+Inputs!$B$6)/(B6839-Inputs!$B$6)/(1+B6839)^7</f>
        <v>-1863.506685</v>
      </c>
    </row>
    <row r="6840" ht="14.25" customHeight="1">
      <c r="A6840" s="7">
        <v>6827.0</v>
      </c>
      <c r="B6840" s="14">
        <f t="shared" si="1"/>
        <v>0.1069072953</v>
      </c>
      <c r="C6840" s="39">
        <f t="array" ref="C6840">NPV(B6840,FCFF!$C$9:$I$9)+FCFF!$B$9+FCFF!$I$9*(1+Inputs!$B$6)/(B6840-Inputs!$B$6)/(1+B6840)^7</f>
        <v>-1561.492675</v>
      </c>
    </row>
    <row r="6841" ht="14.25" customHeight="1">
      <c r="A6841" s="7">
        <v>6828.0</v>
      </c>
      <c r="B6841" s="14">
        <f t="shared" si="1"/>
        <v>0.1216833658</v>
      </c>
      <c r="C6841" s="39">
        <f t="array" ref="C6841">NPV(B6841,FCFF!$C$9:$I$9)+FCFF!$B$9+FCFF!$I$9*(1+Inputs!$B$6)/(B6841-Inputs!$B$6)/(1+B6841)^7</f>
        <v>-1849.569263</v>
      </c>
    </row>
    <row r="6842" ht="14.25" customHeight="1">
      <c r="A6842" s="7">
        <v>6829.0</v>
      </c>
      <c r="B6842" s="14">
        <f t="shared" si="1"/>
        <v>0.1212301715</v>
      </c>
      <c r="C6842" s="39">
        <f t="array" ref="C6842">NPV(B6842,FCFF!$C$9:$I$9)+FCFF!$B$9+FCFF!$I$9*(1+Inputs!$B$6)/(B6842-Inputs!$B$6)/(1+B6842)^7</f>
        <v>-1842.18513</v>
      </c>
    </row>
    <row r="6843" ht="14.25" customHeight="1">
      <c r="A6843" s="7">
        <v>6830.0</v>
      </c>
      <c r="B6843" s="14">
        <f t="shared" si="1"/>
        <v>0.1248071221</v>
      </c>
      <c r="C6843" s="39">
        <f t="array" ref="C6843">NPV(B6843,FCFF!$C$9:$I$9)+FCFF!$B$9+FCFF!$I$9*(1+Inputs!$B$6)/(B6843-Inputs!$B$6)/(1+B6843)^7</f>
        <v>-1898.423366</v>
      </c>
    </row>
    <row r="6844" ht="14.25" customHeight="1">
      <c r="A6844" s="7">
        <v>6831.0</v>
      </c>
      <c r="B6844" s="14">
        <f t="shared" si="1"/>
        <v>0.1307215205</v>
      </c>
      <c r="C6844" s="39">
        <f t="array" ref="C6844">NPV(B6844,FCFF!$C$9:$I$9)+FCFF!$B$9+FCFF!$I$9*(1+Inputs!$B$6)/(B6844-Inputs!$B$6)/(1+B6844)^7</f>
        <v>-1982.043014</v>
      </c>
    </row>
    <row r="6845" ht="14.25" customHeight="1">
      <c r="A6845" s="7">
        <v>6832.0</v>
      </c>
      <c r="B6845" s="14">
        <f t="shared" si="1"/>
        <v>0.1283822733</v>
      </c>
      <c r="C6845" s="39">
        <f t="array" ref="C6845">NPV(B6845,FCFF!$C$9:$I$9)+FCFF!$B$9+FCFF!$I$9*(1+Inputs!$B$6)/(B6845-Inputs!$B$6)/(1+B6845)^7</f>
        <v>-1950.26717</v>
      </c>
    </row>
    <row r="6846" ht="14.25" customHeight="1">
      <c r="A6846" s="7">
        <v>6833.0</v>
      </c>
      <c r="B6846" s="14">
        <f t="shared" si="1"/>
        <v>0.1026784328</v>
      </c>
      <c r="C6846" s="39">
        <f t="array" ref="C6846">NPV(B6846,FCFF!$C$9:$I$9)+FCFF!$B$9+FCFF!$I$9*(1+Inputs!$B$6)/(B6846-Inputs!$B$6)/(1+B6846)^7</f>
        <v>-1456.709222</v>
      </c>
    </row>
    <row r="6847" ht="14.25" customHeight="1">
      <c r="A6847" s="7">
        <v>6834.0</v>
      </c>
      <c r="B6847" s="14">
        <f t="shared" si="1"/>
        <v>0.1215106638</v>
      </c>
      <c r="C6847" s="39">
        <f t="array" ref="C6847">NPV(B6847,FCFF!$C$9:$I$9)+FCFF!$B$9+FCFF!$I$9*(1+Inputs!$B$6)/(B6847-Inputs!$B$6)/(1+B6847)^7</f>
        <v>-1846.764504</v>
      </c>
    </row>
    <row r="6848" ht="14.25" customHeight="1">
      <c r="A6848" s="7">
        <v>6835.0</v>
      </c>
      <c r="B6848" s="14">
        <f t="shared" si="1"/>
        <v>0.131325922</v>
      </c>
      <c r="C6848" s="39">
        <f t="array" ref="C6848">NPV(B6848,FCFF!$C$9:$I$9)+FCFF!$B$9+FCFF!$I$9*(1+Inputs!$B$6)/(B6848-Inputs!$B$6)/(1+B6848)^7</f>
        <v>-1989.994418</v>
      </c>
    </row>
    <row r="6849" ht="14.25" customHeight="1">
      <c r="A6849" s="7">
        <v>6836.0</v>
      </c>
      <c r="B6849" s="14">
        <f t="shared" si="1"/>
        <v>0.1233569387</v>
      </c>
      <c r="C6849" s="39">
        <f t="array" ref="C6849">NPV(B6849,FCFF!$C$9:$I$9)+FCFF!$B$9+FCFF!$I$9*(1+Inputs!$B$6)/(B6849-Inputs!$B$6)/(1+B6849)^7</f>
        <v>-1876.177117</v>
      </c>
    </row>
    <row r="6850" ht="14.25" customHeight="1">
      <c r="A6850" s="7">
        <v>6837.0</v>
      </c>
      <c r="B6850" s="14">
        <f t="shared" si="1"/>
        <v>0.1058301693</v>
      </c>
      <c r="C6850" s="39">
        <f t="array" ref="C6850">NPV(B6850,FCFF!$C$9:$I$9)+FCFF!$B$9+FCFF!$I$9*(1+Inputs!$B$6)/(B6850-Inputs!$B$6)/(1+B6850)^7</f>
        <v>-1535.934677</v>
      </c>
    </row>
    <row r="6851" ht="14.25" customHeight="1">
      <c r="A6851" s="7">
        <v>6838.0</v>
      </c>
      <c r="B6851" s="14">
        <f t="shared" si="1"/>
        <v>0.1239783984</v>
      </c>
      <c r="C6851" s="39">
        <f t="array" ref="C6851">NPV(B6851,FCFF!$C$9:$I$9)+FCFF!$B$9+FCFF!$I$9*(1+Inputs!$B$6)/(B6851-Inputs!$B$6)/(1+B6851)^7</f>
        <v>-1885.800404</v>
      </c>
    </row>
    <row r="6852" ht="14.25" customHeight="1">
      <c r="A6852" s="7">
        <v>6839.0</v>
      </c>
      <c r="B6852" s="14">
        <f t="shared" si="1"/>
        <v>0.1242770637</v>
      </c>
      <c r="C6852" s="39">
        <f t="array" ref="C6852">NPV(B6852,FCFF!$C$9:$I$9)+FCFF!$B$9+FCFF!$I$9*(1+Inputs!$B$6)/(B6852-Inputs!$B$6)/(1+B6852)^7</f>
        <v>-1890.376992</v>
      </c>
    </row>
    <row r="6853" ht="14.25" customHeight="1">
      <c r="A6853" s="7">
        <v>6840.0</v>
      </c>
      <c r="B6853" s="14">
        <f t="shared" si="1"/>
        <v>0.1314489517</v>
      </c>
      <c r="C6853" s="39">
        <f t="array" ref="C6853">NPV(B6853,FCFF!$C$9:$I$9)+FCFF!$B$9+FCFF!$I$9*(1+Inputs!$B$6)/(B6853-Inputs!$B$6)/(1+B6853)^7</f>
        <v>-1991.600349</v>
      </c>
    </row>
    <row r="6854" ht="14.25" customHeight="1">
      <c r="A6854" s="7">
        <v>6841.0</v>
      </c>
      <c r="B6854" s="14">
        <f t="shared" si="1"/>
        <v>0.1201795995</v>
      </c>
      <c r="C6854" s="39">
        <f t="array" ref="C6854">NPV(B6854,FCFF!$C$9:$I$9)+FCFF!$B$9+FCFF!$I$9*(1+Inputs!$B$6)/(B6854-Inputs!$B$6)/(1+B6854)^7</f>
        <v>-1824.764448</v>
      </c>
    </row>
    <row r="6855" ht="14.25" customHeight="1">
      <c r="A6855" s="7">
        <v>6842.0</v>
      </c>
      <c r="B6855" s="14">
        <f t="shared" si="1"/>
        <v>0.09710994878</v>
      </c>
      <c r="C6855" s="39">
        <f t="array" ref="C6855">NPV(B6855,FCFF!$C$9:$I$9)+FCFF!$B$9+FCFF!$I$9*(1+Inputs!$B$6)/(B6855-Inputs!$B$6)/(1+B6855)^7</f>
        <v>-1298.32766</v>
      </c>
    </row>
    <row r="6856" ht="14.25" customHeight="1">
      <c r="A6856" s="7">
        <v>6843.0</v>
      </c>
      <c r="B6856" s="14">
        <f t="shared" si="1"/>
        <v>0.09587505085</v>
      </c>
      <c r="C6856" s="39">
        <f t="array" ref="C6856">NPV(B6856,FCFF!$C$9:$I$9)+FCFF!$B$9+FCFF!$I$9*(1+Inputs!$B$6)/(B6856-Inputs!$B$6)/(1+B6856)^7</f>
        <v>-1259.56721</v>
      </c>
    </row>
    <row r="6857" ht="14.25" customHeight="1">
      <c r="A6857" s="7">
        <v>6844.0</v>
      </c>
      <c r="B6857" s="14">
        <f t="shared" si="1"/>
        <v>0.1108351553</v>
      </c>
      <c r="C6857" s="39">
        <f t="array" ref="C6857">NPV(B6857,FCFF!$C$9:$I$9)+FCFF!$B$9+FCFF!$I$9*(1+Inputs!$B$6)/(B6857-Inputs!$B$6)/(1+B6857)^7</f>
        <v>-1648.772141</v>
      </c>
    </row>
    <row r="6858" ht="14.25" customHeight="1">
      <c r="A6858" s="7">
        <v>6845.0</v>
      </c>
      <c r="B6858" s="14">
        <f t="shared" si="1"/>
        <v>0.1223457357</v>
      </c>
      <c r="C6858" s="39">
        <f t="array" ref="C6858">NPV(B6858,FCFF!$C$9:$I$9)+FCFF!$B$9+FCFF!$I$9*(1+Inputs!$B$6)/(B6858-Inputs!$B$6)/(1+B6858)^7</f>
        <v>-1860.22302</v>
      </c>
    </row>
    <row r="6859" ht="14.25" customHeight="1">
      <c r="A6859" s="7">
        <v>6846.0</v>
      </c>
      <c r="B6859" s="14">
        <f t="shared" si="1"/>
        <v>0.123927858</v>
      </c>
      <c r="C6859" s="39">
        <f t="array" ref="C6859">NPV(B6859,FCFF!$C$9:$I$9)+FCFF!$B$9+FCFF!$I$9*(1+Inputs!$B$6)/(B6859-Inputs!$B$6)/(1+B6859)^7</f>
        <v>-1885.02287</v>
      </c>
    </row>
    <row r="6860" ht="14.25" customHeight="1">
      <c r="A6860" s="7">
        <v>6847.0</v>
      </c>
      <c r="B6860" s="14">
        <f t="shared" si="1"/>
        <v>0.1174283856</v>
      </c>
      <c r="C6860" s="39">
        <f t="array" ref="C6860">NPV(B6860,FCFF!$C$9:$I$9)+FCFF!$B$9+FCFF!$I$9*(1+Inputs!$B$6)/(B6860-Inputs!$B$6)/(1+B6860)^7</f>
        <v>-1777.042208</v>
      </c>
    </row>
    <row r="6861" ht="14.25" customHeight="1">
      <c r="A6861" s="7">
        <v>6848.0</v>
      </c>
      <c r="B6861" s="14">
        <f t="shared" si="1"/>
        <v>0.1063704273</v>
      </c>
      <c r="C6861" s="39">
        <f t="array" ref="C6861">NPV(B6861,FCFF!$C$9:$I$9)+FCFF!$B$9+FCFF!$I$9*(1+Inputs!$B$6)/(B6861-Inputs!$B$6)/(1+B6861)^7</f>
        <v>-1548.846106</v>
      </c>
    </row>
    <row r="6862" ht="14.25" customHeight="1">
      <c r="A6862" s="7">
        <v>6849.0</v>
      </c>
      <c r="B6862" s="14">
        <f t="shared" si="1"/>
        <v>0.1120743942</v>
      </c>
      <c r="C6862" s="39">
        <f t="array" ref="C6862">NPV(B6862,FCFF!$C$9:$I$9)+FCFF!$B$9+FCFF!$I$9*(1+Inputs!$B$6)/(B6862-Inputs!$B$6)/(1+B6862)^7</f>
        <v>-1674.520454</v>
      </c>
    </row>
    <row r="6863" ht="14.25" customHeight="1">
      <c r="A6863" s="7">
        <v>6850.0</v>
      </c>
      <c r="B6863" s="14">
        <f t="shared" si="1"/>
        <v>0.1084408828</v>
      </c>
      <c r="C6863" s="39">
        <f t="array" ref="C6863">NPV(B6863,FCFF!$C$9:$I$9)+FCFF!$B$9+FCFF!$I$9*(1+Inputs!$B$6)/(B6863-Inputs!$B$6)/(1+B6863)^7</f>
        <v>-1596.640708</v>
      </c>
    </row>
    <row r="6864" ht="14.25" customHeight="1">
      <c r="A6864" s="7">
        <v>6851.0</v>
      </c>
      <c r="B6864" s="14">
        <f t="shared" si="1"/>
        <v>0.09341947084</v>
      </c>
      <c r="C6864" s="39">
        <f t="array" ref="C6864">NPV(B6864,FCFF!$C$9:$I$9)+FCFF!$B$9+FCFF!$I$9*(1+Inputs!$B$6)/(B6864-Inputs!$B$6)/(1+B6864)^7</f>
        <v>-1178.033439</v>
      </c>
    </row>
    <row r="6865" ht="14.25" customHeight="1">
      <c r="A6865" s="7">
        <v>6852.0</v>
      </c>
      <c r="B6865" s="14">
        <f t="shared" si="1"/>
        <v>0.1081424339</v>
      </c>
      <c r="C6865" s="39">
        <f t="array" ref="C6865">NPV(B6865,FCFF!$C$9:$I$9)+FCFF!$B$9+FCFF!$I$9*(1+Inputs!$B$6)/(B6865-Inputs!$B$6)/(1+B6865)^7</f>
        <v>-1589.911637</v>
      </c>
    </row>
    <row r="6866" ht="14.25" customHeight="1">
      <c r="A6866" s="7">
        <v>6853.0</v>
      </c>
      <c r="B6866" s="14">
        <f t="shared" si="1"/>
        <v>0.09817418063</v>
      </c>
      <c r="C6866" s="39">
        <f t="array" ref="C6866">NPV(B6866,FCFF!$C$9:$I$9)+FCFF!$B$9+FCFF!$I$9*(1+Inputs!$B$6)/(B6866-Inputs!$B$6)/(1+B6866)^7</f>
        <v>-1330.606288</v>
      </c>
    </row>
    <row r="6867" ht="14.25" customHeight="1">
      <c r="A6867" s="7">
        <v>6854.0</v>
      </c>
      <c r="B6867" s="14">
        <f t="shared" si="1"/>
        <v>0.132530906</v>
      </c>
      <c r="C6867" s="39">
        <f t="array" ref="C6867">NPV(B6867,FCFF!$C$9:$I$9)+FCFF!$B$9+FCFF!$I$9*(1+Inputs!$B$6)/(B6867-Inputs!$B$6)/(1+B6867)^7</f>
        <v>-2005.542526</v>
      </c>
    </row>
    <row r="6868" ht="14.25" customHeight="1">
      <c r="A6868" s="7">
        <v>6855.0</v>
      </c>
      <c r="B6868" s="14">
        <f t="shared" si="1"/>
        <v>0.1226393481</v>
      </c>
      <c r="C6868" s="39">
        <f t="array" ref="C6868">NPV(B6868,FCFF!$C$9:$I$9)+FCFF!$B$9+FCFF!$I$9*(1+Inputs!$B$6)/(B6868-Inputs!$B$6)/(1+B6868)^7</f>
        <v>-1864.893701</v>
      </c>
    </row>
    <row r="6869" ht="14.25" customHeight="1">
      <c r="A6869" s="7">
        <v>6856.0</v>
      </c>
      <c r="B6869" s="14">
        <f t="shared" si="1"/>
        <v>0.1130667483</v>
      </c>
      <c r="C6869" s="39">
        <f t="array" ref="C6869">NPV(B6869,FCFF!$C$9:$I$9)+FCFF!$B$9+FCFF!$I$9*(1+Inputs!$B$6)/(B6869-Inputs!$B$6)/(1+B6869)^7</f>
        <v>-1694.564491</v>
      </c>
    </row>
    <row r="6870" ht="14.25" customHeight="1">
      <c r="A6870" s="7">
        <v>6857.0</v>
      </c>
      <c r="B6870" s="14">
        <f t="shared" si="1"/>
        <v>0.1069901931</v>
      </c>
      <c r="C6870" s="39">
        <f t="array" ref="C6870">NPV(B6870,FCFF!$C$9:$I$9)+FCFF!$B$9+FCFF!$I$9*(1+Inputs!$B$6)/(B6870-Inputs!$B$6)/(1+B6870)^7</f>
        <v>-1563.429333</v>
      </c>
    </row>
    <row r="6871" ht="14.25" customHeight="1">
      <c r="A6871" s="7">
        <v>6858.0</v>
      </c>
      <c r="B6871" s="14">
        <f t="shared" si="1"/>
        <v>0.1158832593</v>
      </c>
      <c r="C6871" s="39">
        <f t="array" ref="C6871">NPV(B6871,FCFF!$C$9:$I$9)+FCFF!$B$9+FCFF!$I$9*(1+Inputs!$B$6)/(B6871-Inputs!$B$6)/(1+B6871)^7</f>
        <v>-1748.827034</v>
      </c>
    </row>
    <row r="6872" ht="14.25" customHeight="1">
      <c r="A6872" s="7">
        <v>6859.0</v>
      </c>
      <c r="B6872" s="14">
        <f t="shared" si="1"/>
        <v>0.109993109</v>
      </c>
      <c r="C6872" s="39">
        <f t="array" ref="C6872">NPV(B6872,FCFF!$C$9:$I$9)+FCFF!$B$9+FCFF!$I$9*(1+Inputs!$B$6)/(B6872-Inputs!$B$6)/(1+B6872)^7</f>
        <v>-1630.805071</v>
      </c>
    </row>
    <row r="6873" ht="14.25" customHeight="1">
      <c r="A6873" s="7">
        <v>6860.0</v>
      </c>
      <c r="B6873" s="14">
        <f t="shared" si="1"/>
        <v>0.1037959928</v>
      </c>
      <c r="C6873" s="39">
        <f t="array" ref="C6873">NPV(B6873,FCFF!$C$9:$I$9)+FCFF!$B$9+FCFF!$I$9*(1+Inputs!$B$6)/(B6873-Inputs!$B$6)/(1+B6873)^7</f>
        <v>-1485.5892</v>
      </c>
    </row>
    <row r="6874" ht="14.25" customHeight="1">
      <c r="A6874" s="7">
        <v>6861.0</v>
      </c>
      <c r="B6874" s="14">
        <f t="shared" si="1"/>
        <v>0.1127770325</v>
      </c>
      <c r="C6874" s="39">
        <f t="array" ref="C6874">NPV(B6874,FCFF!$C$9:$I$9)+FCFF!$B$9+FCFF!$I$9*(1+Inputs!$B$6)/(B6874-Inputs!$B$6)/(1+B6874)^7</f>
        <v>-1688.764309</v>
      </c>
    </row>
    <row r="6875" ht="14.25" customHeight="1">
      <c r="A6875" s="7">
        <v>6862.0</v>
      </c>
      <c r="B6875" s="14">
        <f t="shared" si="1"/>
        <v>0.0975505378</v>
      </c>
      <c r="C6875" s="39">
        <f t="array" ref="C6875">NPV(B6875,FCFF!$C$9:$I$9)+FCFF!$B$9+FCFF!$I$9*(1+Inputs!$B$6)/(B6875-Inputs!$B$6)/(1+B6875)^7</f>
        <v>-1311.814315</v>
      </c>
    </row>
    <row r="6876" ht="14.25" customHeight="1">
      <c r="A6876" s="7">
        <v>6863.0</v>
      </c>
      <c r="B6876" s="14">
        <f t="shared" si="1"/>
        <v>0.1115601925</v>
      </c>
      <c r="C6876" s="39">
        <f t="array" ref="C6876">NPV(B6876,FCFF!$C$9:$I$9)+FCFF!$B$9+FCFF!$I$9*(1+Inputs!$B$6)/(B6876-Inputs!$B$6)/(1+B6876)^7</f>
        <v>-1663.935063</v>
      </c>
    </row>
    <row r="6877" ht="14.25" customHeight="1">
      <c r="A6877" s="7">
        <v>6864.0</v>
      </c>
      <c r="B6877" s="14">
        <f t="shared" si="1"/>
        <v>0.1119120124</v>
      </c>
      <c r="C6877" s="39">
        <f t="array" ref="C6877">NPV(B6877,FCFF!$C$9:$I$9)+FCFF!$B$9+FCFF!$I$9*(1+Inputs!$B$6)/(B6877-Inputs!$B$6)/(1+B6877)^7</f>
        <v>-1671.192546</v>
      </c>
    </row>
    <row r="6878" ht="14.25" customHeight="1">
      <c r="A6878" s="7">
        <v>6865.0</v>
      </c>
      <c r="B6878" s="14">
        <f t="shared" si="1"/>
        <v>0.1023404895</v>
      </c>
      <c r="C6878" s="39">
        <f t="array" ref="C6878">NPV(B6878,FCFF!$C$9:$I$9)+FCFF!$B$9+FCFF!$I$9*(1+Inputs!$B$6)/(B6878-Inputs!$B$6)/(1+B6878)^7</f>
        <v>-1447.797857</v>
      </c>
    </row>
    <row r="6879" ht="14.25" customHeight="1">
      <c r="A6879" s="7">
        <v>6866.0</v>
      </c>
      <c r="B6879" s="14">
        <f t="shared" si="1"/>
        <v>0.1035603024</v>
      </c>
      <c r="C6879" s="39">
        <f t="array" ref="C6879">NPV(B6879,FCFF!$C$9:$I$9)+FCFF!$B$9+FCFF!$I$9*(1+Inputs!$B$6)/(B6879-Inputs!$B$6)/(1+B6879)^7</f>
        <v>-1479.572623</v>
      </c>
    </row>
    <row r="6880" ht="14.25" customHeight="1">
      <c r="A6880" s="7">
        <v>6867.0</v>
      </c>
      <c r="B6880" s="14">
        <f t="shared" si="1"/>
        <v>0.1266266093</v>
      </c>
      <c r="C6880" s="39">
        <f t="array" ref="C6880">NPV(B6880,FCFF!$C$9:$I$9)+FCFF!$B$9+FCFF!$I$9*(1+Inputs!$B$6)/(B6880-Inputs!$B$6)/(1+B6880)^7</f>
        <v>-1925.323911</v>
      </c>
    </row>
    <row r="6881" ht="14.25" customHeight="1">
      <c r="A6881" s="7">
        <v>6868.0</v>
      </c>
      <c r="B6881" s="14">
        <f t="shared" si="1"/>
        <v>0.1013153809</v>
      </c>
      <c r="C6881" s="39">
        <f t="array" ref="C6881">NPV(B6881,FCFF!$C$9:$I$9)+FCFF!$B$9+FCFF!$I$9*(1+Inputs!$B$6)/(B6881-Inputs!$B$6)/(1+B6881)^7</f>
        <v>-1420.243394</v>
      </c>
    </row>
    <row r="6882" ht="14.25" customHeight="1">
      <c r="A6882" s="7">
        <v>6869.0</v>
      </c>
      <c r="B6882" s="14">
        <f t="shared" si="1"/>
        <v>0.1255751221</v>
      </c>
      <c r="C6882" s="39">
        <f t="array" ref="C6882">NPV(B6882,FCFF!$C$9:$I$9)+FCFF!$B$9+FCFF!$I$9*(1+Inputs!$B$6)/(B6882-Inputs!$B$6)/(1+B6882)^7</f>
        <v>-1909.912139</v>
      </c>
    </row>
    <row r="6883" ht="14.25" customHeight="1">
      <c r="A6883" s="7">
        <v>6870.0</v>
      </c>
      <c r="B6883" s="14">
        <f t="shared" si="1"/>
        <v>0.1070473883</v>
      </c>
      <c r="C6883" s="39">
        <f t="array" ref="C6883">NPV(B6883,FCFF!$C$9:$I$9)+FCFF!$B$9+FCFF!$I$9*(1+Inputs!$B$6)/(B6883-Inputs!$B$6)/(1+B6883)^7</f>
        <v>-1564.763038</v>
      </c>
    </row>
    <row r="6884" ht="14.25" customHeight="1">
      <c r="A6884" s="7">
        <v>6871.0</v>
      </c>
      <c r="B6884" s="14">
        <f t="shared" si="1"/>
        <v>0.1077889608</v>
      </c>
      <c r="C6884" s="39">
        <f t="array" ref="C6884">NPV(B6884,FCFF!$C$9:$I$9)+FCFF!$B$9+FCFF!$I$9*(1+Inputs!$B$6)/(B6884-Inputs!$B$6)/(1+B6884)^7</f>
        <v>-1581.873287</v>
      </c>
    </row>
    <row r="6885" ht="14.25" customHeight="1">
      <c r="A6885" s="7">
        <v>6872.0</v>
      </c>
      <c r="B6885" s="14">
        <f t="shared" si="1"/>
        <v>0.1329218669</v>
      </c>
      <c r="C6885" s="39">
        <f t="array" ref="C6885">NPV(B6885,FCFF!$C$9:$I$9)+FCFF!$B$9+FCFF!$I$9*(1+Inputs!$B$6)/(B6885-Inputs!$B$6)/(1+B6885)^7</f>
        <v>-2010.50185</v>
      </c>
    </row>
    <row r="6886" ht="14.25" customHeight="1">
      <c r="A6886" s="7">
        <v>6873.0</v>
      </c>
      <c r="B6886" s="14">
        <f t="shared" si="1"/>
        <v>0.1090327187</v>
      </c>
      <c r="C6886" s="39">
        <f t="array" ref="C6886">NPV(B6886,FCFF!$C$9:$I$9)+FCFF!$B$9+FCFF!$I$9*(1+Inputs!$B$6)/(B6886-Inputs!$B$6)/(1+B6886)^7</f>
        <v>-1609.830093</v>
      </c>
    </row>
    <row r="6887" ht="14.25" customHeight="1">
      <c r="A6887" s="7">
        <v>6874.0</v>
      </c>
      <c r="B6887" s="14">
        <f t="shared" si="1"/>
        <v>0.1057118458</v>
      </c>
      <c r="C6887" s="39">
        <f t="array" ref="C6887">NPV(B6887,FCFF!$C$9:$I$9)+FCFF!$B$9+FCFF!$I$9*(1+Inputs!$B$6)/(B6887-Inputs!$B$6)/(1+B6887)^7</f>
        <v>-1533.081763</v>
      </c>
    </row>
    <row r="6888" ht="14.25" customHeight="1">
      <c r="A6888" s="7">
        <v>6875.0</v>
      </c>
      <c r="B6888" s="14">
        <f t="shared" si="1"/>
        <v>0.1238629017</v>
      </c>
      <c r="C6888" s="39">
        <f t="array" ref="C6888">NPV(B6888,FCFF!$C$9:$I$9)+FCFF!$B$9+FCFF!$I$9*(1+Inputs!$B$6)/(B6888-Inputs!$B$6)/(1+B6888)^7</f>
        <v>-1884.022241</v>
      </c>
    </row>
    <row r="6889" ht="14.25" customHeight="1">
      <c r="A6889" s="7">
        <v>6876.0</v>
      </c>
      <c r="B6889" s="14">
        <f t="shared" si="1"/>
        <v>0.1132207747</v>
      </c>
      <c r="C6889" s="39">
        <f t="array" ref="C6889">NPV(B6889,FCFF!$C$9:$I$9)+FCFF!$B$9+FCFF!$I$9*(1+Inputs!$B$6)/(B6889-Inputs!$B$6)/(1+B6889)^7</f>
        <v>-1697.631028</v>
      </c>
    </row>
    <row r="6890" ht="14.25" customHeight="1">
      <c r="A6890" s="7">
        <v>6877.0</v>
      </c>
      <c r="B6890" s="14">
        <f t="shared" si="1"/>
        <v>0.1014144753</v>
      </c>
      <c r="C6890" s="39">
        <f t="array" ref="C6890">NPV(B6890,FCFF!$C$9:$I$9)+FCFF!$B$9+FCFF!$I$9*(1+Inputs!$B$6)/(B6890-Inputs!$B$6)/(1+B6890)^7</f>
        <v>-1422.941927</v>
      </c>
    </row>
    <row r="6891" ht="14.25" customHeight="1">
      <c r="A6891" s="7">
        <v>6878.0</v>
      </c>
      <c r="B6891" s="14">
        <f t="shared" si="1"/>
        <v>0.1159738483</v>
      </c>
      <c r="C6891" s="39">
        <f t="array" ref="C6891">NPV(B6891,FCFF!$C$9:$I$9)+FCFF!$B$9+FCFF!$I$9*(1+Inputs!$B$6)/(B6891-Inputs!$B$6)/(1+B6891)^7</f>
        <v>-1750.510636</v>
      </c>
    </row>
    <row r="6892" ht="14.25" customHeight="1">
      <c r="A6892" s="7">
        <v>6879.0</v>
      </c>
      <c r="B6892" s="14">
        <f t="shared" si="1"/>
        <v>0.1202115332</v>
      </c>
      <c r="C6892" s="39">
        <f t="array" ref="C6892">NPV(B6892,FCFF!$C$9:$I$9)+FCFF!$B$9+FCFF!$I$9*(1+Inputs!$B$6)/(B6892-Inputs!$B$6)/(1+B6892)^7</f>
        <v>-1825.300315</v>
      </c>
    </row>
    <row r="6893" ht="14.25" customHeight="1">
      <c r="A6893" s="7">
        <v>6880.0</v>
      </c>
      <c r="B6893" s="14">
        <f t="shared" si="1"/>
        <v>0.1069454212</v>
      </c>
      <c r="C6893" s="39">
        <f t="array" ref="C6893">NPV(B6893,FCFF!$C$9:$I$9)+FCFF!$B$9+FCFF!$I$9*(1+Inputs!$B$6)/(B6893-Inputs!$B$6)/(1+B6893)^7</f>
        <v>-1562.383903</v>
      </c>
    </row>
    <row r="6894" ht="14.25" customHeight="1">
      <c r="A6894" s="7">
        <v>6881.0</v>
      </c>
      <c r="B6894" s="14">
        <f t="shared" si="1"/>
        <v>0.1178875243</v>
      </c>
      <c r="C6894" s="39">
        <f t="array" ref="C6894">NPV(B6894,FCFF!$C$9:$I$9)+FCFF!$B$9+FCFF!$I$9*(1+Inputs!$B$6)/(B6894-Inputs!$B$6)/(1+B6894)^7</f>
        <v>-1785.22555</v>
      </c>
    </row>
    <row r="6895" ht="14.25" customHeight="1">
      <c r="A6895" s="7">
        <v>6882.0</v>
      </c>
      <c r="B6895" s="14">
        <f t="shared" si="1"/>
        <v>0.114017216</v>
      </c>
      <c r="C6895" s="39">
        <f t="array" ref="C6895">NPV(B6895,FCFF!$C$9:$I$9)+FCFF!$B$9+FCFF!$I$9*(1+Inputs!$B$6)/(B6895-Inputs!$B$6)/(1+B6895)^7</f>
        <v>-1713.300723</v>
      </c>
    </row>
    <row r="6896" ht="14.25" customHeight="1">
      <c r="A6896" s="7">
        <v>6883.0</v>
      </c>
      <c r="B6896" s="14">
        <f t="shared" si="1"/>
        <v>0.0972420191</v>
      </c>
      <c r="C6896" s="39">
        <f t="array" ref="C6896">NPV(B6896,FCFF!$C$9:$I$9)+FCFF!$B$9+FCFF!$I$9*(1+Inputs!$B$6)/(B6896-Inputs!$B$6)/(1+B6896)^7</f>
        <v>-1302.388936</v>
      </c>
    </row>
    <row r="6897" ht="14.25" customHeight="1">
      <c r="A6897" s="7">
        <v>6884.0</v>
      </c>
      <c r="B6897" s="14">
        <f t="shared" si="1"/>
        <v>0.1080512976</v>
      </c>
      <c r="C6897" s="39">
        <f t="array" ref="C6897">NPV(B6897,FCFF!$C$9:$I$9)+FCFF!$B$9+FCFF!$I$9*(1+Inputs!$B$6)/(B6897-Inputs!$B$6)/(1+B6897)^7</f>
        <v>-1587.846258</v>
      </c>
    </row>
    <row r="6898" ht="14.25" customHeight="1">
      <c r="A6898" s="7">
        <v>6885.0</v>
      </c>
      <c r="B6898" s="14">
        <f t="shared" si="1"/>
        <v>0.09438425384</v>
      </c>
      <c r="C6898" s="39">
        <f t="array" ref="C6898">NPV(B6898,FCFF!$C$9:$I$9)+FCFF!$B$9+FCFF!$I$9*(1+Inputs!$B$6)/(B6898-Inputs!$B$6)/(1+B6898)^7</f>
        <v>-1210.80334</v>
      </c>
    </row>
    <row r="6899" ht="14.25" customHeight="1">
      <c r="A6899" s="7">
        <v>6886.0</v>
      </c>
      <c r="B6899" s="14">
        <f t="shared" si="1"/>
        <v>0.1209835253</v>
      </c>
      <c r="C6899" s="39">
        <f t="array" ref="C6899">NPV(B6899,FCFF!$C$9:$I$9)+FCFF!$B$9+FCFF!$I$9*(1+Inputs!$B$6)/(B6899-Inputs!$B$6)/(1+B6899)^7</f>
        <v>-1838.133554</v>
      </c>
    </row>
    <row r="6900" ht="14.25" customHeight="1">
      <c r="A6900" s="7">
        <v>6887.0</v>
      </c>
      <c r="B6900" s="14">
        <f t="shared" si="1"/>
        <v>0.1302015236</v>
      </c>
      <c r="C6900" s="39">
        <f t="array" ref="C6900">NPV(B6900,FCFF!$C$9:$I$9)+FCFF!$B$9+FCFF!$I$9*(1+Inputs!$B$6)/(B6900-Inputs!$B$6)/(1+B6900)^7</f>
        <v>-1975.118523</v>
      </c>
    </row>
    <row r="6901" ht="14.25" customHeight="1">
      <c r="A6901" s="7">
        <v>6888.0</v>
      </c>
      <c r="B6901" s="14">
        <f t="shared" si="1"/>
        <v>0.113392786</v>
      </c>
      <c r="C6901" s="39">
        <f t="array" ref="C6901">NPV(B6901,FCFF!$C$9:$I$9)+FCFF!$B$9+FCFF!$I$9*(1+Inputs!$B$6)/(B6901-Inputs!$B$6)/(1+B6901)^7</f>
        <v>-1701.041694</v>
      </c>
    </row>
    <row r="6902" ht="14.25" customHeight="1">
      <c r="A6902" s="7">
        <v>6889.0</v>
      </c>
      <c r="B6902" s="14">
        <f t="shared" si="1"/>
        <v>0.09355068674</v>
      </c>
      <c r="C6902" s="39">
        <f t="array" ref="C6902">NPV(B6902,FCFF!$C$9:$I$9)+FCFF!$B$9+FCFF!$I$9*(1+Inputs!$B$6)/(B6902-Inputs!$B$6)/(1+B6902)^7</f>
        <v>-1182.548195</v>
      </c>
    </row>
    <row r="6903" ht="14.25" customHeight="1">
      <c r="A6903" s="7">
        <v>6890.0</v>
      </c>
      <c r="B6903" s="14">
        <f t="shared" si="1"/>
        <v>0.1328990713</v>
      </c>
      <c r="C6903" s="39">
        <f t="array" ref="C6903">NPV(B6903,FCFF!$C$9:$I$9)+FCFF!$B$9+FCFF!$I$9*(1+Inputs!$B$6)/(B6903-Inputs!$B$6)/(1+B6903)^7</f>
        <v>-2010.213818</v>
      </c>
    </row>
    <row r="6904" ht="14.25" customHeight="1">
      <c r="A6904" s="7">
        <v>6891.0</v>
      </c>
      <c r="B6904" s="14">
        <f t="shared" si="1"/>
        <v>0.1220363903</v>
      </c>
      <c r="C6904" s="39">
        <f t="array" ref="C6904">NPV(B6904,FCFF!$C$9:$I$9)+FCFF!$B$9+FCFF!$I$9*(1+Inputs!$B$6)/(B6904-Inputs!$B$6)/(1+B6904)^7</f>
        <v>-1855.267724</v>
      </c>
    </row>
    <row r="6905" ht="14.25" customHeight="1">
      <c r="A6905" s="7">
        <v>6892.0</v>
      </c>
      <c r="B6905" s="14">
        <f t="shared" si="1"/>
        <v>0.1299346089</v>
      </c>
      <c r="C6905" s="39">
        <f t="array" ref="C6905">NPV(B6905,FCFF!$C$9:$I$9)+FCFF!$B$9+FCFF!$I$9*(1+Inputs!$B$6)/(B6905-Inputs!$B$6)/(1+B6905)^7</f>
        <v>-1971.533776</v>
      </c>
    </row>
    <row r="6906" ht="14.25" customHeight="1">
      <c r="A6906" s="7">
        <v>6893.0</v>
      </c>
      <c r="B6906" s="14">
        <f t="shared" si="1"/>
        <v>0.1007679897</v>
      </c>
      <c r="C6906" s="39">
        <f t="array" ref="C6906">NPV(B6906,FCFF!$C$9:$I$9)+FCFF!$B$9+FCFF!$I$9*(1+Inputs!$B$6)/(B6906-Inputs!$B$6)/(1+B6906)^7</f>
        <v>-1405.199387</v>
      </c>
    </row>
    <row r="6907" ht="14.25" customHeight="1">
      <c r="A6907" s="7">
        <v>6894.0</v>
      </c>
      <c r="B6907" s="14">
        <f t="shared" si="1"/>
        <v>0.1154872778</v>
      </c>
      <c r="C6907" s="39">
        <f t="array" ref="C6907">NPV(B6907,FCFF!$C$9:$I$9)+FCFF!$B$9+FCFF!$I$9*(1+Inputs!$B$6)/(B6907-Inputs!$B$6)/(1+B6907)^7</f>
        <v>-1741.423799</v>
      </c>
    </row>
    <row r="6908" ht="14.25" customHeight="1">
      <c r="A6908" s="7">
        <v>6895.0</v>
      </c>
      <c r="B6908" s="14">
        <f t="shared" si="1"/>
        <v>0.1159612903</v>
      </c>
      <c r="C6908" s="39">
        <f t="array" ref="C6908">NPV(B6908,FCFF!$C$9:$I$9)+FCFF!$B$9+FCFF!$I$9*(1+Inputs!$B$6)/(B6908-Inputs!$B$6)/(1+B6908)^7</f>
        <v>-1750.277466</v>
      </c>
    </row>
    <row r="6909" ht="14.25" customHeight="1">
      <c r="A6909" s="7">
        <v>6896.0</v>
      </c>
      <c r="B6909" s="14">
        <f t="shared" si="1"/>
        <v>0.1290295177</v>
      </c>
      <c r="C6909" s="39">
        <f t="array" ref="C6909">NPV(B6909,FCFF!$C$9:$I$9)+FCFF!$B$9+FCFF!$I$9*(1+Inputs!$B$6)/(B6909-Inputs!$B$6)/(1+B6909)^7</f>
        <v>-1959.222016</v>
      </c>
    </row>
    <row r="6910" ht="14.25" customHeight="1">
      <c r="A6910" s="7">
        <v>6897.0</v>
      </c>
      <c r="B6910" s="14">
        <f t="shared" si="1"/>
        <v>0.1116789849</v>
      </c>
      <c r="C6910" s="39">
        <f t="array" ref="C6910">NPV(B6910,FCFF!$C$9:$I$9)+FCFF!$B$9+FCFF!$I$9*(1+Inputs!$B$6)/(B6910-Inputs!$B$6)/(1+B6910)^7</f>
        <v>-1666.392811</v>
      </c>
    </row>
    <row r="6911" ht="14.25" customHeight="1">
      <c r="A6911" s="7">
        <v>6898.0</v>
      </c>
      <c r="B6911" s="14">
        <f t="shared" si="1"/>
        <v>0.09983945056</v>
      </c>
      <c r="C6911" s="39">
        <f t="array" ref="C6911">NPV(B6911,FCFF!$C$9:$I$9)+FCFF!$B$9+FCFF!$I$9*(1+Inputs!$B$6)/(B6911-Inputs!$B$6)/(1+B6911)^7</f>
        <v>-1379.136482</v>
      </c>
    </row>
    <row r="6912" ht="14.25" customHeight="1">
      <c r="A6912" s="7">
        <v>6899.0</v>
      </c>
      <c r="B6912" s="14">
        <f t="shared" si="1"/>
        <v>0.1155178766</v>
      </c>
      <c r="C6912" s="39">
        <f t="array" ref="C6912">NPV(B6912,FCFF!$C$9:$I$9)+FCFF!$B$9+FCFF!$I$9*(1+Inputs!$B$6)/(B6912-Inputs!$B$6)/(1+B6912)^7</f>
        <v>-1741.998433</v>
      </c>
    </row>
    <row r="6913" ht="14.25" customHeight="1">
      <c r="A6913" s="7">
        <v>6900.0</v>
      </c>
      <c r="B6913" s="14">
        <f t="shared" si="1"/>
        <v>0.1002390085</v>
      </c>
      <c r="C6913" s="39">
        <f t="array" ref="C6913">NPV(B6913,FCFF!$C$9:$I$9)+FCFF!$B$9+FCFF!$I$9*(1+Inputs!$B$6)/(B6913-Inputs!$B$6)/(1+B6913)^7</f>
        <v>-1390.436638</v>
      </c>
    </row>
    <row r="6914" ht="14.25" customHeight="1">
      <c r="A6914" s="7">
        <v>6901.0</v>
      </c>
      <c r="B6914" s="14">
        <f t="shared" si="1"/>
        <v>0.1019093831</v>
      </c>
      <c r="C6914" s="39">
        <f t="array" ref="C6914">NPV(B6914,FCFF!$C$9:$I$9)+FCFF!$B$9+FCFF!$I$9*(1+Inputs!$B$6)/(B6914-Inputs!$B$6)/(1+B6914)^7</f>
        <v>-1436.306721</v>
      </c>
    </row>
    <row r="6915" ht="14.25" customHeight="1">
      <c r="A6915" s="7">
        <v>6902.0</v>
      </c>
      <c r="B6915" s="14">
        <f t="shared" si="1"/>
        <v>0.1269870887</v>
      </c>
      <c r="C6915" s="39">
        <f t="array" ref="C6915">NPV(B6915,FCFF!$C$9:$I$9)+FCFF!$B$9+FCFF!$I$9*(1+Inputs!$B$6)/(B6915-Inputs!$B$6)/(1+B6915)^7</f>
        <v>-1930.524801</v>
      </c>
    </row>
    <row r="6916" ht="14.25" customHeight="1">
      <c r="A6916" s="7">
        <v>6903.0</v>
      </c>
      <c r="B6916" s="14">
        <f t="shared" si="1"/>
        <v>0.1072853097</v>
      </c>
      <c r="C6916" s="39">
        <f t="array" ref="C6916">NPV(B6916,FCFF!$C$9:$I$9)+FCFF!$B$9+FCFF!$I$9*(1+Inputs!$B$6)/(B6916-Inputs!$B$6)/(1+B6916)^7</f>
        <v>-1570.289281</v>
      </c>
    </row>
    <row r="6917" ht="14.25" customHeight="1">
      <c r="A6917" s="7">
        <v>6904.0</v>
      </c>
      <c r="B6917" s="14">
        <f t="shared" si="1"/>
        <v>0.1323692038</v>
      </c>
      <c r="C6917" s="39">
        <f t="array" ref="C6917">NPV(B6917,FCFF!$C$9:$I$9)+FCFF!$B$9+FCFF!$I$9*(1+Inputs!$B$6)/(B6917-Inputs!$B$6)/(1+B6917)^7</f>
        <v>-2003.479243</v>
      </c>
    </row>
    <row r="6918" ht="14.25" customHeight="1">
      <c r="A6918" s="7">
        <v>6905.0</v>
      </c>
      <c r="B6918" s="14">
        <f t="shared" si="1"/>
        <v>0.125181229</v>
      </c>
      <c r="C6918" s="39">
        <f t="array" ref="C6918">NPV(B6918,FCFF!$C$9:$I$9)+FCFF!$B$9+FCFF!$I$9*(1+Inputs!$B$6)/(B6918-Inputs!$B$6)/(1+B6918)^7</f>
        <v>-1904.044596</v>
      </c>
    </row>
    <row r="6919" ht="14.25" customHeight="1">
      <c r="A6919" s="7">
        <v>6906.0</v>
      </c>
      <c r="B6919" s="14">
        <f t="shared" si="1"/>
        <v>0.1177392787</v>
      </c>
      <c r="C6919" s="39">
        <f t="array" ref="C6919">NPV(B6919,FCFF!$C$9:$I$9)+FCFF!$B$9+FCFF!$I$9*(1+Inputs!$B$6)/(B6919-Inputs!$B$6)/(1+B6919)^7</f>
        <v>-1782.593188</v>
      </c>
    </row>
    <row r="6920" ht="14.25" customHeight="1">
      <c r="A6920" s="7">
        <v>6907.0</v>
      </c>
      <c r="B6920" s="14">
        <f t="shared" si="1"/>
        <v>0.1150377995</v>
      </c>
      <c r="C6920" s="39">
        <f t="array" ref="C6920">NPV(B6920,FCFF!$C$9:$I$9)+FCFF!$B$9+FCFF!$I$9*(1+Inputs!$B$6)/(B6920-Inputs!$B$6)/(1+B6920)^7</f>
        <v>-1732.932902</v>
      </c>
    </row>
    <row r="6921" ht="14.25" customHeight="1">
      <c r="A6921" s="7">
        <v>6908.0</v>
      </c>
      <c r="B6921" s="14">
        <f t="shared" si="1"/>
        <v>0.1008393142</v>
      </c>
      <c r="C6921" s="39">
        <f t="array" ref="C6921">NPV(B6921,FCFF!$C$9:$I$9)+FCFF!$B$9+FCFF!$I$9*(1+Inputs!$B$6)/(B6921-Inputs!$B$6)/(1+B6921)^7</f>
        <v>-1407.172898</v>
      </c>
    </row>
    <row r="6922" ht="14.25" customHeight="1">
      <c r="A6922" s="7">
        <v>6909.0</v>
      </c>
      <c r="B6922" s="14">
        <f t="shared" si="1"/>
        <v>0.1277738904</v>
      </c>
      <c r="C6922" s="39">
        <f t="array" ref="C6922">NPV(B6922,FCFF!$C$9:$I$9)+FCFF!$B$9+FCFF!$I$9*(1+Inputs!$B$6)/(B6922-Inputs!$B$6)/(1+B6922)^7</f>
        <v>-1941.733085</v>
      </c>
    </row>
    <row r="6923" ht="14.25" customHeight="1">
      <c r="A6923" s="7">
        <v>6910.0</v>
      </c>
      <c r="B6923" s="14">
        <f t="shared" si="1"/>
        <v>0.1287190147</v>
      </c>
      <c r="C6923" s="39">
        <f t="array" ref="C6923">NPV(B6923,FCFF!$C$9:$I$9)+FCFF!$B$9+FCFF!$I$9*(1+Inputs!$B$6)/(B6923-Inputs!$B$6)/(1+B6923)^7</f>
        <v>-1954.941954</v>
      </c>
    </row>
    <row r="6924" ht="14.25" customHeight="1">
      <c r="A6924" s="7">
        <v>6911.0</v>
      </c>
      <c r="B6924" s="14">
        <f t="shared" si="1"/>
        <v>0.1140271676</v>
      </c>
      <c r="C6924" s="39">
        <f t="array" ref="C6924">NPV(B6924,FCFF!$C$9:$I$9)+FCFF!$B$9+FCFF!$I$9*(1+Inputs!$B$6)/(B6924-Inputs!$B$6)/(1+B6924)^7</f>
        <v>-1713.494558</v>
      </c>
    </row>
    <row r="6925" ht="14.25" customHeight="1">
      <c r="A6925" s="7">
        <v>6912.0</v>
      </c>
      <c r="B6925" s="14">
        <f t="shared" si="1"/>
        <v>0.1081954417</v>
      </c>
      <c r="C6925" s="39">
        <f t="array" ref="C6925">NPV(B6925,FCFF!$C$9:$I$9)+FCFF!$B$9+FCFF!$I$9*(1+Inputs!$B$6)/(B6925-Inputs!$B$6)/(1+B6925)^7</f>
        <v>-1591.11065</v>
      </c>
    </row>
    <row r="6926" ht="14.25" customHeight="1">
      <c r="A6926" s="7">
        <v>6913.0</v>
      </c>
      <c r="B6926" s="14">
        <f t="shared" si="1"/>
        <v>0.09529572624</v>
      </c>
      <c r="C6926" s="39">
        <f t="array" ref="C6926">NPV(B6926,FCFF!$C$9:$I$9)+FCFF!$B$9+FCFF!$I$9*(1+Inputs!$B$6)/(B6926-Inputs!$B$6)/(1+B6926)^7</f>
        <v>-1240.880387</v>
      </c>
    </row>
    <row r="6927" ht="14.25" customHeight="1">
      <c r="A6927" s="7">
        <v>6914.0</v>
      </c>
      <c r="B6927" s="14">
        <f t="shared" si="1"/>
        <v>0.09635257832</v>
      </c>
      <c r="C6927" s="39">
        <f t="array" ref="C6927">NPV(B6927,FCFF!$C$9:$I$9)+FCFF!$B$9+FCFF!$I$9*(1+Inputs!$B$6)/(B6927-Inputs!$B$6)/(1+B6927)^7</f>
        <v>-1274.726216</v>
      </c>
    </row>
    <row r="6928" ht="14.25" customHeight="1">
      <c r="A6928" s="7">
        <v>6915.0</v>
      </c>
      <c r="B6928" s="14">
        <f t="shared" si="1"/>
        <v>0.1002012012</v>
      </c>
      <c r="C6928" s="39">
        <f t="array" ref="C6928">NPV(B6928,FCFF!$C$9:$I$9)+FCFF!$B$9+FCFF!$I$9*(1+Inputs!$B$6)/(B6928-Inputs!$B$6)/(1+B6928)^7</f>
        <v>-1389.372932</v>
      </c>
    </row>
    <row r="6929" ht="14.25" customHeight="1">
      <c r="A6929" s="7">
        <v>6916.0</v>
      </c>
      <c r="B6929" s="14">
        <f t="shared" si="1"/>
        <v>0.1085277597</v>
      </c>
      <c r="C6929" s="39">
        <f t="array" ref="C6929">NPV(B6929,FCFF!$C$9:$I$9)+FCFF!$B$9+FCFF!$I$9*(1+Inputs!$B$6)/(B6929-Inputs!$B$6)/(1+B6929)^7</f>
        <v>-1598.589621</v>
      </c>
    </row>
    <row r="6930" ht="14.25" customHeight="1">
      <c r="A6930" s="7">
        <v>6917.0</v>
      </c>
      <c r="B6930" s="14">
        <f t="shared" si="1"/>
        <v>0.1019873709</v>
      </c>
      <c r="C6930" s="39">
        <f t="array" ref="C6930">NPV(B6930,FCFF!$C$9:$I$9)+FCFF!$B$9+FCFF!$I$9*(1+Inputs!$B$6)/(B6930-Inputs!$B$6)/(1+B6930)^7</f>
        <v>-1438.395805</v>
      </c>
    </row>
    <row r="6931" ht="14.25" customHeight="1">
      <c r="A6931" s="7">
        <v>6918.0</v>
      </c>
      <c r="B6931" s="14">
        <f t="shared" si="1"/>
        <v>0.1076364716</v>
      </c>
      <c r="C6931" s="39">
        <f t="array" ref="C6931">NPV(B6931,FCFF!$C$9:$I$9)+FCFF!$B$9+FCFF!$I$9*(1+Inputs!$B$6)/(B6931-Inputs!$B$6)/(1+B6931)^7</f>
        <v>-1578.382307</v>
      </c>
    </row>
    <row r="6932" ht="14.25" customHeight="1">
      <c r="A6932" s="7">
        <v>6919.0</v>
      </c>
      <c r="B6932" s="14">
        <f t="shared" si="1"/>
        <v>0.1015514071</v>
      </c>
      <c r="C6932" s="39">
        <f t="array" ref="C6932">NPV(B6932,FCFF!$C$9:$I$9)+FCFF!$B$9+FCFF!$I$9*(1+Inputs!$B$6)/(B6932-Inputs!$B$6)/(1+B6932)^7</f>
        <v>-1426.658418</v>
      </c>
    </row>
    <row r="6933" ht="14.25" customHeight="1">
      <c r="A6933" s="7">
        <v>6920.0</v>
      </c>
      <c r="B6933" s="14">
        <f t="shared" si="1"/>
        <v>0.1067444651</v>
      </c>
      <c r="C6933" s="39">
        <f t="array" ref="C6933">NPV(B6933,FCFF!$C$9:$I$9)+FCFF!$B$9+FCFF!$I$9*(1+Inputs!$B$6)/(B6933-Inputs!$B$6)/(1+B6933)^7</f>
        <v>-1557.676158</v>
      </c>
    </row>
    <row r="6934" ht="14.25" customHeight="1">
      <c r="A6934" s="7">
        <v>6921.0</v>
      </c>
      <c r="B6934" s="14">
        <f t="shared" si="1"/>
        <v>0.1132854135</v>
      </c>
      <c r="C6934" s="39">
        <f t="array" ref="C6934">NPV(B6934,FCFF!$C$9:$I$9)+FCFF!$B$9+FCFF!$I$9*(1+Inputs!$B$6)/(B6934-Inputs!$B$6)/(1+B6934)^7</f>
        <v>-1698.914417</v>
      </c>
    </row>
    <row r="6935" ht="14.25" customHeight="1">
      <c r="A6935" s="7">
        <v>6922.0</v>
      </c>
      <c r="B6935" s="14">
        <f t="shared" si="1"/>
        <v>0.1098266378</v>
      </c>
      <c r="C6935" s="39">
        <f t="array" ref="C6935">NPV(B6935,FCFF!$C$9:$I$9)+FCFF!$B$9+FCFF!$I$9*(1+Inputs!$B$6)/(B6935-Inputs!$B$6)/(1+B6935)^7</f>
        <v>-1627.206633</v>
      </c>
    </row>
    <row r="6936" ht="14.25" customHeight="1">
      <c r="A6936" s="7">
        <v>6923.0</v>
      </c>
      <c r="B6936" s="14">
        <f t="shared" si="1"/>
        <v>0.1174165944</v>
      </c>
      <c r="C6936" s="39">
        <f t="array" ref="C6936">NPV(B6936,FCFF!$C$9:$I$9)+FCFF!$B$9+FCFF!$I$9*(1+Inputs!$B$6)/(B6936-Inputs!$B$6)/(1+B6936)^7</f>
        <v>-1776.830858</v>
      </c>
    </row>
    <row r="6937" ht="14.25" customHeight="1">
      <c r="A6937" s="7">
        <v>6924.0</v>
      </c>
      <c r="B6937" s="14">
        <f t="shared" si="1"/>
        <v>0.1201011586</v>
      </c>
      <c r="C6937" s="39">
        <f t="array" ref="C6937">NPV(B6937,FCFF!$C$9:$I$9)+FCFF!$B$9+FCFF!$I$9*(1+Inputs!$B$6)/(B6937-Inputs!$B$6)/(1+B6937)^7</f>
        <v>-1823.446451</v>
      </c>
    </row>
    <row r="6938" ht="14.25" customHeight="1">
      <c r="A6938" s="7">
        <v>6925.0</v>
      </c>
      <c r="B6938" s="14">
        <f t="shared" si="1"/>
        <v>0.1191330244</v>
      </c>
      <c r="C6938" s="39">
        <f t="array" ref="C6938">NPV(B6938,FCFF!$C$9:$I$9)+FCFF!$B$9+FCFF!$I$9*(1+Inputs!$B$6)/(B6938-Inputs!$B$6)/(1+B6938)^7</f>
        <v>-1806.977225</v>
      </c>
    </row>
    <row r="6939" ht="14.25" customHeight="1">
      <c r="A6939" s="7">
        <v>6926.0</v>
      </c>
      <c r="B6939" s="14">
        <f t="shared" si="1"/>
        <v>0.1007650997</v>
      </c>
      <c r="C6939" s="39">
        <f t="array" ref="C6939">NPV(B6939,FCFF!$C$9:$I$9)+FCFF!$B$9+FCFF!$I$9*(1+Inputs!$B$6)/(B6939-Inputs!$B$6)/(1+B6939)^7</f>
        <v>-1405.119336</v>
      </c>
    </row>
    <row r="6940" ht="14.25" customHeight="1">
      <c r="A6940" s="7">
        <v>6927.0</v>
      </c>
      <c r="B6940" s="14">
        <f t="shared" si="1"/>
        <v>0.1164514911</v>
      </c>
      <c r="C6940" s="39">
        <f t="array" ref="C6940">NPV(B6940,FCFF!$C$9:$I$9)+FCFF!$B$9+FCFF!$I$9*(1+Inputs!$B$6)/(B6940-Inputs!$B$6)/(1+B6940)^7</f>
        <v>-1759.326484</v>
      </c>
    </row>
    <row r="6941" ht="14.25" customHeight="1">
      <c r="A6941" s="7">
        <v>6928.0</v>
      </c>
      <c r="B6941" s="14">
        <f t="shared" si="1"/>
        <v>0.1220796649</v>
      </c>
      <c r="C6941" s="39">
        <f t="array" ref="C6941">NPV(B6941,FCFF!$C$9:$I$9)+FCFF!$B$9+FCFF!$I$9*(1+Inputs!$B$6)/(B6941-Inputs!$B$6)/(1+B6941)^7</f>
        <v>-1855.963055</v>
      </c>
    </row>
    <row r="6942" ht="14.25" customHeight="1">
      <c r="A6942" s="7">
        <v>6929.0</v>
      </c>
      <c r="B6942" s="14">
        <f t="shared" si="1"/>
        <v>0.1085319239</v>
      </c>
      <c r="C6942" s="39">
        <f t="array" ref="C6942">NPV(B6942,FCFF!$C$9:$I$9)+FCFF!$B$9+FCFF!$I$9*(1+Inputs!$B$6)/(B6942-Inputs!$B$6)/(1+B6942)^7</f>
        <v>-1598.682927</v>
      </c>
    </row>
    <row r="6943" ht="14.25" customHeight="1">
      <c r="A6943" s="7">
        <v>6930.0</v>
      </c>
      <c r="B6943" s="14">
        <f t="shared" si="1"/>
        <v>0.1073793844</v>
      </c>
      <c r="C6943" s="39">
        <f t="array" ref="C6943">NPV(B6943,FCFF!$C$9:$I$9)+FCFF!$B$9+FCFF!$I$9*(1+Inputs!$B$6)/(B6943-Inputs!$B$6)/(1+B6943)^7</f>
        <v>-1572.464758</v>
      </c>
    </row>
    <row r="6944" ht="14.25" customHeight="1">
      <c r="A6944" s="7">
        <v>6931.0</v>
      </c>
      <c r="B6944" s="14">
        <f t="shared" si="1"/>
        <v>0.1151024575</v>
      </c>
      <c r="C6944" s="39">
        <f t="array" ref="C6944">NPV(B6944,FCFF!$C$9:$I$9)+FCFF!$B$9+FCFF!$I$9*(1+Inputs!$B$6)/(B6944-Inputs!$B$6)/(1+B6944)^7</f>
        <v>-1734.160106</v>
      </c>
    </row>
    <row r="6945" ht="14.25" customHeight="1">
      <c r="A6945" s="7">
        <v>6932.0</v>
      </c>
      <c r="B6945" s="14">
        <f t="shared" si="1"/>
        <v>0.09765559107</v>
      </c>
      <c r="C6945" s="39">
        <f t="array" ref="C6945">NPV(B6945,FCFF!$C$9:$I$9)+FCFF!$B$9+FCFF!$I$9*(1+Inputs!$B$6)/(B6945-Inputs!$B$6)/(1+B6945)^7</f>
        <v>-1315.004122</v>
      </c>
    </row>
    <row r="6946" ht="14.25" customHeight="1">
      <c r="A6946" s="7">
        <v>6933.0</v>
      </c>
      <c r="B6946" s="14">
        <f t="shared" si="1"/>
        <v>0.09508789245</v>
      </c>
      <c r="C6946" s="39">
        <f t="array" ref="C6946">NPV(B6946,FCFF!$C$9:$I$9)+FCFF!$B$9+FCFF!$I$9*(1+Inputs!$B$6)/(B6946-Inputs!$B$6)/(1+B6946)^7</f>
        <v>-1234.095844</v>
      </c>
    </row>
    <row r="6947" ht="14.25" customHeight="1">
      <c r="A6947" s="7">
        <v>6934.0</v>
      </c>
      <c r="B6947" s="14">
        <f t="shared" si="1"/>
        <v>0.1019604627</v>
      </c>
      <c r="C6947" s="39">
        <f t="array" ref="C6947">NPV(B6947,FCFF!$C$9:$I$9)+FCFF!$B$9+FCFF!$I$9*(1+Inputs!$B$6)/(B6947-Inputs!$B$6)/(1+B6947)^7</f>
        <v>-1437.675524</v>
      </c>
    </row>
    <row r="6948" ht="14.25" customHeight="1">
      <c r="A6948" s="7">
        <v>6935.0</v>
      </c>
      <c r="B6948" s="14">
        <f t="shared" si="1"/>
        <v>0.1158151351</v>
      </c>
      <c r="C6948" s="39">
        <f t="array" ref="C6948">NPV(B6948,FCFF!$C$9:$I$9)+FCFF!$B$9+FCFF!$I$9*(1+Inputs!$B$6)/(B6948-Inputs!$B$6)/(1+B6948)^7</f>
        <v>-1747.558487</v>
      </c>
    </row>
    <row r="6949" ht="14.25" customHeight="1">
      <c r="A6949" s="7">
        <v>6936.0</v>
      </c>
      <c r="B6949" s="14">
        <f t="shared" si="1"/>
        <v>0.1241892477</v>
      </c>
      <c r="C6949" s="39">
        <f t="array" ref="C6949">NPV(B6949,FCFF!$C$9:$I$9)+FCFF!$B$9+FCFF!$I$9*(1+Inputs!$B$6)/(B6949-Inputs!$B$6)/(1+B6949)^7</f>
        <v>-1889.034568</v>
      </c>
    </row>
    <row r="6950" ht="14.25" customHeight="1">
      <c r="A6950" s="7">
        <v>6937.0</v>
      </c>
      <c r="B6950" s="14">
        <f t="shared" si="1"/>
        <v>0.1088098229</v>
      </c>
      <c r="C6950" s="39">
        <f t="array" ref="C6950">NPV(B6950,FCFF!$C$9:$I$9)+FCFF!$B$9+FCFF!$I$9*(1+Inputs!$B$6)/(B6950-Inputs!$B$6)/(1+B6950)^7</f>
        <v>-1604.886679</v>
      </c>
    </row>
    <row r="6951" ht="14.25" customHeight="1">
      <c r="A6951" s="7">
        <v>6938.0</v>
      </c>
      <c r="B6951" s="14">
        <f t="shared" si="1"/>
        <v>0.1041452234</v>
      </c>
      <c r="C6951" s="39">
        <f t="array" ref="C6951">NPV(B6951,FCFF!$C$9:$I$9)+FCFF!$B$9+FCFF!$I$9*(1+Inputs!$B$6)/(B6951-Inputs!$B$6)/(1+B6951)^7</f>
        <v>-1494.432681</v>
      </c>
    </row>
    <row r="6952" ht="14.25" customHeight="1">
      <c r="A6952" s="7">
        <v>6939.0</v>
      </c>
      <c r="B6952" s="14">
        <f t="shared" si="1"/>
        <v>0.107831707</v>
      </c>
      <c r="C6952" s="39">
        <f t="array" ref="C6952">NPV(B6952,FCFF!$C$9:$I$9)+FCFF!$B$9+FCFF!$I$9*(1+Inputs!$B$6)/(B6952-Inputs!$B$6)/(1+B6952)^7</f>
        <v>-1582.849366</v>
      </c>
    </row>
    <row r="6953" ht="14.25" customHeight="1">
      <c r="A6953" s="7">
        <v>6940.0</v>
      </c>
      <c r="B6953" s="14">
        <f t="shared" si="1"/>
        <v>0.09361985779</v>
      </c>
      <c r="C6953" s="39">
        <f t="array" ref="C6953">NPV(B6953,FCFF!$C$9:$I$9)+FCFF!$B$9+FCFF!$I$9*(1+Inputs!$B$6)/(B6953-Inputs!$B$6)/(1+B6953)^7</f>
        <v>-1184.920753</v>
      </c>
    </row>
    <row r="6954" ht="14.25" customHeight="1">
      <c r="A6954" s="7">
        <v>6941.0</v>
      </c>
      <c r="B6954" s="14">
        <f t="shared" si="1"/>
        <v>0.1011801488</v>
      </c>
      <c r="C6954" s="39">
        <f t="array" ref="C6954">NPV(B6954,FCFF!$C$9:$I$9)+FCFF!$B$9+FCFF!$I$9*(1+Inputs!$B$6)/(B6954-Inputs!$B$6)/(1+B6954)^7</f>
        <v>-1416.548519</v>
      </c>
    </row>
    <row r="6955" ht="14.25" customHeight="1">
      <c r="A6955" s="7">
        <v>6942.0</v>
      </c>
      <c r="B6955" s="14">
        <f t="shared" si="1"/>
        <v>0.1110998261</v>
      </c>
      <c r="C6955" s="39">
        <f t="array" ref="C6955">NPV(B6955,FCFF!$C$9:$I$9)+FCFF!$B$9+FCFF!$I$9*(1+Inputs!$B$6)/(B6955-Inputs!$B$6)/(1+B6955)^7</f>
        <v>-1654.339825</v>
      </c>
    </row>
    <row r="6956" ht="14.25" customHeight="1">
      <c r="A6956" s="7">
        <v>6943.0</v>
      </c>
      <c r="B6956" s="14">
        <f t="shared" si="1"/>
        <v>0.1033182418</v>
      </c>
      <c r="C6956" s="39">
        <f t="array" ref="C6956">NPV(B6956,FCFF!$C$9:$I$9)+FCFF!$B$9+FCFF!$I$9*(1+Inputs!$B$6)/(B6956-Inputs!$B$6)/(1+B6956)^7</f>
        <v>-1473.352525</v>
      </c>
    </row>
    <row r="6957" ht="14.25" customHeight="1">
      <c r="A6957" s="7">
        <v>6944.0</v>
      </c>
      <c r="B6957" s="14">
        <f t="shared" si="1"/>
        <v>0.1093383006</v>
      </c>
      <c r="C6957" s="39">
        <f t="array" ref="C6957">NPV(B6957,FCFF!$C$9:$I$9)+FCFF!$B$9+FCFF!$I$9*(1+Inputs!$B$6)/(B6957-Inputs!$B$6)/(1+B6957)^7</f>
        <v>-1616.560825</v>
      </c>
    </row>
    <row r="6958" ht="14.25" customHeight="1">
      <c r="A6958" s="7">
        <v>6945.0</v>
      </c>
      <c r="B6958" s="14">
        <f t="shared" si="1"/>
        <v>0.1085222722</v>
      </c>
      <c r="C6958" s="39">
        <f t="array" ref="C6958">NPV(B6958,FCFF!$C$9:$I$9)+FCFF!$B$9+FCFF!$I$9*(1+Inputs!$B$6)/(B6958-Inputs!$B$6)/(1+B6958)^7</f>
        <v>-1598.466653</v>
      </c>
    </row>
    <row r="6959" ht="14.25" customHeight="1">
      <c r="A6959" s="7">
        <v>6946.0</v>
      </c>
      <c r="B6959" s="14">
        <f t="shared" si="1"/>
        <v>0.1092205729</v>
      </c>
      <c r="C6959" s="39">
        <f t="array" ref="C6959">NPV(B6959,FCFF!$C$9:$I$9)+FCFF!$B$9+FCFF!$I$9*(1+Inputs!$B$6)/(B6959-Inputs!$B$6)/(1+B6959)^7</f>
        <v>-1613.974098</v>
      </c>
    </row>
    <row r="6960" ht="14.25" customHeight="1">
      <c r="A6960" s="7">
        <v>6947.0</v>
      </c>
      <c r="B6960" s="14">
        <f t="shared" si="1"/>
        <v>0.09769541579</v>
      </c>
      <c r="C6960" s="39">
        <f t="array" ref="C6960">NPV(B6960,FCFF!$C$9:$I$9)+FCFF!$B$9+FCFF!$I$9*(1+Inputs!$B$6)/(B6960-Inputs!$B$6)/(1+B6960)^7</f>
        <v>-1316.210759</v>
      </c>
    </row>
    <row r="6961" ht="14.25" customHeight="1">
      <c r="A6961" s="7">
        <v>6948.0</v>
      </c>
      <c r="B6961" s="14">
        <f t="shared" si="1"/>
        <v>0.1250589538</v>
      </c>
      <c r="C6961" s="39">
        <f t="array" ref="C6961">NPV(B6961,FCFF!$C$9:$I$9)+FCFF!$B$9+FCFF!$I$9*(1+Inputs!$B$6)/(B6961-Inputs!$B$6)/(1+B6961)^7</f>
        <v>-1902.212538</v>
      </c>
    </row>
    <row r="6962" ht="14.25" customHeight="1">
      <c r="A6962" s="7">
        <v>6949.0</v>
      </c>
      <c r="B6962" s="14">
        <f t="shared" si="1"/>
        <v>0.1029484477</v>
      </c>
      <c r="C6962" s="39">
        <f t="array" ref="C6962">NPV(B6962,FCFF!$C$9:$I$9)+FCFF!$B$9+FCFF!$I$9*(1+Inputs!$B$6)/(B6962-Inputs!$B$6)/(1+B6962)^7</f>
        <v>-1463.769216</v>
      </c>
    </row>
    <row r="6963" ht="14.25" customHeight="1">
      <c r="A6963" s="7">
        <v>6950.0</v>
      </c>
      <c r="B6963" s="14">
        <f t="shared" si="1"/>
        <v>0.1277392717</v>
      </c>
      <c r="C6963" s="39">
        <f t="array" ref="C6963">NPV(B6963,FCFF!$C$9:$I$9)+FCFF!$B$9+FCFF!$I$9*(1+Inputs!$B$6)/(B6963-Inputs!$B$6)/(1+B6963)^7</f>
        <v>-1941.244021</v>
      </c>
    </row>
    <row r="6964" ht="14.25" customHeight="1">
      <c r="A6964" s="7">
        <v>6951.0</v>
      </c>
      <c r="B6964" s="14">
        <f t="shared" si="1"/>
        <v>0.1054287109</v>
      </c>
      <c r="C6964" s="39">
        <f t="array" ref="C6964">NPV(B6964,FCFF!$C$9:$I$9)+FCFF!$B$9+FCFF!$I$9*(1+Inputs!$B$6)/(B6964-Inputs!$B$6)/(1+B6964)^7</f>
        <v>-1526.217943</v>
      </c>
    </row>
    <row r="6965" ht="14.25" customHeight="1">
      <c r="A6965" s="7">
        <v>6952.0</v>
      </c>
      <c r="B6965" s="14">
        <f t="shared" si="1"/>
        <v>0.12320649</v>
      </c>
      <c r="C6965" s="39">
        <f t="array" ref="C6965">NPV(B6965,FCFF!$C$9:$I$9)+FCFF!$B$9+FCFF!$I$9*(1+Inputs!$B$6)/(B6965-Inputs!$B$6)/(1+B6965)^7</f>
        <v>-1873.826812</v>
      </c>
    </row>
    <row r="6966" ht="14.25" customHeight="1">
      <c r="A6966" s="7">
        <v>6953.0</v>
      </c>
      <c r="B6966" s="14">
        <f t="shared" si="1"/>
        <v>0.1306793733</v>
      </c>
      <c r="C6966" s="39">
        <f t="array" ref="C6966">NPV(B6966,FCFF!$C$9:$I$9)+FCFF!$B$9+FCFF!$I$9*(1+Inputs!$B$6)/(B6966-Inputs!$B$6)/(1+B6966)^7</f>
        <v>-1981.484659</v>
      </c>
    </row>
    <row r="6967" ht="14.25" customHeight="1">
      <c r="A6967" s="7">
        <v>6954.0</v>
      </c>
      <c r="B6967" s="14">
        <f t="shared" si="1"/>
        <v>0.09794036193</v>
      </c>
      <c r="C6967" s="39">
        <f t="array" ref="C6967">NPV(B6967,FCFF!$C$9:$I$9)+FCFF!$B$9+FCFF!$I$9*(1+Inputs!$B$6)/(B6967-Inputs!$B$6)/(1+B6967)^7</f>
        <v>-1323.601187</v>
      </c>
    </row>
    <row r="6968" ht="14.25" customHeight="1">
      <c r="A6968" s="7">
        <v>6955.0</v>
      </c>
      <c r="B6968" s="14">
        <f t="shared" si="1"/>
        <v>0.1111670174</v>
      </c>
      <c r="C6968" s="39">
        <f t="array" ref="C6968">NPV(B6968,FCFF!$C$9:$I$9)+FCFF!$B$9+FCFF!$I$9*(1+Inputs!$B$6)/(B6968-Inputs!$B$6)/(1+B6968)^7</f>
        <v>-1655.747296</v>
      </c>
    </row>
    <row r="6969" ht="14.25" customHeight="1">
      <c r="A6969" s="7">
        <v>6956.0</v>
      </c>
      <c r="B6969" s="14">
        <f t="shared" si="1"/>
        <v>0.09677881641</v>
      </c>
      <c r="C6969" s="39">
        <f t="array" ref="C6969">NPV(B6969,FCFF!$C$9:$I$9)+FCFF!$B$9+FCFF!$I$9*(1+Inputs!$B$6)/(B6969-Inputs!$B$6)/(1+B6969)^7</f>
        <v>-1288.074519</v>
      </c>
    </row>
    <row r="6970" ht="14.25" customHeight="1">
      <c r="A6970" s="7">
        <v>6957.0</v>
      </c>
      <c r="B6970" s="14">
        <f t="shared" si="1"/>
        <v>0.11428457</v>
      </c>
      <c r="C6970" s="39">
        <f t="array" ref="C6970">NPV(B6970,FCFF!$C$9:$I$9)+FCFF!$B$9+FCFF!$I$9*(1+Inputs!$B$6)/(B6970-Inputs!$B$6)/(1+B6970)^7</f>
        <v>-1718.491605</v>
      </c>
    </row>
    <row r="6971" ht="14.25" customHeight="1">
      <c r="A6971" s="7">
        <v>6958.0</v>
      </c>
      <c r="B6971" s="14">
        <f t="shared" si="1"/>
        <v>0.1012673894</v>
      </c>
      <c r="C6971" s="39">
        <f t="array" ref="C6971">NPV(B6971,FCFF!$C$9:$I$9)+FCFF!$B$9+FCFF!$I$9*(1+Inputs!$B$6)/(B6971-Inputs!$B$6)/(1+B6971)^7</f>
        <v>-1418.933768</v>
      </c>
    </row>
    <row r="6972" ht="14.25" customHeight="1">
      <c r="A6972" s="7">
        <v>6959.0</v>
      </c>
      <c r="B6972" s="14">
        <f t="shared" si="1"/>
        <v>0.1310013517</v>
      </c>
      <c r="C6972" s="39">
        <f t="array" ref="C6972">NPV(B6972,FCFF!$C$9:$I$9)+FCFF!$B$9+FCFF!$I$9*(1+Inputs!$B$6)/(B6972-Inputs!$B$6)/(1+B6972)^7</f>
        <v>-1985.737296</v>
      </c>
    </row>
    <row r="6973" ht="14.25" customHeight="1">
      <c r="A6973" s="7">
        <v>6960.0</v>
      </c>
      <c r="B6973" s="14">
        <f t="shared" si="1"/>
        <v>0.1013426591</v>
      </c>
      <c r="C6973" s="39">
        <f t="array" ref="C6973">NPV(B6973,FCFF!$C$9:$I$9)+FCFF!$B$9+FCFF!$I$9*(1+Inputs!$B$6)/(B6973-Inputs!$B$6)/(1+B6973)^7</f>
        <v>-1420.986989</v>
      </c>
    </row>
    <row r="6974" ht="14.25" customHeight="1">
      <c r="A6974" s="7">
        <v>6961.0</v>
      </c>
      <c r="B6974" s="14">
        <f t="shared" si="1"/>
        <v>0.118400428</v>
      </c>
      <c r="C6974" s="39">
        <f t="array" ref="C6974">NPV(B6974,FCFF!$C$9:$I$9)+FCFF!$B$9+FCFF!$I$9*(1+Inputs!$B$6)/(B6974-Inputs!$B$6)/(1+B6974)^7</f>
        <v>-1794.261312</v>
      </c>
    </row>
    <row r="6975" ht="14.25" customHeight="1">
      <c r="A6975" s="7">
        <v>6962.0</v>
      </c>
      <c r="B6975" s="14">
        <f t="shared" si="1"/>
        <v>0.1054167346</v>
      </c>
      <c r="C6975" s="39">
        <f t="array" ref="C6975">NPV(B6975,FCFF!$C$9:$I$9)+FCFF!$B$9+FCFF!$I$9*(1+Inputs!$B$6)/(B6975-Inputs!$B$6)/(1+B6975)^7</f>
        <v>-1525.926452</v>
      </c>
    </row>
    <row r="6976" ht="14.25" customHeight="1">
      <c r="A6976" s="7">
        <v>6963.0</v>
      </c>
      <c r="B6976" s="14">
        <f t="shared" si="1"/>
        <v>0.1197482486</v>
      </c>
      <c r="C6976" s="39">
        <f t="array" ref="C6976">NPV(B6976,FCFF!$C$9:$I$9)+FCFF!$B$9+FCFF!$I$9*(1+Inputs!$B$6)/(B6976-Inputs!$B$6)/(1+B6976)^7</f>
        <v>-1817.486525</v>
      </c>
    </row>
    <row r="6977" ht="14.25" customHeight="1">
      <c r="A6977" s="7">
        <v>6964.0</v>
      </c>
      <c r="B6977" s="14">
        <f t="shared" si="1"/>
        <v>0.1227635822</v>
      </c>
      <c r="C6977" s="39">
        <f t="array" ref="C6977">NPV(B6977,FCFF!$C$9:$I$9)+FCFF!$B$9+FCFF!$I$9*(1+Inputs!$B$6)/(B6977-Inputs!$B$6)/(1+B6977)^7</f>
        <v>-1866.86049</v>
      </c>
    </row>
    <row r="6978" ht="14.25" customHeight="1">
      <c r="A6978" s="7">
        <v>6965.0</v>
      </c>
      <c r="B6978" s="14">
        <f t="shared" si="1"/>
        <v>0.10774062</v>
      </c>
      <c r="C6978" s="39">
        <f t="array" ref="C6978">NPV(B6978,FCFF!$C$9:$I$9)+FCFF!$B$9+FCFF!$I$9*(1+Inputs!$B$6)/(B6978-Inputs!$B$6)/(1+B6978)^7</f>
        <v>-1580.768129</v>
      </c>
    </row>
    <row r="6979" ht="14.25" customHeight="1">
      <c r="A6979" s="7">
        <v>6966.0</v>
      </c>
      <c r="B6979" s="14">
        <f t="shared" si="1"/>
        <v>0.09958680408</v>
      </c>
      <c r="C6979" s="39">
        <f t="array" ref="C6979">NPV(B6979,FCFF!$C$9:$I$9)+FCFF!$B$9+FCFF!$I$9*(1+Inputs!$B$6)/(B6979-Inputs!$B$6)/(1+B6979)^7</f>
        <v>-1371.923838</v>
      </c>
    </row>
    <row r="6980" ht="14.25" customHeight="1">
      <c r="A6980" s="7">
        <v>6967.0</v>
      </c>
      <c r="B6980" s="14">
        <f t="shared" si="1"/>
        <v>0.107545166</v>
      </c>
      <c r="C6980" s="39">
        <f t="array" ref="C6980">NPV(B6980,FCFF!$C$9:$I$9)+FCFF!$B$9+FCFF!$I$9*(1+Inputs!$B$6)/(B6980-Inputs!$B$6)/(1+B6980)^7</f>
        <v>-1576.285275</v>
      </c>
    </row>
    <row r="6981" ht="14.25" customHeight="1">
      <c r="A6981" s="7">
        <v>6968.0</v>
      </c>
      <c r="B6981" s="14">
        <f t="shared" si="1"/>
        <v>0.1014675732</v>
      </c>
      <c r="C6981" s="39">
        <f t="array" ref="C6981">NPV(B6981,FCFF!$C$9:$I$9)+FCFF!$B$9+FCFF!$I$9*(1+Inputs!$B$6)/(B6981-Inputs!$B$6)/(1+B6981)^7</f>
        <v>-1424.384774</v>
      </c>
    </row>
    <row r="6982" ht="14.25" customHeight="1">
      <c r="A6982" s="7">
        <v>6969.0</v>
      </c>
      <c r="B6982" s="14">
        <f t="shared" si="1"/>
        <v>0.1017213864</v>
      </c>
      <c r="C6982" s="39">
        <f t="array" ref="C6982">NPV(B6982,FCFF!$C$9:$I$9)+FCFF!$B$9+FCFF!$I$9*(1+Inputs!$B$6)/(B6982-Inputs!$B$6)/(1+B6982)^7</f>
        <v>-1431.251903</v>
      </c>
    </row>
    <row r="6983" ht="14.25" customHeight="1">
      <c r="A6983" s="7">
        <v>6970.0</v>
      </c>
      <c r="B6983" s="14">
        <f t="shared" si="1"/>
        <v>0.1283712112</v>
      </c>
      <c r="C6983" s="39">
        <f t="array" ref="C6983">NPV(B6983,FCFF!$C$9:$I$9)+FCFF!$B$9+FCFF!$I$9*(1+Inputs!$B$6)/(B6983-Inputs!$B$6)/(1+B6983)^7</f>
        <v>-1950.113014</v>
      </c>
    </row>
    <row r="6984" ht="14.25" customHeight="1">
      <c r="A6984" s="7">
        <v>6971.0</v>
      </c>
      <c r="B6984" s="14">
        <f t="shared" si="1"/>
        <v>0.1026780806</v>
      </c>
      <c r="C6984" s="39">
        <f t="array" ref="C6984">NPV(B6984,FCFF!$C$9:$I$9)+FCFF!$B$9+FCFF!$I$9*(1+Inputs!$B$6)/(B6984-Inputs!$B$6)/(1+B6984)^7</f>
        <v>-1456.699979</v>
      </c>
    </row>
    <row r="6985" ht="14.25" customHeight="1">
      <c r="A6985" s="7">
        <v>6972.0</v>
      </c>
      <c r="B6985" s="14">
        <f t="shared" si="1"/>
        <v>0.125476625</v>
      </c>
      <c r="C6985" s="39">
        <f t="array" ref="C6985">NPV(B6985,FCFF!$C$9:$I$9)+FCFF!$B$9+FCFF!$I$9*(1+Inputs!$B$6)/(B6985-Inputs!$B$6)/(1+B6985)^7</f>
        <v>-1908.449769</v>
      </c>
    </row>
    <row r="6986" ht="14.25" customHeight="1">
      <c r="A6986" s="7">
        <v>6973.0</v>
      </c>
      <c r="B6986" s="14">
        <f t="shared" si="1"/>
        <v>0.1117820257</v>
      </c>
      <c r="C6986" s="39">
        <f t="array" ref="C6986">NPV(B6986,FCFF!$C$9:$I$9)+FCFF!$B$9+FCFF!$I$9*(1+Inputs!$B$6)/(B6986-Inputs!$B$6)/(1+B6986)^7</f>
        <v>-1668.518672</v>
      </c>
    </row>
    <row r="6987" ht="14.25" customHeight="1">
      <c r="A6987" s="7">
        <v>6974.0</v>
      </c>
      <c r="B6987" s="14">
        <f t="shared" si="1"/>
        <v>0.1283547864</v>
      </c>
      <c r="C6987" s="39">
        <f t="array" ref="C6987">NPV(B6987,FCFF!$C$9:$I$9)+FCFF!$B$9+FCFF!$I$9*(1+Inputs!$B$6)/(B6987-Inputs!$B$6)/(1+B6987)^7</f>
        <v>-1949.884058</v>
      </c>
    </row>
    <row r="6988" ht="14.25" customHeight="1">
      <c r="A6988" s="7">
        <v>6975.0</v>
      </c>
      <c r="B6988" s="14">
        <f t="shared" si="1"/>
        <v>0.1174442427</v>
      </c>
      <c r="C6988" s="39">
        <f t="array" ref="C6988">NPV(B6988,FCFF!$C$9:$I$9)+FCFF!$B$9+FCFF!$I$9*(1+Inputs!$B$6)/(B6988-Inputs!$B$6)/(1+B6988)^7</f>
        <v>-1777.326339</v>
      </c>
    </row>
    <row r="6989" ht="14.25" customHeight="1">
      <c r="A6989" s="7">
        <v>6976.0</v>
      </c>
      <c r="B6989" s="14">
        <f t="shared" si="1"/>
        <v>0.112156053</v>
      </c>
      <c r="C6989" s="39">
        <f t="array" ref="C6989">NPV(B6989,FCFF!$C$9:$I$9)+FCFF!$B$9+FCFF!$I$9*(1+Inputs!$B$6)/(B6989-Inputs!$B$6)/(1+B6989)^7</f>
        <v>-1676.188836</v>
      </c>
    </row>
    <row r="6990" ht="14.25" customHeight="1">
      <c r="A6990" s="7">
        <v>6977.0</v>
      </c>
      <c r="B6990" s="14">
        <f t="shared" si="1"/>
        <v>0.09548871012</v>
      </c>
      <c r="C6990" s="39">
        <f t="array" ref="C6990">NPV(B6990,FCFF!$C$9:$I$9)+FCFF!$B$9+FCFF!$I$9*(1+Inputs!$B$6)/(B6990-Inputs!$B$6)/(1+B6990)^7</f>
        <v>-1247.141845</v>
      </c>
    </row>
    <row r="6991" ht="14.25" customHeight="1">
      <c r="A6991" s="7">
        <v>6978.0</v>
      </c>
      <c r="B6991" s="14">
        <f t="shared" si="1"/>
        <v>0.1322915585</v>
      </c>
      <c r="C6991" s="39">
        <f t="array" ref="C6991">NPV(B6991,FCFF!$C$9:$I$9)+FCFF!$B$9+FCFF!$I$9*(1+Inputs!$B$6)/(B6991-Inputs!$B$6)/(1+B6991)^7</f>
        <v>-2002.485976</v>
      </c>
    </row>
    <row r="6992" ht="14.25" customHeight="1">
      <c r="A6992" s="7">
        <v>6979.0</v>
      </c>
      <c r="B6992" s="14">
        <f t="shared" si="1"/>
        <v>0.1199858885</v>
      </c>
      <c r="C6992" s="39">
        <f t="array" ref="C6992">NPV(B6992,FCFF!$C$9:$I$9)+FCFF!$B$9+FCFF!$I$9*(1+Inputs!$B$6)/(B6992-Inputs!$B$6)/(1+B6992)^7</f>
        <v>-1821.505216</v>
      </c>
    </row>
    <row r="6993" ht="14.25" customHeight="1">
      <c r="A6993" s="7">
        <v>6980.0</v>
      </c>
      <c r="B6993" s="14">
        <f t="shared" si="1"/>
        <v>0.122556607</v>
      </c>
      <c r="C6993" s="39">
        <f t="array" ref="C6993">NPV(B6993,FCFF!$C$9:$I$9)+FCFF!$B$9+FCFF!$I$9*(1+Inputs!$B$6)/(B6993-Inputs!$B$6)/(1+B6993)^7</f>
        <v>-1863.580681</v>
      </c>
    </row>
    <row r="6994" ht="14.25" customHeight="1">
      <c r="A6994" s="7">
        <v>6981.0</v>
      </c>
      <c r="B6994" s="14">
        <f t="shared" si="1"/>
        <v>0.09576758647</v>
      </c>
      <c r="C6994" s="39">
        <f t="array" ref="C6994">NPV(B6994,FCFF!$C$9:$I$9)+FCFF!$B$9+FCFF!$I$9*(1+Inputs!$B$6)/(B6994-Inputs!$B$6)/(1+B6994)^7</f>
        <v>-1256.125559</v>
      </c>
    </row>
    <row r="6995" ht="14.25" customHeight="1">
      <c r="A6995" s="7">
        <v>6982.0</v>
      </c>
      <c r="B6995" s="14">
        <f t="shared" si="1"/>
        <v>0.1228141881</v>
      </c>
      <c r="C6995" s="39">
        <f t="array" ref="C6995">NPV(B6995,FCFF!$C$9:$I$9)+FCFF!$B$9+FCFF!$I$9*(1+Inputs!$B$6)/(B6995-Inputs!$B$6)/(1+B6995)^7</f>
        <v>-1867.660038</v>
      </c>
    </row>
    <row r="6996" ht="14.25" customHeight="1">
      <c r="A6996" s="7">
        <v>6983.0</v>
      </c>
      <c r="B6996" s="14">
        <f t="shared" si="1"/>
        <v>0.1074135108</v>
      </c>
      <c r="C6996" s="39">
        <f t="array" ref="C6996">NPV(B6996,FCFF!$C$9:$I$9)+FCFF!$B$9+FCFF!$I$9*(1+Inputs!$B$6)/(B6996-Inputs!$B$6)/(1+B6996)^7</f>
        <v>-1573.252588</v>
      </c>
    </row>
    <row r="6997" ht="14.25" customHeight="1">
      <c r="A6997" s="7">
        <v>6984.0</v>
      </c>
      <c r="B6997" s="14">
        <f t="shared" si="1"/>
        <v>0.1124297555</v>
      </c>
      <c r="C6997" s="39">
        <f t="array" ref="C6997">NPV(B6997,FCFF!$C$9:$I$9)+FCFF!$B$9+FCFF!$I$9*(1+Inputs!$B$6)/(B6997-Inputs!$B$6)/(1+B6997)^7</f>
        <v>-1681.755857</v>
      </c>
    </row>
    <row r="6998" ht="14.25" customHeight="1">
      <c r="A6998" s="7">
        <v>6985.0</v>
      </c>
      <c r="B6998" s="14">
        <f t="shared" si="1"/>
        <v>0.1141209156</v>
      </c>
      <c r="C6998" s="39">
        <f t="array" ref="C6998">NPV(B6998,FCFF!$C$9:$I$9)+FCFF!$B$9+FCFF!$I$9*(1+Inputs!$B$6)/(B6998-Inputs!$B$6)/(1+B6998)^7</f>
        <v>-1715.318218</v>
      </c>
    </row>
    <row r="6999" ht="14.25" customHeight="1">
      <c r="A6999" s="7">
        <v>6986.0</v>
      </c>
      <c r="B6999" s="14">
        <f t="shared" si="1"/>
        <v>0.1109446083</v>
      </c>
      <c r="C6999" s="39">
        <f t="array" ref="C6999">NPV(B6999,FCFF!$C$9:$I$9)+FCFF!$B$9+FCFF!$I$9*(1+Inputs!$B$6)/(B6999-Inputs!$B$6)/(1+B6999)^7</f>
        <v>-1651.079193</v>
      </c>
    </row>
    <row r="7000" ht="14.25" customHeight="1">
      <c r="A7000" s="7">
        <v>6987.0</v>
      </c>
      <c r="B7000" s="14">
        <f t="shared" si="1"/>
        <v>0.1141701062</v>
      </c>
      <c r="C7000" s="39">
        <f t="array" ref="C7000">NPV(B7000,FCFF!$C$9:$I$9)+FCFF!$B$9+FCFF!$I$9*(1+Inputs!$B$6)/(B7000-Inputs!$B$6)/(1+B7000)^7</f>
        <v>-1716.273416</v>
      </c>
    </row>
    <row r="7001" ht="14.25" customHeight="1">
      <c r="A7001" s="7">
        <v>6988.0</v>
      </c>
      <c r="B7001" s="14">
        <f t="shared" si="1"/>
        <v>0.1004398021</v>
      </c>
      <c r="C7001" s="39">
        <f t="array" ref="C7001">NPV(B7001,FCFF!$C$9:$I$9)+FCFF!$B$9+FCFF!$I$9*(1+Inputs!$B$6)/(B7001-Inputs!$B$6)/(1+B7001)^7</f>
        <v>-1396.066674</v>
      </c>
    </row>
    <row r="7002" ht="14.25" customHeight="1">
      <c r="A7002" s="7">
        <v>6989.0</v>
      </c>
      <c r="B7002" s="14">
        <f t="shared" si="1"/>
        <v>0.09343782276</v>
      </c>
      <c r="C7002" s="39">
        <f t="array" ref="C7002">NPV(B7002,FCFF!$C$9:$I$9)+FCFF!$B$9+FCFF!$I$9*(1+Inputs!$B$6)/(B7002-Inputs!$B$6)/(1+B7002)^7</f>
        <v>-1178.665987</v>
      </c>
    </row>
    <row r="7003" ht="14.25" customHeight="1">
      <c r="A7003" s="7">
        <v>6990.0</v>
      </c>
      <c r="B7003" s="14">
        <f t="shared" si="1"/>
        <v>0.124245969</v>
      </c>
      <c r="C7003" s="39">
        <f t="array" ref="C7003">NPV(B7003,FCFF!$C$9:$I$9)+FCFF!$B$9+FCFF!$I$9*(1+Inputs!$B$6)/(B7003-Inputs!$B$6)/(1+B7003)^7</f>
        <v>-1889.90196</v>
      </c>
    </row>
    <row r="7004" ht="14.25" customHeight="1">
      <c r="A7004" s="7">
        <v>6991.0</v>
      </c>
      <c r="B7004" s="14">
        <f t="shared" si="1"/>
        <v>0.09447061738</v>
      </c>
      <c r="C7004" s="39">
        <f t="array" ref="C7004">NPV(B7004,FCFF!$C$9:$I$9)+FCFF!$B$9+FCFF!$I$9*(1+Inputs!$B$6)/(B7004-Inputs!$B$6)/(1+B7004)^7</f>
        <v>-1213.689386</v>
      </c>
    </row>
    <row r="7005" ht="14.25" customHeight="1">
      <c r="A7005" s="7">
        <v>6992.0</v>
      </c>
      <c r="B7005" s="14">
        <f t="shared" si="1"/>
        <v>0.106791854</v>
      </c>
      <c r="C7005" s="39">
        <f t="array" ref="C7005">NPV(B7005,FCFF!$C$9:$I$9)+FCFF!$B$9+FCFF!$I$9*(1+Inputs!$B$6)/(B7005-Inputs!$B$6)/(1+B7005)^7</f>
        <v>-1558.7886</v>
      </c>
    </row>
    <row r="7006" ht="14.25" customHeight="1">
      <c r="A7006" s="7">
        <v>6993.0</v>
      </c>
      <c r="B7006" s="14">
        <f t="shared" si="1"/>
        <v>0.09901904573</v>
      </c>
      <c r="C7006" s="39">
        <f t="array" ref="C7006">NPV(B7006,FCFF!$C$9:$I$9)+FCFF!$B$9+FCFF!$I$9*(1+Inputs!$B$6)/(B7006-Inputs!$B$6)/(1+B7006)^7</f>
        <v>-1355.521603</v>
      </c>
    </row>
    <row r="7007" ht="14.25" customHeight="1">
      <c r="A7007" s="7">
        <v>6994.0</v>
      </c>
      <c r="B7007" s="14">
        <f t="shared" si="1"/>
        <v>0.1152762948</v>
      </c>
      <c r="C7007" s="39">
        <f t="array" ref="C7007">NPV(B7007,FCFF!$C$9:$I$9)+FCFF!$B$9+FCFF!$I$9*(1+Inputs!$B$6)/(B7007-Inputs!$B$6)/(1+B7007)^7</f>
        <v>-1737.449876</v>
      </c>
    </row>
    <row r="7008" ht="14.25" customHeight="1">
      <c r="A7008" s="7">
        <v>6995.0</v>
      </c>
      <c r="B7008" s="14">
        <f t="shared" si="1"/>
        <v>0.1287836277</v>
      </c>
      <c r="C7008" s="39">
        <f t="array" ref="C7008">NPV(B7008,FCFF!$C$9:$I$9)+FCFF!$B$9+FCFF!$I$9*(1+Inputs!$B$6)/(B7008-Inputs!$B$6)/(1+B7008)^7</f>
        <v>-1955.834997</v>
      </c>
    </row>
    <row r="7009" ht="14.25" customHeight="1">
      <c r="A7009" s="7">
        <v>6996.0</v>
      </c>
      <c r="B7009" s="14">
        <f t="shared" si="1"/>
        <v>0.1044399326</v>
      </c>
      <c r="C7009" s="39">
        <f t="array" ref="C7009">NPV(B7009,FCFF!$C$9:$I$9)+FCFF!$B$9+FCFF!$I$9*(1+Inputs!$B$6)/(B7009-Inputs!$B$6)/(1+B7009)^7</f>
        <v>-1501.829855</v>
      </c>
    </row>
    <row r="7010" ht="14.25" customHeight="1">
      <c r="A7010" s="7">
        <v>6997.0</v>
      </c>
      <c r="B7010" s="14">
        <f t="shared" si="1"/>
        <v>0.1056928777</v>
      </c>
      <c r="C7010" s="39">
        <f t="array" ref="C7010">NPV(B7010,FCFF!$C$9:$I$9)+FCFF!$B$9+FCFF!$I$9*(1+Inputs!$B$6)/(B7010-Inputs!$B$6)/(1+B7010)^7</f>
        <v>-1532.623572</v>
      </c>
    </row>
    <row r="7011" ht="14.25" customHeight="1">
      <c r="A7011" s="7">
        <v>6998.0</v>
      </c>
      <c r="B7011" s="14">
        <f t="shared" si="1"/>
        <v>0.1030745484</v>
      </c>
      <c r="C7011" s="39">
        <f t="array" ref="C7011">NPV(B7011,FCFF!$C$9:$I$9)+FCFF!$B$9+FCFF!$I$9*(1+Inputs!$B$6)/(B7011-Inputs!$B$6)/(1+B7011)^7</f>
        <v>-1467.048208</v>
      </c>
    </row>
    <row r="7012" ht="14.25" customHeight="1">
      <c r="A7012" s="7">
        <v>6999.0</v>
      </c>
      <c r="B7012" s="14">
        <f t="shared" si="1"/>
        <v>0.1017051518</v>
      </c>
      <c r="C7012" s="39">
        <f t="array" ref="C7012">NPV(B7012,FCFF!$C$9:$I$9)+FCFF!$B$9+FCFF!$I$9*(1+Inputs!$B$6)/(B7012-Inputs!$B$6)/(1+B7012)^7</f>
        <v>-1430.814135</v>
      </c>
    </row>
    <row r="7013" ht="14.25" customHeight="1">
      <c r="A7013" s="7">
        <v>7000.0</v>
      </c>
      <c r="B7013" s="14">
        <f t="shared" si="1"/>
        <v>0.110234852</v>
      </c>
      <c r="C7013" s="39">
        <f t="array" ref="C7013">NPV(B7013,FCFF!$C$9:$I$9)+FCFF!$B$9+FCFF!$I$9*(1+Inputs!$B$6)/(B7013-Inputs!$B$6)/(1+B7013)^7</f>
        <v>-1636.003128</v>
      </c>
    </row>
    <row r="7014" ht="14.25" customHeight="1">
      <c r="A7014" s="7">
        <v>7001.0</v>
      </c>
      <c r="B7014" s="14">
        <f t="shared" si="1"/>
        <v>0.124407313</v>
      </c>
      <c r="C7014" s="39">
        <f t="array" ref="C7014">NPV(B7014,FCFF!$C$9:$I$9)+FCFF!$B$9+FCFF!$I$9*(1+Inputs!$B$6)/(B7014-Inputs!$B$6)/(1+B7014)^7</f>
        <v>-1892.363163</v>
      </c>
    </row>
    <row r="7015" ht="14.25" customHeight="1">
      <c r="A7015" s="7">
        <v>7002.0</v>
      </c>
      <c r="B7015" s="14">
        <f t="shared" si="1"/>
        <v>0.09873014474</v>
      </c>
      <c r="C7015" s="39">
        <f t="array" ref="C7015">NPV(B7015,FCFF!$C$9:$I$9)+FCFF!$B$9+FCFF!$I$9*(1+Inputs!$B$6)/(B7015-Inputs!$B$6)/(1+B7015)^7</f>
        <v>-1347.070947</v>
      </c>
    </row>
    <row r="7016" ht="14.25" customHeight="1">
      <c r="A7016" s="7">
        <v>7003.0</v>
      </c>
      <c r="B7016" s="14">
        <f t="shared" si="1"/>
        <v>0.1222071855</v>
      </c>
      <c r="C7016" s="39">
        <f t="array" ref="C7016">NPV(B7016,FCFF!$C$9:$I$9)+FCFF!$B$9+FCFF!$I$9*(1+Inputs!$B$6)/(B7016-Inputs!$B$6)/(1+B7016)^7</f>
        <v>-1858.008009</v>
      </c>
    </row>
    <row r="7017" ht="14.25" customHeight="1">
      <c r="A7017" s="7">
        <v>7004.0</v>
      </c>
      <c r="B7017" s="14">
        <f t="shared" si="1"/>
        <v>0.1048167879</v>
      </c>
      <c r="C7017" s="39">
        <f t="array" ref="C7017">NPV(B7017,FCFF!$C$9:$I$9)+FCFF!$B$9+FCFF!$I$9*(1+Inputs!$B$6)/(B7017-Inputs!$B$6)/(1+B7017)^7</f>
        <v>-1511.202441</v>
      </c>
    </row>
    <row r="7018" ht="14.25" customHeight="1">
      <c r="A7018" s="7">
        <v>7005.0</v>
      </c>
      <c r="B7018" s="14">
        <f t="shared" si="1"/>
        <v>0.09344121885</v>
      </c>
      <c r="C7018" s="39">
        <f t="array" ref="C7018">NPV(B7018,FCFF!$C$9:$I$9)+FCFF!$B$9+FCFF!$I$9*(1+Inputs!$B$6)/(B7018-Inputs!$B$6)/(1+B7018)^7</f>
        <v>-1178.783002</v>
      </c>
    </row>
    <row r="7019" ht="14.25" customHeight="1">
      <c r="A7019" s="7">
        <v>7006.0</v>
      </c>
      <c r="B7019" s="14">
        <f t="shared" si="1"/>
        <v>0.1006572422</v>
      </c>
      <c r="C7019" s="39">
        <f t="array" ref="C7019">NPV(B7019,FCFF!$C$9:$I$9)+FCFF!$B$9+FCFF!$I$9*(1+Inputs!$B$6)/(B7019-Inputs!$B$6)/(1+B7019)^7</f>
        <v>-1402.127097</v>
      </c>
    </row>
    <row r="7020" ht="14.25" customHeight="1">
      <c r="A7020" s="7">
        <v>7007.0</v>
      </c>
      <c r="B7020" s="14">
        <f t="shared" si="1"/>
        <v>0.1071265018</v>
      </c>
      <c r="C7020" s="39">
        <f t="array" ref="C7020">NPV(B7020,FCFF!$C$9:$I$9)+FCFF!$B$9+FCFF!$I$9*(1+Inputs!$B$6)/(B7020-Inputs!$B$6)/(1+B7020)^7</f>
        <v>-1566.6045</v>
      </c>
    </row>
    <row r="7021" ht="14.25" customHeight="1">
      <c r="A7021" s="7">
        <v>7008.0</v>
      </c>
      <c r="B7021" s="14">
        <f t="shared" si="1"/>
        <v>0.1077528021</v>
      </c>
      <c r="C7021" s="39">
        <f t="array" ref="C7021">NPV(B7021,FCFF!$C$9:$I$9)+FCFF!$B$9+FCFF!$I$9*(1+Inputs!$B$6)/(B7021-Inputs!$B$6)/(1+B7021)^7</f>
        <v>-1581.046766</v>
      </c>
    </row>
    <row r="7022" ht="14.25" customHeight="1">
      <c r="A7022" s="7">
        <v>7009.0</v>
      </c>
      <c r="B7022" s="14">
        <f t="shared" si="1"/>
        <v>0.09738516923</v>
      </c>
      <c r="C7022" s="39">
        <f t="array" ref="C7022">NPV(B7022,FCFF!$C$9:$I$9)+FCFF!$B$9+FCFF!$I$9*(1+Inputs!$B$6)/(B7022-Inputs!$B$6)/(1+B7022)^7</f>
        <v>-1306.772962</v>
      </c>
    </row>
    <row r="7023" ht="14.25" customHeight="1">
      <c r="A7023" s="7">
        <v>7010.0</v>
      </c>
      <c r="B7023" s="14">
        <f t="shared" si="1"/>
        <v>0.1160154677</v>
      </c>
      <c r="C7023" s="39">
        <f t="array" ref="C7023">NPV(B7023,FCFF!$C$9:$I$9)+FCFF!$B$9+FCFF!$I$9*(1+Inputs!$B$6)/(B7023-Inputs!$B$6)/(1+B7023)^7</f>
        <v>-1751.282888</v>
      </c>
    </row>
    <row r="7024" ht="14.25" customHeight="1">
      <c r="A7024" s="7">
        <v>7011.0</v>
      </c>
      <c r="B7024" s="14">
        <f t="shared" si="1"/>
        <v>0.1248919774</v>
      </c>
      <c r="C7024" s="39">
        <f t="array" ref="C7024">NPV(B7024,FCFF!$C$9:$I$9)+FCFF!$B$9+FCFF!$I$9*(1+Inputs!$B$6)/(B7024-Inputs!$B$6)/(1+B7024)^7</f>
        <v>-1899.702545</v>
      </c>
    </row>
    <row r="7025" ht="14.25" customHeight="1">
      <c r="A7025" s="7">
        <v>7012.0</v>
      </c>
      <c r="B7025" s="14">
        <f t="shared" si="1"/>
        <v>0.1283648494</v>
      </c>
      <c r="C7025" s="39">
        <f t="array" ref="C7025">NPV(B7025,FCFF!$C$9:$I$9)+FCFF!$B$9+FCFF!$I$9*(1+Inputs!$B$6)/(B7025-Inputs!$B$6)/(1+B7025)^7</f>
        <v>-1950.024343</v>
      </c>
    </row>
    <row r="7026" ht="14.25" customHeight="1">
      <c r="A7026" s="7">
        <v>7013.0</v>
      </c>
      <c r="B7026" s="14">
        <f t="shared" si="1"/>
        <v>0.101300388</v>
      </c>
      <c r="C7026" s="39">
        <f t="array" ref="C7026">NPV(B7026,FCFF!$C$9:$I$9)+FCFF!$B$9+FCFF!$I$9*(1+Inputs!$B$6)/(B7026-Inputs!$B$6)/(1+B7026)^7</f>
        <v>-1419.834448</v>
      </c>
    </row>
    <row r="7027" ht="14.25" customHeight="1">
      <c r="A7027" s="7">
        <v>7014.0</v>
      </c>
      <c r="B7027" s="14">
        <f t="shared" si="1"/>
        <v>0.1317890317</v>
      </c>
      <c r="C7027" s="39">
        <f t="array" ref="C7027">NPV(B7027,FCFF!$C$9:$I$9)+FCFF!$B$9+FCFF!$I$9*(1+Inputs!$B$6)/(B7027-Inputs!$B$6)/(1+B7027)^7</f>
        <v>-1996.017485</v>
      </c>
    </row>
    <row r="7028" ht="14.25" customHeight="1">
      <c r="A7028" s="7">
        <v>7015.0</v>
      </c>
      <c r="B7028" s="14">
        <f t="shared" si="1"/>
        <v>0.09887155765</v>
      </c>
      <c r="C7028" s="39">
        <f t="array" ref="C7028">NPV(B7028,FCFF!$C$9:$I$9)+FCFF!$B$9+FCFF!$I$9*(1+Inputs!$B$6)/(B7028-Inputs!$B$6)/(1+B7028)^7</f>
        <v>-1351.216312</v>
      </c>
    </row>
    <row r="7029" ht="14.25" customHeight="1">
      <c r="A7029" s="7">
        <v>7016.0</v>
      </c>
      <c r="B7029" s="14">
        <f t="shared" si="1"/>
        <v>0.1028891641</v>
      </c>
      <c r="C7029" s="39">
        <f t="array" ref="C7029">NPV(B7029,FCFF!$C$9:$I$9)+FCFF!$B$9+FCFF!$I$9*(1+Inputs!$B$6)/(B7029-Inputs!$B$6)/(1+B7029)^7</f>
        <v>-1462.223691</v>
      </c>
    </row>
    <row r="7030" ht="14.25" customHeight="1">
      <c r="A7030" s="7">
        <v>7017.0</v>
      </c>
      <c r="B7030" s="14">
        <f t="shared" si="1"/>
        <v>0.09797205529</v>
      </c>
      <c r="C7030" s="39">
        <f t="array" ref="C7030">NPV(B7030,FCFF!$C$9:$I$9)+FCFF!$B$9+FCFF!$I$9*(1+Inputs!$B$6)/(B7030-Inputs!$B$6)/(1+B7030)^7</f>
        <v>-1324.553533</v>
      </c>
    </row>
    <row r="7031" ht="14.25" customHeight="1">
      <c r="A7031" s="7">
        <v>7018.0</v>
      </c>
      <c r="B7031" s="14">
        <f t="shared" si="1"/>
        <v>0.1023565155</v>
      </c>
      <c r="C7031" s="39">
        <f t="array" ref="C7031">NPV(B7031,FCFF!$C$9:$I$9)+FCFF!$B$9+FCFF!$I$9*(1+Inputs!$B$6)/(B7031-Inputs!$B$6)/(1+B7031)^7</f>
        <v>-1448.222359</v>
      </c>
    </row>
    <row r="7032" ht="14.25" customHeight="1">
      <c r="A7032" s="7">
        <v>7019.0</v>
      </c>
      <c r="B7032" s="14">
        <f t="shared" si="1"/>
        <v>0.0983527728</v>
      </c>
      <c r="C7032" s="39">
        <f t="array" ref="C7032">NPV(B7032,FCFF!$C$9:$I$9)+FCFF!$B$9+FCFF!$I$9*(1+Inputs!$B$6)/(B7032-Inputs!$B$6)/(1+B7032)^7</f>
        <v>-1335.924492</v>
      </c>
    </row>
    <row r="7033" ht="14.25" customHeight="1">
      <c r="A7033" s="7">
        <v>7020.0</v>
      </c>
      <c r="B7033" s="14">
        <f t="shared" si="1"/>
        <v>0.1150531919</v>
      </c>
      <c r="C7033" s="39">
        <f t="array" ref="C7033">NPV(B7033,FCFF!$C$9:$I$9)+FCFF!$B$9+FCFF!$I$9*(1+Inputs!$B$6)/(B7033-Inputs!$B$6)/(1+B7033)^7</f>
        <v>-1733.225225</v>
      </c>
    </row>
    <row r="7034" ht="14.25" customHeight="1">
      <c r="A7034" s="7">
        <v>7021.0</v>
      </c>
      <c r="B7034" s="14">
        <f t="shared" si="1"/>
        <v>0.1229310584</v>
      </c>
      <c r="C7034" s="39">
        <f t="array" ref="C7034">NPV(B7034,FCFF!$C$9:$I$9)+FCFF!$B$9+FCFF!$I$9*(1+Inputs!$B$6)/(B7034-Inputs!$B$6)/(1+B7034)^7</f>
        <v>-1869.502984</v>
      </c>
    </row>
    <row r="7035" ht="14.25" customHeight="1">
      <c r="A7035" s="7">
        <v>7022.0</v>
      </c>
      <c r="B7035" s="14">
        <f t="shared" si="1"/>
        <v>0.09995391462</v>
      </c>
      <c r="C7035" s="39">
        <f t="array" ref="C7035">NPV(B7035,FCFF!$C$9:$I$9)+FCFF!$B$9+FCFF!$I$9*(1+Inputs!$B$6)/(B7035-Inputs!$B$6)/(1+B7035)^7</f>
        <v>-1382.386993</v>
      </c>
    </row>
    <row r="7036" ht="14.25" customHeight="1">
      <c r="A7036" s="7">
        <v>7023.0</v>
      </c>
      <c r="B7036" s="14">
        <f t="shared" si="1"/>
        <v>0.1000535371</v>
      </c>
      <c r="C7036" s="39">
        <f t="array" ref="C7036">NPV(B7036,FCFF!$C$9:$I$9)+FCFF!$B$9+FCFF!$I$9*(1+Inputs!$B$6)/(B7036-Inputs!$B$6)/(1+B7036)^7</f>
        <v>-1385.207338</v>
      </c>
    </row>
    <row r="7037" ht="14.25" customHeight="1">
      <c r="A7037" s="7">
        <v>7024.0</v>
      </c>
      <c r="B7037" s="14">
        <f t="shared" si="1"/>
        <v>0.09985155943</v>
      </c>
      <c r="C7037" s="39">
        <f t="array" ref="C7037">NPV(B7037,FCFF!$C$9:$I$9)+FCFF!$B$9+FCFF!$I$9*(1+Inputs!$B$6)/(B7037-Inputs!$B$6)/(1+B7037)^7</f>
        <v>-1379.480852</v>
      </c>
    </row>
    <row r="7038" ht="14.25" customHeight="1">
      <c r="A7038" s="7">
        <v>7025.0</v>
      </c>
      <c r="B7038" s="14">
        <f t="shared" si="1"/>
        <v>0.1149260688</v>
      </c>
      <c r="C7038" s="39">
        <f t="array" ref="C7038">NPV(B7038,FCFF!$C$9:$I$9)+FCFF!$B$9+FCFF!$I$9*(1+Inputs!$B$6)/(B7038-Inputs!$B$6)/(1+B7038)^7</f>
        <v>-1730.807653</v>
      </c>
    </row>
    <row r="7039" ht="14.25" customHeight="1">
      <c r="A7039" s="7">
        <v>7026.0</v>
      </c>
      <c r="B7039" s="14">
        <f t="shared" si="1"/>
        <v>0.1102538386</v>
      </c>
      <c r="C7039" s="39">
        <f t="array" ref="C7039">NPV(B7039,FCFF!$C$9:$I$9)+FCFF!$B$9+FCFF!$I$9*(1+Inputs!$B$6)/(B7039-Inputs!$B$6)/(1+B7039)^7</f>
        <v>-1636.410015</v>
      </c>
    </row>
    <row r="7040" ht="14.25" customHeight="1">
      <c r="A7040" s="7">
        <v>7027.0</v>
      </c>
      <c r="B7040" s="14">
        <f t="shared" si="1"/>
        <v>0.1041927653</v>
      </c>
      <c r="C7040" s="39">
        <f t="array" ref="C7040">NPV(B7040,FCFF!$C$9:$I$9)+FCFF!$B$9+FCFF!$I$9*(1+Inputs!$B$6)/(B7040-Inputs!$B$6)/(1+B7040)^7</f>
        <v>-1495.630025</v>
      </c>
    </row>
    <row r="7041" ht="14.25" customHeight="1">
      <c r="A7041" s="7">
        <v>7028.0</v>
      </c>
      <c r="B7041" s="14">
        <f t="shared" si="1"/>
        <v>0.1292479051</v>
      </c>
      <c r="C7041" s="39">
        <f t="array" ref="C7041">NPV(B7041,FCFF!$C$9:$I$9)+FCFF!$B$9+FCFF!$I$9*(1+Inputs!$B$6)/(B7041-Inputs!$B$6)/(1+B7041)^7</f>
        <v>-1962.214968</v>
      </c>
    </row>
    <row r="7042" ht="14.25" customHeight="1">
      <c r="A7042" s="7">
        <v>7029.0</v>
      </c>
      <c r="B7042" s="14">
        <f t="shared" si="1"/>
        <v>0.1287856346</v>
      </c>
      <c r="C7042" s="39">
        <f t="array" ref="C7042">NPV(B7042,FCFF!$C$9:$I$9)+FCFF!$B$9+FCFF!$I$9*(1+Inputs!$B$6)/(B7042-Inputs!$B$6)/(1+B7042)^7</f>
        <v>-1955.862714</v>
      </c>
    </row>
    <row r="7043" ht="14.25" customHeight="1">
      <c r="A7043" s="7">
        <v>7030.0</v>
      </c>
      <c r="B7043" s="14">
        <f t="shared" si="1"/>
        <v>0.1073540844</v>
      </c>
      <c r="C7043" s="39">
        <f t="array" ref="C7043">NPV(B7043,FCFF!$C$9:$I$9)+FCFF!$B$9+FCFF!$I$9*(1+Inputs!$B$6)/(B7043-Inputs!$B$6)/(1+B7043)^7</f>
        <v>-1571.880228</v>
      </c>
    </row>
    <row r="7044" ht="14.25" customHeight="1">
      <c r="A7044" s="7">
        <v>7031.0</v>
      </c>
      <c r="B7044" s="14">
        <f t="shared" si="1"/>
        <v>0.1165331737</v>
      </c>
      <c r="C7044" s="39">
        <f t="array" ref="C7044">NPV(B7044,FCFF!$C$9:$I$9)+FCFF!$B$9+FCFF!$I$9*(1+Inputs!$B$6)/(B7044-Inputs!$B$6)/(1+B7044)^7</f>
        <v>-1760.823875</v>
      </c>
    </row>
    <row r="7045" ht="14.25" customHeight="1">
      <c r="A7045" s="7">
        <v>7032.0</v>
      </c>
      <c r="B7045" s="14">
        <f t="shared" si="1"/>
        <v>0.1137246672</v>
      </c>
      <c r="C7045" s="39">
        <f t="array" ref="C7045">NPV(B7045,FCFF!$C$9:$I$9)+FCFF!$B$9+FCFF!$I$9*(1+Inputs!$B$6)/(B7045-Inputs!$B$6)/(1+B7045)^7</f>
        <v>-1707.581034</v>
      </c>
    </row>
    <row r="7046" ht="14.25" customHeight="1">
      <c r="A7046" s="7">
        <v>7033.0</v>
      </c>
      <c r="B7046" s="14">
        <f t="shared" si="1"/>
        <v>0.1031178146</v>
      </c>
      <c r="C7046" s="39">
        <f t="array" ref="C7046">NPV(B7046,FCFF!$C$9:$I$9)+FCFF!$B$9+FCFF!$I$9*(1+Inputs!$B$6)/(B7046-Inputs!$B$6)/(1+B7046)^7</f>
        <v>-1468.170613</v>
      </c>
    </row>
    <row r="7047" ht="14.25" customHeight="1">
      <c r="A7047" s="7">
        <v>7034.0</v>
      </c>
      <c r="B7047" s="14">
        <f t="shared" si="1"/>
        <v>0.1307891028</v>
      </c>
      <c r="C7047" s="39">
        <f t="array" ref="C7047">NPV(B7047,FCFF!$C$9:$I$9)+FCFF!$B$9+FCFF!$I$9*(1+Inputs!$B$6)/(B7047-Inputs!$B$6)/(1+B7047)^7</f>
        <v>-1982.937266</v>
      </c>
    </row>
    <row r="7048" ht="14.25" customHeight="1">
      <c r="A7048" s="7">
        <v>7035.0</v>
      </c>
      <c r="B7048" s="14">
        <f t="shared" si="1"/>
        <v>0.1214414091</v>
      </c>
      <c r="C7048" s="39">
        <f t="array" ref="C7048">NPV(B7048,FCFF!$C$9:$I$9)+FCFF!$B$9+FCFF!$I$9*(1+Inputs!$B$6)/(B7048-Inputs!$B$6)/(1+B7048)^7</f>
        <v>-1845.636612</v>
      </c>
    </row>
    <row r="7049" ht="14.25" customHeight="1">
      <c r="A7049" s="7">
        <v>7036.0</v>
      </c>
      <c r="B7049" s="14">
        <f t="shared" si="1"/>
        <v>0.1250482819</v>
      </c>
      <c r="C7049" s="39">
        <f t="array" ref="C7049">NPV(B7049,FCFF!$C$9:$I$9)+FCFF!$B$9+FCFF!$I$9*(1+Inputs!$B$6)/(B7049-Inputs!$B$6)/(1+B7049)^7</f>
        <v>-1902.052401</v>
      </c>
    </row>
    <row r="7050" ht="14.25" customHeight="1">
      <c r="A7050" s="7">
        <v>7037.0</v>
      </c>
      <c r="B7050" s="14">
        <f t="shared" si="1"/>
        <v>0.1270526589</v>
      </c>
      <c r="C7050" s="39">
        <f t="array" ref="C7050">NPV(B7050,FCFF!$C$9:$I$9)+FCFF!$B$9+FCFF!$I$9*(1+Inputs!$B$6)/(B7050-Inputs!$B$6)/(1+B7050)^7</f>
        <v>-1931.466358</v>
      </c>
    </row>
    <row r="7051" ht="14.25" customHeight="1">
      <c r="A7051" s="7">
        <v>7038.0</v>
      </c>
      <c r="B7051" s="14">
        <f t="shared" si="1"/>
        <v>0.1117481988</v>
      </c>
      <c r="C7051" s="39">
        <f t="array" ref="C7051">NPV(B7051,FCFF!$C$9:$I$9)+FCFF!$B$9+FCFF!$I$9*(1+Inputs!$B$6)/(B7051-Inputs!$B$6)/(1+B7051)^7</f>
        <v>-1667.821393</v>
      </c>
    </row>
    <row r="7052" ht="14.25" customHeight="1">
      <c r="A7052" s="7">
        <v>7039.0</v>
      </c>
      <c r="B7052" s="14">
        <f t="shared" si="1"/>
        <v>0.1308935149</v>
      </c>
      <c r="C7052" s="39">
        <f t="array" ref="C7052">NPV(B7052,FCFF!$C$9:$I$9)+FCFF!$B$9+FCFF!$I$9*(1+Inputs!$B$6)/(B7052-Inputs!$B$6)/(1+B7052)^7</f>
        <v>-1984.316293</v>
      </c>
    </row>
    <row r="7053" ht="14.25" customHeight="1">
      <c r="A7053" s="7">
        <v>7040.0</v>
      </c>
      <c r="B7053" s="14">
        <f t="shared" si="1"/>
        <v>0.1133125185</v>
      </c>
      <c r="C7053" s="39">
        <f t="array" ref="C7053">NPV(B7053,FCFF!$C$9:$I$9)+FCFF!$B$9+FCFF!$I$9*(1+Inputs!$B$6)/(B7053-Inputs!$B$6)/(1+B7053)^7</f>
        <v>-1699.451964</v>
      </c>
    </row>
    <row r="7054" ht="14.25" customHeight="1">
      <c r="A7054" s="7">
        <v>7041.0</v>
      </c>
      <c r="B7054" s="14">
        <f t="shared" si="1"/>
        <v>0.0982406808</v>
      </c>
      <c r="C7054" s="39">
        <f t="array" ref="C7054">NPV(B7054,FCFF!$C$9:$I$9)+FCFF!$B$9+FCFF!$I$9*(1+Inputs!$B$6)/(B7054-Inputs!$B$6)/(1+B7054)^7</f>
        <v>-1332.589821</v>
      </c>
    </row>
    <row r="7055" ht="14.25" customHeight="1">
      <c r="A7055" s="7">
        <v>7042.0</v>
      </c>
      <c r="B7055" s="14">
        <f t="shared" si="1"/>
        <v>0.1165046177</v>
      </c>
      <c r="C7055" s="39">
        <f t="array" ref="C7055">NPV(B7055,FCFF!$C$9:$I$9)+FCFF!$B$9+FCFF!$I$9*(1+Inputs!$B$6)/(B7055-Inputs!$B$6)/(1+B7055)^7</f>
        <v>-1760.30073</v>
      </c>
    </row>
    <row r="7056" ht="14.25" customHeight="1">
      <c r="A7056" s="7">
        <v>7043.0</v>
      </c>
      <c r="B7056" s="14">
        <f t="shared" si="1"/>
        <v>0.1004864926</v>
      </c>
      <c r="C7056" s="39">
        <f t="array" ref="C7056">NPV(B7056,FCFF!$C$9:$I$9)+FCFF!$B$9+FCFF!$I$9*(1+Inputs!$B$6)/(B7056-Inputs!$B$6)/(1+B7056)^7</f>
        <v>-1397.371196</v>
      </c>
    </row>
    <row r="7057" ht="14.25" customHeight="1">
      <c r="A7057" s="7">
        <v>7044.0</v>
      </c>
      <c r="B7057" s="14">
        <f t="shared" si="1"/>
        <v>0.1152680258</v>
      </c>
      <c r="C7057" s="39">
        <f t="array" ref="C7057">NPV(B7057,FCFF!$C$9:$I$9)+FCFF!$B$9+FCFF!$I$9*(1+Inputs!$B$6)/(B7057-Inputs!$B$6)/(1+B7057)^7</f>
        <v>-1737.293708</v>
      </c>
    </row>
    <row r="7058" ht="14.25" customHeight="1">
      <c r="A7058" s="7">
        <v>7045.0</v>
      </c>
      <c r="B7058" s="14">
        <f t="shared" si="1"/>
        <v>0.09857826694</v>
      </c>
      <c r="C7058" s="39">
        <f t="array" ref="C7058">NPV(B7058,FCFF!$C$9:$I$9)+FCFF!$B$9+FCFF!$I$9*(1+Inputs!$B$6)/(B7058-Inputs!$B$6)/(1+B7058)^7</f>
        <v>-1342.599714</v>
      </c>
    </row>
    <row r="7059" ht="14.25" customHeight="1">
      <c r="A7059" s="7">
        <v>7046.0</v>
      </c>
      <c r="B7059" s="14">
        <f t="shared" si="1"/>
        <v>0.1321299745</v>
      </c>
      <c r="C7059" s="39">
        <f t="array" ref="C7059">NPV(B7059,FCFF!$C$9:$I$9)+FCFF!$B$9+FCFF!$I$9*(1+Inputs!$B$6)/(B7059-Inputs!$B$6)/(1+B7059)^7</f>
        <v>-2000.41365</v>
      </c>
    </row>
    <row r="7060" ht="14.25" customHeight="1">
      <c r="A7060" s="7">
        <v>7047.0</v>
      </c>
      <c r="B7060" s="14">
        <f t="shared" si="1"/>
        <v>0.1158995887</v>
      </c>
      <c r="C7060" s="39">
        <f t="array" ref="C7060">NPV(B7060,FCFF!$C$9:$I$9)+FCFF!$B$9+FCFF!$I$9*(1+Inputs!$B$6)/(B7060-Inputs!$B$6)/(1+B7060)^7</f>
        <v>-1749.130791</v>
      </c>
    </row>
    <row r="7061" ht="14.25" customHeight="1">
      <c r="A7061" s="7">
        <v>7048.0</v>
      </c>
      <c r="B7061" s="14">
        <f t="shared" si="1"/>
        <v>0.1311414349</v>
      </c>
      <c r="C7061" s="39">
        <f t="array" ref="C7061">NPV(B7061,FCFF!$C$9:$I$9)+FCFF!$B$9+FCFF!$I$9*(1+Inputs!$B$6)/(B7061-Inputs!$B$6)/(1+B7061)^7</f>
        <v>-1987.5783</v>
      </c>
    </row>
    <row r="7062" ht="14.25" customHeight="1">
      <c r="A7062" s="7">
        <v>7049.0</v>
      </c>
      <c r="B7062" s="14">
        <f t="shared" si="1"/>
        <v>0.09463878257</v>
      </c>
      <c r="C7062" s="39">
        <f t="array" ref="C7062">NPV(B7062,FCFF!$C$9:$I$9)+FCFF!$B$9+FCFF!$I$9*(1+Inputs!$B$6)/(B7062-Inputs!$B$6)/(1+B7062)^7</f>
        <v>-1219.287082</v>
      </c>
    </row>
    <row r="7063" ht="14.25" customHeight="1">
      <c r="A7063" s="7">
        <v>7050.0</v>
      </c>
      <c r="B7063" s="14">
        <f t="shared" si="1"/>
        <v>0.1128888129</v>
      </c>
      <c r="C7063" s="39">
        <f t="array" ref="C7063">NPV(B7063,FCFF!$C$9:$I$9)+FCFF!$B$9+FCFF!$I$9*(1+Inputs!$B$6)/(B7063-Inputs!$B$6)/(1+B7063)^7</f>
        <v>-1691.007177</v>
      </c>
    </row>
    <row r="7064" ht="14.25" customHeight="1">
      <c r="A7064" s="7">
        <v>7051.0</v>
      </c>
      <c r="B7064" s="14">
        <f t="shared" si="1"/>
        <v>0.1318817051</v>
      </c>
      <c r="C7064" s="39">
        <f t="array" ref="C7064">NPV(B7064,FCFF!$C$9:$I$9)+FCFF!$B$9+FCFF!$I$9*(1+Inputs!$B$6)/(B7064-Inputs!$B$6)/(1+B7064)^7</f>
        <v>-1997.215604</v>
      </c>
    </row>
    <row r="7065" ht="14.25" customHeight="1">
      <c r="A7065" s="7">
        <v>7052.0</v>
      </c>
      <c r="B7065" s="14">
        <f t="shared" si="1"/>
        <v>0.1235927313</v>
      </c>
      <c r="C7065" s="39">
        <f t="array" ref="C7065">NPV(B7065,FCFF!$C$9:$I$9)+FCFF!$B$9+FCFF!$I$9*(1+Inputs!$B$6)/(B7065-Inputs!$B$6)/(1+B7065)^7</f>
        <v>-1879.844433</v>
      </c>
    </row>
    <row r="7066" ht="14.25" customHeight="1">
      <c r="A7066" s="7">
        <v>7053.0</v>
      </c>
      <c r="B7066" s="14">
        <f t="shared" si="1"/>
        <v>0.09654594251</v>
      </c>
      <c r="C7066" s="39">
        <f t="array" ref="C7066">NPV(B7066,FCFF!$C$9:$I$9)+FCFF!$B$9+FCFF!$I$9*(1+Inputs!$B$6)/(B7066-Inputs!$B$6)/(1+B7066)^7</f>
        <v>-1280.802848</v>
      </c>
    </row>
    <row r="7067" ht="14.25" customHeight="1">
      <c r="A7067" s="7">
        <v>7054.0</v>
      </c>
      <c r="B7067" s="14">
        <f t="shared" si="1"/>
        <v>0.09527836373</v>
      </c>
      <c r="C7067" s="39">
        <f t="array" ref="C7067">NPV(B7067,FCFF!$C$9:$I$9)+FCFF!$B$9+FCFF!$I$9*(1+Inputs!$B$6)/(B7067-Inputs!$B$6)/(1+B7067)^7</f>
        <v>-1240.315248</v>
      </c>
    </row>
    <row r="7068" ht="14.25" customHeight="1">
      <c r="A7068" s="7">
        <v>7055.0</v>
      </c>
      <c r="B7068" s="14">
        <f t="shared" si="1"/>
        <v>0.1307241758</v>
      </c>
      <c r="C7068" s="39">
        <f t="array" ref="C7068">NPV(B7068,FCFF!$C$9:$I$9)+FCFF!$B$9+FCFF!$I$9*(1+Inputs!$B$6)/(B7068-Inputs!$B$6)/(1+B7068)^7</f>
        <v>-1982.078174</v>
      </c>
    </row>
    <row r="7069" ht="14.25" customHeight="1">
      <c r="A7069" s="7">
        <v>7056.0</v>
      </c>
      <c r="B7069" s="14">
        <f t="shared" si="1"/>
        <v>0.1051548586</v>
      </c>
      <c r="C7069" s="39">
        <f t="array" ref="C7069">NPV(B7069,FCFF!$C$9:$I$9)+FCFF!$B$9+FCFF!$I$9*(1+Inputs!$B$6)/(B7069-Inputs!$B$6)/(1+B7069)^7</f>
        <v>-1519.528928</v>
      </c>
    </row>
    <row r="7070" ht="14.25" customHeight="1">
      <c r="A7070" s="7">
        <v>7057.0</v>
      </c>
      <c r="B7070" s="14">
        <f t="shared" si="1"/>
        <v>0.1220338417</v>
      </c>
      <c r="C7070" s="39">
        <f t="array" ref="C7070">NPV(B7070,FCFF!$C$9:$I$9)+FCFF!$B$9+FCFF!$I$9*(1+Inputs!$B$6)/(B7070-Inputs!$B$6)/(1+B7070)^7</f>
        <v>-1855.226751</v>
      </c>
    </row>
    <row r="7071" ht="14.25" customHeight="1">
      <c r="A7071" s="7">
        <v>7058.0</v>
      </c>
      <c r="B7071" s="14">
        <f t="shared" si="1"/>
        <v>0.09549892834</v>
      </c>
      <c r="C7071" s="39">
        <f t="array" ref="C7071">NPV(B7071,FCFF!$C$9:$I$9)+FCFF!$B$9+FCFF!$I$9*(1+Inputs!$B$6)/(B7071-Inputs!$B$6)/(1+B7071)^7</f>
        <v>-1247.472357</v>
      </c>
    </row>
    <row r="7072" ht="14.25" customHeight="1">
      <c r="A7072" s="7">
        <v>7059.0</v>
      </c>
      <c r="B7072" s="14">
        <f t="shared" si="1"/>
        <v>0.098310936</v>
      </c>
      <c r="C7072" s="39">
        <f t="array" ref="C7072">NPV(B7072,FCFF!$C$9:$I$9)+FCFF!$B$9+FCFF!$I$9*(1+Inputs!$B$6)/(B7072-Inputs!$B$6)/(1+B7072)^7</f>
        <v>-1334.681155</v>
      </c>
    </row>
    <row r="7073" ht="14.25" customHeight="1">
      <c r="A7073" s="7">
        <v>7060.0</v>
      </c>
      <c r="B7073" s="14">
        <f t="shared" si="1"/>
        <v>0.1094448818</v>
      </c>
      <c r="C7073" s="39">
        <f t="array" ref="C7073">NPV(B7073,FCFF!$C$9:$I$9)+FCFF!$B$9+FCFF!$I$9*(1+Inputs!$B$6)/(B7073-Inputs!$B$6)/(1+B7073)^7</f>
        <v>-1618.895825</v>
      </c>
    </row>
    <row r="7074" ht="14.25" customHeight="1">
      <c r="A7074" s="7">
        <v>7061.0</v>
      </c>
      <c r="B7074" s="14">
        <f t="shared" si="1"/>
        <v>0.1316958268</v>
      </c>
      <c r="C7074" s="39">
        <f t="array" ref="C7074">NPV(B7074,FCFF!$C$9:$I$9)+FCFF!$B$9+FCFF!$I$9*(1+Inputs!$B$6)/(B7074-Inputs!$B$6)/(1+B7074)^7</f>
        <v>-1994.810093</v>
      </c>
    </row>
    <row r="7075" ht="14.25" customHeight="1">
      <c r="A7075" s="7">
        <v>7062.0</v>
      </c>
      <c r="B7075" s="14">
        <f t="shared" si="1"/>
        <v>0.1052105694</v>
      </c>
      <c r="C7075" s="39">
        <f t="array" ref="C7075">NPV(B7075,FCFF!$C$9:$I$9)+FCFF!$B$9+FCFF!$I$9*(1+Inputs!$B$6)/(B7075-Inputs!$B$6)/(1+B7075)^7</f>
        <v>-1520.893727</v>
      </c>
    </row>
    <row r="7076" ht="14.25" customHeight="1">
      <c r="A7076" s="7">
        <v>7063.0</v>
      </c>
      <c r="B7076" s="14">
        <f t="shared" si="1"/>
        <v>0.0932209538</v>
      </c>
      <c r="C7076" s="39">
        <f t="array" ref="C7076">NPV(B7076,FCFF!$C$9:$I$9)+FCFF!$B$9+FCFF!$I$9*(1+Inputs!$B$6)/(B7076-Inputs!$B$6)/(1+B7076)^7</f>
        <v>-1171.167823</v>
      </c>
    </row>
    <row r="7077" ht="14.25" customHeight="1">
      <c r="A7077" s="7">
        <v>7064.0</v>
      </c>
      <c r="B7077" s="14">
        <f t="shared" si="1"/>
        <v>0.1066313272</v>
      </c>
      <c r="C7077" s="39">
        <f t="array" ref="C7077">NPV(B7077,FCFF!$C$9:$I$9)+FCFF!$B$9+FCFF!$I$9*(1+Inputs!$B$6)/(B7077-Inputs!$B$6)/(1+B7077)^7</f>
        <v>-1555.014576</v>
      </c>
    </row>
    <row r="7078" ht="14.25" customHeight="1">
      <c r="A7078" s="7">
        <v>7065.0</v>
      </c>
      <c r="B7078" s="14">
        <f t="shared" si="1"/>
        <v>0.1269322374</v>
      </c>
      <c r="C7078" s="39">
        <f t="array" ref="C7078">NPV(B7078,FCFF!$C$9:$I$9)+FCFF!$B$9+FCFF!$I$9*(1+Inputs!$B$6)/(B7078-Inputs!$B$6)/(1+B7078)^7</f>
        <v>-1929.73611</v>
      </c>
    </row>
    <row r="7079" ht="14.25" customHeight="1">
      <c r="A7079" s="7">
        <v>7066.0</v>
      </c>
      <c r="B7079" s="14">
        <f t="shared" si="1"/>
        <v>0.119752163</v>
      </c>
      <c r="C7079" s="39">
        <f t="array" ref="C7079">NPV(B7079,FCFF!$C$9:$I$9)+FCFF!$B$9+FCFF!$I$9*(1+Inputs!$B$6)/(B7079-Inputs!$B$6)/(1+B7079)^7</f>
        <v>-1817.552904</v>
      </c>
    </row>
    <row r="7080" ht="14.25" customHeight="1">
      <c r="A7080" s="7">
        <v>7067.0</v>
      </c>
      <c r="B7080" s="14">
        <f t="shared" si="1"/>
        <v>0.1079905683</v>
      </c>
      <c r="C7080" s="39">
        <f t="array" ref="C7080">NPV(B7080,FCFF!$C$9:$I$9)+FCFF!$B$9+FCFF!$I$9*(1+Inputs!$B$6)/(B7080-Inputs!$B$6)/(1+B7080)^7</f>
        <v>-1586.467226</v>
      </c>
    </row>
    <row r="7081" ht="14.25" customHeight="1">
      <c r="A7081" s="7">
        <v>7068.0</v>
      </c>
      <c r="B7081" s="14">
        <f t="shared" si="1"/>
        <v>0.1050876146</v>
      </c>
      <c r="C7081" s="39">
        <f t="array" ref="C7081">NPV(B7081,FCFF!$C$9:$I$9)+FCFF!$B$9+FCFF!$I$9*(1+Inputs!$B$6)/(B7081-Inputs!$B$6)/(1+B7081)^7</f>
        <v>-1517.878838</v>
      </c>
    </row>
    <row r="7082" ht="14.25" customHeight="1">
      <c r="A7082" s="7">
        <v>7069.0</v>
      </c>
      <c r="B7082" s="14">
        <f t="shared" si="1"/>
        <v>0.1138648238</v>
      </c>
      <c r="C7082" s="39">
        <f t="array" ref="C7082">NPV(B7082,FCFF!$C$9:$I$9)+FCFF!$B$9+FCFF!$I$9*(1+Inputs!$B$6)/(B7082-Inputs!$B$6)/(1+B7082)^7</f>
        <v>-1710.326461</v>
      </c>
    </row>
    <row r="7083" ht="14.25" customHeight="1">
      <c r="A7083" s="7">
        <v>7070.0</v>
      </c>
      <c r="B7083" s="14">
        <f t="shared" si="1"/>
        <v>0.1275691327</v>
      </c>
      <c r="C7083" s="39">
        <f t="array" ref="C7083">NPV(B7083,FCFF!$C$9:$I$9)+FCFF!$B$9+FCFF!$I$9*(1+Inputs!$B$6)/(B7083-Inputs!$B$6)/(1+B7083)^7</f>
        <v>-1938.834997</v>
      </c>
    </row>
    <row r="7084" ht="14.25" customHeight="1">
      <c r="A7084" s="7">
        <v>7071.0</v>
      </c>
      <c r="B7084" s="14">
        <f t="shared" si="1"/>
        <v>0.1115262454</v>
      </c>
      <c r="C7084" s="39">
        <f t="array" ref="C7084">NPV(B7084,FCFF!$C$9:$I$9)+FCFF!$B$9+FCFF!$I$9*(1+Inputs!$B$6)/(B7084-Inputs!$B$6)/(1+B7084)^7</f>
        <v>-1663.231353</v>
      </c>
    </row>
    <row r="7085" ht="14.25" customHeight="1">
      <c r="A7085" s="7">
        <v>7072.0</v>
      </c>
      <c r="B7085" s="14">
        <f t="shared" si="1"/>
        <v>0.09885684936</v>
      </c>
      <c r="C7085" s="39">
        <f t="array" ref="C7085">NPV(B7085,FCFF!$C$9:$I$9)+FCFF!$B$9+FCFF!$I$9*(1+Inputs!$B$6)/(B7085-Inputs!$B$6)/(1+B7085)^7</f>
        <v>-1350.785951</v>
      </c>
    </row>
    <row r="7086" ht="14.25" customHeight="1">
      <c r="A7086" s="7">
        <v>7073.0</v>
      </c>
      <c r="B7086" s="14">
        <f t="shared" si="1"/>
        <v>0.1144934825</v>
      </c>
      <c r="C7086" s="39">
        <f t="array" ref="C7086">NPV(B7086,FCFF!$C$9:$I$9)+FCFF!$B$9+FCFF!$I$9*(1+Inputs!$B$6)/(B7086-Inputs!$B$6)/(1+B7086)^7</f>
        <v>-1722.523939</v>
      </c>
    </row>
    <row r="7087" ht="14.25" customHeight="1">
      <c r="A7087" s="7">
        <v>7074.0</v>
      </c>
      <c r="B7087" s="14">
        <f t="shared" si="1"/>
        <v>0.1204165207</v>
      </c>
      <c r="C7087" s="39">
        <f t="array" ref="C7087">NPV(B7087,FCFF!$C$9:$I$9)+FCFF!$B$9+FCFF!$I$9*(1+Inputs!$B$6)/(B7087-Inputs!$B$6)/(1+B7087)^7</f>
        <v>-1828.73059</v>
      </c>
    </row>
    <row r="7088" ht="14.25" customHeight="1">
      <c r="A7088" s="7">
        <v>7075.0</v>
      </c>
      <c r="B7088" s="14">
        <f t="shared" si="1"/>
        <v>0.0977910033</v>
      </c>
      <c r="C7088" s="39">
        <f t="array" ref="C7088">NPV(B7088,FCFF!$C$9:$I$9)+FCFF!$B$9+FCFF!$I$9*(1+Inputs!$B$6)/(B7088-Inputs!$B$6)/(1+B7088)^7</f>
        <v>-1319.10115</v>
      </c>
    </row>
    <row r="7089" ht="14.25" customHeight="1">
      <c r="A7089" s="7">
        <v>7076.0</v>
      </c>
      <c r="B7089" s="14">
        <f t="shared" si="1"/>
        <v>0.09449851059</v>
      </c>
      <c r="C7089" s="39">
        <f t="array" ref="C7089">NPV(B7089,FCFF!$C$9:$I$9)+FCFF!$B$9+FCFF!$I$9*(1+Inputs!$B$6)/(B7089-Inputs!$B$6)/(1+B7089)^7</f>
        <v>-1214.619867</v>
      </c>
    </row>
    <row r="7090" ht="14.25" customHeight="1">
      <c r="A7090" s="7">
        <v>7077.0</v>
      </c>
      <c r="B7090" s="14">
        <f t="shared" si="1"/>
        <v>0.1306287597</v>
      </c>
      <c r="C7090" s="39">
        <f t="array" ref="C7090">NPV(B7090,FCFF!$C$9:$I$9)+FCFF!$B$9+FCFF!$I$9*(1+Inputs!$B$6)/(B7090-Inputs!$B$6)/(1+B7090)^7</f>
        <v>-1980.81347</v>
      </c>
    </row>
    <row r="7091" ht="14.25" customHeight="1">
      <c r="A7091" s="7">
        <v>7078.0</v>
      </c>
      <c r="B7091" s="14">
        <f t="shared" si="1"/>
        <v>0.1309743602</v>
      </c>
      <c r="C7091" s="39">
        <f t="array" ref="C7091">NPV(B7091,FCFF!$C$9:$I$9)+FCFF!$B$9+FCFF!$I$9*(1+Inputs!$B$6)/(B7091-Inputs!$B$6)/(1+B7091)^7</f>
        <v>-1985.381929</v>
      </c>
    </row>
    <row r="7092" ht="14.25" customHeight="1">
      <c r="A7092" s="7">
        <v>7079.0</v>
      </c>
      <c r="B7092" s="14">
        <f t="shared" si="1"/>
        <v>0.1082706424</v>
      </c>
      <c r="C7092" s="39">
        <f t="array" ref="C7092">NPV(B7092,FCFF!$C$9:$I$9)+FCFF!$B$9+FCFF!$I$9*(1+Inputs!$B$6)/(B7092-Inputs!$B$6)/(1+B7092)^7</f>
        <v>-1592.808795</v>
      </c>
    </row>
    <row r="7093" ht="14.25" customHeight="1">
      <c r="A7093" s="7">
        <v>7080.0</v>
      </c>
      <c r="B7093" s="14">
        <f t="shared" si="1"/>
        <v>0.1010829169</v>
      </c>
      <c r="C7093" s="39">
        <f t="array" ref="C7093">NPV(B7093,FCFF!$C$9:$I$9)+FCFF!$B$9+FCFF!$I$9*(1+Inputs!$B$6)/(B7093-Inputs!$B$6)/(1+B7093)^7</f>
        <v>-1413.883131</v>
      </c>
    </row>
    <row r="7094" ht="14.25" customHeight="1">
      <c r="A7094" s="7">
        <v>7081.0</v>
      </c>
      <c r="B7094" s="14">
        <f t="shared" si="1"/>
        <v>0.0966413736</v>
      </c>
      <c r="C7094" s="39">
        <f t="array" ref="C7094">NPV(B7094,FCFF!$C$9:$I$9)+FCFF!$B$9+FCFF!$I$9*(1+Inputs!$B$6)/(B7094-Inputs!$B$6)/(1+B7094)^7</f>
        <v>-1283.78889</v>
      </c>
    </row>
    <row r="7095" ht="14.25" customHeight="1">
      <c r="A7095" s="7">
        <v>7082.0</v>
      </c>
      <c r="B7095" s="14">
        <f t="shared" si="1"/>
        <v>0.1078326239</v>
      </c>
      <c r="C7095" s="39">
        <f t="array" ref="C7095">NPV(B7095,FCFF!$C$9:$I$9)+FCFF!$B$9+FCFF!$I$9*(1+Inputs!$B$6)/(B7095-Inputs!$B$6)/(1+B7095)^7</f>
        <v>-1582.870291</v>
      </c>
    </row>
    <row r="7096" ht="14.25" customHeight="1">
      <c r="A7096" s="7">
        <v>7083.0</v>
      </c>
      <c r="B7096" s="14">
        <f t="shared" si="1"/>
        <v>0.1243586804</v>
      </c>
      <c r="C7096" s="39">
        <f t="array" ref="C7096">NPV(B7096,FCFF!$C$9:$I$9)+FCFF!$B$9+FCFF!$I$9*(1+Inputs!$B$6)/(B7096-Inputs!$B$6)/(1+B7096)^7</f>
        <v>-1891.62225</v>
      </c>
    </row>
    <row r="7097" ht="14.25" customHeight="1">
      <c r="A7097" s="7">
        <v>7084.0</v>
      </c>
      <c r="B7097" s="14">
        <f t="shared" si="1"/>
        <v>0.09354464809</v>
      </c>
      <c r="C7097" s="39">
        <f t="array" ref="C7097">NPV(B7097,FCFF!$C$9:$I$9)+FCFF!$B$9+FCFF!$I$9*(1+Inputs!$B$6)/(B7097-Inputs!$B$6)/(1+B7097)^7</f>
        <v>-1182.340827</v>
      </c>
    </row>
    <row r="7098" ht="14.25" customHeight="1">
      <c r="A7098" s="7">
        <v>7085.0</v>
      </c>
      <c r="B7098" s="14">
        <f t="shared" si="1"/>
        <v>0.1138278421</v>
      </c>
      <c r="C7098" s="39">
        <f t="array" ref="C7098">NPV(B7098,FCFF!$C$9:$I$9)+FCFF!$B$9+FCFF!$I$9*(1+Inputs!$B$6)/(B7098-Inputs!$B$6)/(1+B7098)^7</f>
        <v>-1709.602981</v>
      </c>
    </row>
    <row r="7099" ht="14.25" customHeight="1">
      <c r="A7099" s="7">
        <v>7086.0</v>
      </c>
      <c r="B7099" s="14">
        <f t="shared" si="1"/>
        <v>0.0973733326</v>
      </c>
      <c r="C7099" s="39">
        <f t="array" ref="C7099">NPV(B7099,FCFF!$C$9:$I$9)+FCFF!$B$9+FCFF!$I$9*(1+Inputs!$B$6)/(B7099-Inputs!$B$6)/(1+B7099)^7</f>
        <v>-1306.411167</v>
      </c>
    </row>
    <row r="7100" ht="14.25" customHeight="1">
      <c r="A7100" s="7">
        <v>7087.0</v>
      </c>
      <c r="B7100" s="14">
        <f t="shared" si="1"/>
        <v>0.120681727</v>
      </c>
      <c r="C7100" s="39">
        <f t="array" ref="C7100">NPV(B7100,FCFF!$C$9:$I$9)+FCFF!$B$9+FCFF!$I$9*(1+Inputs!$B$6)/(B7100-Inputs!$B$6)/(1+B7100)^7</f>
        <v>-1833.144183</v>
      </c>
    </row>
    <row r="7101" ht="14.25" customHeight="1">
      <c r="A7101" s="7">
        <v>7088.0</v>
      </c>
      <c r="B7101" s="14">
        <f t="shared" si="1"/>
        <v>0.1223014143</v>
      </c>
      <c r="C7101" s="39">
        <f t="array" ref="C7101">NPV(B7101,FCFF!$C$9:$I$9)+FCFF!$B$9+FCFF!$I$9*(1+Inputs!$B$6)/(B7101-Inputs!$B$6)/(1+B7101)^7</f>
        <v>-1859.515221</v>
      </c>
    </row>
    <row r="7102" ht="14.25" customHeight="1">
      <c r="A7102" s="7">
        <v>7089.0</v>
      </c>
      <c r="B7102" s="14">
        <f t="shared" si="1"/>
        <v>0.122199076</v>
      </c>
      <c r="C7102" s="39">
        <f t="array" ref="C7102">NPV(B7102,FCFF!$C$9:$I$9)+FCFF!$B$9+FCFF!$I$9*(1+Inputs!$B$6)/(B7102-Inputs!$B$6)/(1+B7102)^7</f>
        <v>-1857.878141</v>
      </c>
    </row>
    <row r="7103" ht="14.25" customHeight="1">
      <c r="A7103" s="7">
        <v>7090.0</v>
      </c>
      <c r="B7103" s="14">
        <f t="shared" si="1"/>
        <v>0.1178977304</v>
      </c>
      <c r="C7103" s="39">
        <f t="array" ref="C7103">NPV(B7103,FCFF!$C$9:$I$9)+FCFF!$B$9+FCFF!$I$9*(1+Inputs!$B$6)/(B7103-Inputs!$B$6)/(1+B7103)^7</f>
        <v>-1785.406434</v>
      </c>
    </row>
    <row r="7104" ht="14.25" customHeight="1">
      <c r="A7104" s="7">
        <v>7091.0</v>
      </c>
      <c r="B7104" s="14">
        <f t="shared" si="1"/>
        <v>0.1115198326</v>
      </c>
      <c r="C7104" s="39">
        <f t="array" ref="C7104">NPV(B7104,FCFF!$C$9:$I$9)+FCFF!$B$9+FCFF!$I$9*(1+Inputs!$B$6)/(B7104-Inputs!$B$6)/(1+B7104)^7</f>
        <v>-1663.098348</v>
      </c>
    </row>
    <row r="7105" ht="14.25" customHeight="1">
      <c r="A7105" s="7">
        <v>7092.0</v>
      </c>
      <c r="B7105" s="14">
        <f t="shared" si="1"/>
        <v>0.1009901817</v>
      </c>
      <c r="C7105" s="39">
        <f t="array" ref="C7105">NPV(B7105,FCFF!$C$9:$I$9)+FCFF!$B$9+FCFF!$I$9*(1+Inputs!$B$6)/(B7105-Inputs!$B$6)/(1+B7105)^7</f>
        <v>-1411.334142</v>
      </c>
    </row>
    <row r="7106" ht="14.25" customHeight="1">
      <c r="A7106" s="7">
        <v>7093.0</v>
      </c>
      <c r="B7106" s="14">
        <f t="shared" si="1"/>
        <v>0.1147566708</v>
      </c>
      <c r="C7106" s="39">
        <f t="array" ref="C7106">NPV(B7106,FCFF!$C$9:$I$9)+FCFF!$B$9+FCFF!$I$9*(1+Inputs!$B$6)/(B7106-Inputs!$B$6)/(1+B7106)^7</f>
        <v>-1727.574331</v>
      </c>
    </row>
    <row r="7107" ht="14.25" customHeight="1">
      <c r="A7107" s="7">
        <v>7094.0</v>
      </c>
      <c r="B7107" s="14">
        <f t="shared" si="1"/>
        <v>0.1234167388</v>
      </c>
      <c r="C7107" s="39">
        <f t="array" ref="C7107">NPV(B7107,FCFF!$C$9:$I$9)+FCFF!$B$9+FCFF!$I$9*(1+Inputs!$B$6)/(B7107-Inputs!$B$6)/(1+B7107)^7</f>
        <v>-1877.109068</v>
      </c>
    </row>
    <row r="7108" ht="14.25" customHeight="1">
      <c r="A7108" s="7">
        <v>7095.0</v>
      </c>
      <c r="B7108" s="14">
        <f t="shared" si="1"/>
        <v>0.1098591723</v>
      </c>
      <c r="C7108" s="39">
        <f t="array" ref="C7108">NPV(B7108,FCFF!$C$9:$I$9)+FCFF!$B$9+FCFF!$I$9*(1+Inputs!$B$6)/(B7108-Inputs!$B$6)/(1+B7108)^7</f>
        <v>-1627.911115</v>
      </c>
    </row>
    <row r="7109" ht="14.25" customHeight="1">
      <c r="A7109" s="7">
        <v>7096.0</v>
      </c>
      <c r="B7109" s="14">
        <f t="shared" si="1"/>
        <v>0.1193676745</v>
      </c>
      <c r="C7109" s="39">
        <f t="array" ref="C7109">NPV(B7109,FCFF!$C$9:$I$9)+FCFF!$B$9+FCFF!$I$9*(1+Inputs!$B$6)/(B7109-Inputs!$B$6)/(1+B7109)^7</f>
        <v>-1811.003581</v>
      </c>
    </row>
    <row r="7110" ht="14.25" customHeight="1">
      <c r="A7110" s="7">
        <v>7097.0</v>
      </c>
      <c r="B7110" s="14">
        <f t="shared" si="1"/>
        <v>0.1148293701</v>
      </c>
      <c r="C7110" s="39">
        <f t="array" ref="C7110">NPV(B7110,FCFF!$C$9:$I$9)+FCFF!$B$9+FCFF!$I$9*(1+Inputs!$B$6)/(B7110-Inputs!$B$6)/(1+B7110)^7</f>
        <v>-1728.963605</v>
      </c>
    </row>
    <row r="7111" ht="14.25" customHeight="1">
      <c r="A7111" s="7">
        <v>7098.0</v>
      </c>
      <c r="B7111" s="14">
        <f t="shared" si="1"/>
        <v>0.1228432046</v>
      </c>
      <c r="C7111" s="39">
        <f t="array" ref="C7111">NPV(B7111,FCFF!$C$9:$I$9)+FCFF!$B$9+FCFF!$I$9*(1+Inputs!$B$6)/(B7111-Inputs!$B$6)/(1+B7111)^7</f>
        <v>-1868.118065</v>
      </c>
    </row>
    <row r="7112" ht="14.25" customHeight="1">
      <c r="A7112" s="7">
        <v>7099.0</v>
      </c>
      <c r="B7112" s="14">
        <f t="shared" si="1"/>
        <v>0.1122472278</v>
      </c>
      <c r="C7112" s="39">
        <f t="array" ref="C7112">NPV(B7112,FCFF!$C$9:$I$9)+FCFF!$B$9+FCFF!$I$9*(1+Inputs!$B$6)/(B7112-Inputs!$B$6)/(1+B7112)^7</f>
        <v>-1678.047576</v>
      </c>
    </row>
    <row r="7113" ht="14.25" customHeight="1">
      <c r="A7113" s="7">
        <v>7100.0</v>
      </c>
      <c r="B7113" s="14">
        <f t="shared" si="1"/>
        <v>0.1198676856</v>
      </c>
      <c r="C7113" s="39">
        <f t="array" ref="C7113">NPV(B7113,FCFF!$C$9:$I$9)+FCFF!$B$9+FCFF!$I$9*(1+Inputs!$B$6)/(B7113-Inputs!$B$6)/(1+B7113)^7</f>
        <v>-1819.509118</v>
      </c>
    </row>
    <row r="7114" ht="14.25" customHeight="1">
      <c r="A7114" s="7">
        <v>7101.0</v>
      </c>
      <c r="B7114" s="14">
        <f t="shared" si="1"/>
        <v>0.09880004794</v>
      </c>
      <c r="C7114" s="39">
        <f t="array" ref="C7114">NPV(B7114,FCFF!$C$9:$I$9)+FCFF!$B$9+FCFF!$I$9*(1+Inputs!$B$6)/(B7114-Inputs!$B$6)/(1+B7114)^7</f>
        <v>-1349.12222</v>
      </c>
    </row>
    <row r="7115" ht="14.25" customHeight="1">
      <c r="A7115" s="7">
        <v>7102.0</v>
      </c>
      <c r="B7115" s="14">
        <f t="shared" si="1"/>
        <v>0.1248947994</v>
      </c>
      <c r="C7115" s="39">
        <f t="array" ref="C7115">NPV(B7115,FCFF!$C$9:$I$9)+FCFF!$B$9+FCFF!$I$9*(1+Inputs!$B$6)/(B7115-Inputs!$B$6)/(1+B7115)^7</f>
        <v>-1899.745044</v>
      </c>
    </row>
    <row r="7116" ht="14.25" customHeight="1">
      <c r="A7116" s="7">
        <v>7103.0</v>
      </c>
      <c r="B7116" s="14">
        <f t="shared" si="1"/>
        <v>0.1225034433</v>
      </c>
      <c r="C7116" s="39">
        <f t="array" ref="C7116">NPV(B7116,FCFF!$C$9:$I$9)+FCFF!$B$9+FCFF!$I$9*(1+Inputs!$B$6)/(B7116-Inputs!$B$6)/(1+B7116)^7</f>
        <v>-1862.735703</v>
      </c>
    </row>
    <row r="7117" ht="14.25" customHeight="1">
      <c r="A7117" s="7">
        <v>7104.0</v>
      </c>
      <c r="B7117" s="14">
        <f t="shared" si="1"/>
        <v>0.1240029303</v>
      </c>
      <c r="C7117" s="39">
        <f t="array" ref="C7117">NPV(B7117,FCFF!$C$9:$I$9)+FCFF!$B$9+FCFF!$I$9*(1+Inputs!$B$6)/(B7117-Inputs!$B$6)/(1+B7117)^7</f>
        <v>-1886.17749</v>
      </c>
    </row>
    <row r="7118" ht="14.25" customHeight="1">
      <c r="A7118" s="7">
        <v>7105.0</v>
      </c>
      <c r="B7118" s="14">
        <f t="shared" si="1"/>
        <v>0.0945613362</v>
      </c>
      <c r="C7118" s="39">
        <f t="array" ref="C7118">NPV(B7118,FCFF!$C$9:$I$9)+FCFF!$B$9+FCFF!$I$9*(1+Inputs!$B$6)/(B7118-Inputs!$B$6)/(1+B7118)^7</f>
        <v>-1216.712726</v>
      </c>
    </row>
    <row r="7119" ht="14.25" customHeight="1">
      <c r="A7119" s="7">
        <v>7106.0</v>
      </c>
      <c r="B7119" s="14">
        <f t="shared" si="1"/>
        <v>0.1198366982</v>
      </c>
      <c r="C7119" s="39">
        <f t="array" ref="C7119">NPV(B7119,FCFF!$C$9:$I$9)+FCFF!$B$9+FCFF!$I$9*(1+Inputs!$B$6)/(B7119-Inputs!$B$6)/(1+B7119)^7</f>
        <v>-1818.984912</v>
      </c>
    </row>
    <row r="7120" ht="14.25" customHeight="1">
      <c r="A7120" s="7">
        <v>7107.0</v>
      </c>
      <c r="B7120" s="14">
        <f t="shared" si="1"/>
        <v>0.1134711515</v>
      </c>
      <c r="C7120" s="39">
        <f t="array" ref="C7120">NPV(B7120,FCFF!$C$9:$I$9)+FCFF!$B$9+FCFF!$I$9*(1+Inputs!$B$6)/(B7120-Inputs!$B$6)/(1+B7120)^7</f>
        <v>-1702.590684</v>
      </c>
    </row>
    <row r="7121" ht="14.25" customHeight="1">
      <c r="A7121" s="7">
        <v>7108.0</v>
      </c>
      <c r="B7121" s="14">
        <f t="shared" si="1"/>
        <v>0.09874451936</v>
      </c>
      <c r="C7121" s="39">
        <f t="array" ref="C7121">NPV(B7121,FCFF!$C$9:$I$9)+FCFF!$B$9+FCFF!$I$9*(1+Inputs!$B$6)/(B7121-Inputs!$B$6)/(1+B7121)^7</f>
        <v>-1347.493104</v>
      </c>
    </row>
    <row r="7122" ht="14.25" customHeight="1">
      <c r="A7122" s="7">
        <v>7109.0</v>
      </c>
      <c r="B7122" s="14">
        <f t="shared" si="1"/>
        <v>0.1002958392</v>
      </c>
      <c r="C7122" s="39">
        <f t="array" ref="C7122">NPV(B7122,FCFF!$C$9:$I$9)+FCFF!$B$9+FCFF!$I$9*(1+Inputs!$B$6)/(B7122-Inputs!$B$6)/(1+B7122)^7</f>
        <v>-1392.033397</v>
      </c>
    </row>
    <row r="7123" ht="14.25" customHeight="1">
      <c r="A7123" s="7">
        <v>7110.0</v>
      </c>
      <c r="B7123" s="14">
        <f t="shared" si="1"/>
        <v>0.1062635194</v>
      </c>
      <c r="C7123" s="39">
        <f t="array" ref="C7123">NPV(B7123,FCFF!$C$9:$I$9)+FCFF!$B$9+FCFF!$I$9*(1+Inputs!$B$6)/(B7123-Inputs!$B$6)/(1+B7123)^7</f>
        <v>-1546.306</v>
      </c>
    </row>
    <row r="7124" ht="14.25" customHeight="1">
      <c r="A7124" s="7">
        <v>7111.0</v>
      </c>
      <c r="B7124" s="14">
        <f t="shared" si="1"/>
        <v>0.09837936871</v>
      </c>
      <c r="C7124" s="39">
        <f t="array" ref="C7124">NPV(B7124,FCFF!$C$9:$I$9)+FCFF!$B$9+FCFF!$I$9*(1+Inputs!$B$6)/(B7124-Inputs!$B$6)/(1+B7124)^7</f>
        <v>-1336.714097</v>
      </c>
    </row>
    <row r="7125" ht="14.25" customHeight="1">
      <c r="A7125" s="7">
        <v>7112.0</v>
      </c>
      <c r="B7125" s="14">
        <f t="shared" si="1"/>
        <v>0.09320740138</v>
      </c>
      <c r="C7125" s="39">
        <f t="array" ref="C7125">NPV(B7125,FCFF!$C$9:$I$9)+FCFF!$B$9+FCFF!$I$9*(1+Inputs!$B$6)/(B7125-Inputs!$B$6)/(1+B7125)^7</f>
        <v>-1170.697564</v>
      </c>
    </row>
    <row r="7126" ht="14.25" customHeight="1">
      <c r="A7126" s="7">
        <v>7113.0</v>
      </c>
      <c r="B7126" s="14">
        <f t="shared" si="1"/>
        <v>0.1286847098</v>
      </c>
      <c r="C7126" s="39">
        <f t="array" ref="C7126">NPV(B7126,FCFF!$C$9:$I$9)+FCFF!$B$9+FCFF!$I$9*(1+Inputs!$B$6)/(B7126-Inputs!$B$6)/(1+B7126)^7</f>
        <v>-1954.467297</v>
      </c>
    </row>
    <row r="7127" ht="14.25" customHeight="1">
      <c r="A7127" s="7">
        <v>7114.0</v>
      </c>
      <c r="B7127" s="14">
        <f t="shared" si="1"/>
        <v>0.1044402891</v>
      </c>
      <c r="C7127" s="39">
        <f t="array" ref="C7127">NPV(B7127,FCFF!$C$9:$I$9)+FCFF!$B$9+FCFF!$I$9*(1+Inputs!$B$6)/(B7127-Inputs!$B$6)/(1+B7127)^7</f>
        <v>-1501.838766</v>
      </c>
    </row>
    <row r="7128" ht="14.25" customHeight="1">
      <c r="A7128" s="7">
        <v>7115.0</v>
      </c>
      <c r="B7128" s="14">
        <f t="shared" si="1"/>
        <v>0.1020158774</v>
      </c>
      <c r="C7128" s="39">
        <f t="array" ref="C7128">NPV(B7128,FCFF!$C$9:$I$9)+FCFF!$B$9+FCFF!$I$9*(1+Inputs!$B$6)/(B7128-Inputs!$B$6)/(1+B7128)^7</f>
        <v>-1439.158275</v>
      </c>
    </row>
    <row r="7129" ht="14.25" customHeight="1">
      <c r="A7129" s="7">
        <v>7116.0</v>
      </c>
      <c r="B7129" s="14">
        <f t="shared" si="1"/>
        <v>0.1324154629</v>
      </c>
      <c r="C7129" s="39">
        <f t="array" ref="C7129">NPV(B7129,FCFF!$C$9:$I$9)+FCFF!$B$9+FCFF!$I$9*(1+Inputs!$B$6)/(B7129-Inputs!$B$6)/(1+B7129)^7</f>
        <v>-2004.070225</v>
      </c>
    </row>
    <row r="7130" ht="14.25" customHeight="1">
      <c r="A7130" s="7">
        <v>7117.0</v>
      </c>
      <c r="B7130" s="14">
        <f t="shared" si="1"/>
        <v>0.1084061386</v>
      </c>
      <c r="C7130" s="39">
        <f t="array" ref="C7130">NPV(B7130,FCFF!$C$9:$I$9)+FCFF!$B$9+FCFF!$I$9*(1+Inputs!$B$6)/(B7130-Inputs!$B$6)/(1+B7130)^7</f>
        <v>-1595.860047</v>
      </c>
    </row>
    <row r="7131" ht="14.25" customHeight="1">
      <c r="A7131" s="7">
        <v>7118.0</v>
      </c>
      <c r="B7131" s="14">
        <f t="shared" si="1"/>
        <v>0.1272925231</v>
      </c>
      <c r="C7131" s="39">
        <f t="array" ref="C7131">NPV(B7131,FCFF!$C$9:$I$9)+FCFF!$B$9+FCFF!$I$9*(1+Inputs!$B$6)/(B7131-Inputs!$B$6)/(1+B7131)^7</f>
        <v>-1934.89904</v>
      </c>
    </row>
    <row r="7132" ht="14.25" customHeight="1">
      <c r="A7132" s="7">
        <v>7119.0</v>
      </c>
      <c r="B7132" s="14">
        <f t="shared" si="1"/>
        <v>0.106795825</v>
      </c>
      <c r="C7132" s="39">
        <f t="array" ref="C7132">NPV(B7132,FCFF!$C$9:$I$9)+FCFF!$B$9+FCFF!$I$9*(1+Inputs!$B$6)/(B7132-Inputs!$B$6)/(1+B7132)^7</f>
        <v>-1558.881754</v>
      </c>
    </row>
    <row r="7133" ht="14.25" customHeight="1">
      <c r="A7133" s="7">
        <v>7120.0</v>
      </c>
      <c r="B7133" s="14">
        <f t="shared" si="1"/>
        <v>0.127615288</v>
      </c>
      <c r="C7133" s="39">
        <f t="array" ref="C7133">NPV(B7133,FCFF!$C$9:$I$9)+FCFF!$B$9+FCFF!$I$9*(1+Inputs!$B$6)/(B7133-Inputs!$B$6)/(1+B7133)^7</f>
        <v>-1939.489413</v>
      </c>
    </row>
    <row r="7134" ht="14.25" customHeight="1">
      <c r="A7134" s="7">
        <v>7121.0</v>
      </c>
      <c r="B7134" s="14">
        <f t="shared" si="1"/>
        <v>0.1277931629</v>
      </c>
      <c r="C7134" s="39">
        <f t="array" ref="C7134">NPV(B7134,FCFF!$C$9:$I$9)+FCFF!$B$9+FCFF!$I$9*(1+Inputs!$B$6)/(B7134-Inputs!$B$6)/(1+B7134)^7</f>
        <v>-1942.005189</v>
      </c>
    </row>
    <row r="7135" ht="14.25" customHeight="1">
      <c r="A7135" s="7">
        <v>7122.0</v>
      </c>
      <c r="B7135" s="14">
        <f t="shared" si="1"/>
        <v>0.1259558258</v>
      </c>
      <c r="C7135" s="39">
        <f t="array" ref="C7135">NPV(B7135,FCFF!$C$9:$I$9)+FCFF!$B$9+FCFF!$I$9*(1+Inputs!$B$6)/(B7135-Inputs!$B$6)/(1+B7135)^7</f>
        <v>-1915.534083</v>
      </c>
    </row>
    <row r="7136" ht="14.25" customHeight="1">
      <c r="A7136" s="7">
        <v>7123.0</v>
      </c>
      <c r="B7136" s="14">
        <f t="shared" si="1"/>
        <v>0.1199428763</v>
      </c>
      <c r="C7136" s="39">
        <f t="array" ref="C7136">NPV(B7136,FCFF!$C$9:$I$9)+FCFF!$B$9+FCFF!$I$9*(1+Inputs!$B$6)/(B7136-Inputs!$B$6)/(1+B7136)^7</f>
        <v>-1820.779511</v>
      </c>
    </row>
    <row r="7137" ht="14.25" customHeight="1">
      <c r="A7137" s="7">
        <v>7124.0</v>
      </c>
      <c r="B7137" s="14">
        <f t="shared" si="1"/>
        <v>0.1115528696</v>
      </c>
      <c r="C7137" s="39">
        <f t="array" ref="C7137">NPV(B7137,FCFF!$C$9:$I$9)+FCFF!$B$9+FCFF!$I$9*(1+Inputs!$B$6)/(B7137-Inputs!$B$6)/(1+B7137)^7</f>
        <v>-1663.783312</v>
      </c>
    </row>
    <row r="7138" ht="14.25" customHeight="1">
      <c r="A7138" s="7">
        <v>7125.0</v>
      </c>
      <c r="B7138" s="14">
        <f t="shared" si="1"/>
        <v>0.1047779764</v>
      </c>
      <c r="C7138" s="39">
        <f t="array" ref="C7138">NPV(B7138,FCFF!$C$9:$I$9)+FCFF!$B$9+FCFF!$I$9*(1+Inputs!$B$6)/(B7138-Inputs!$B$6)/(1+B7138)^7</f>
        <v>-1510.241625</v>
      </c>
    </row>
    <row r="7139" ht="14.25" customHeight="1">
      <c r="A7139" s="7">
        <v>7126.0</v>
      </c>
      <c r="B7139" s="14">
        <f t="shared" si="1"/>
        <v>0.1088657198</v>
      </c>
      <c r="C7139" s="39">
        <f t="array" ref="C7139">NPV(B7139,FCFF!$C$9:$I$9)+FCFF!$B$9+FCFF!$I$9*(1+Inputs!$B$6)/(B7139-Inputs!$B$6)/(1+B7139)^7</f>
        <v>-1606.12907</v>
      </c>
    </row>
    <row r="7140" ht="14.25" customHeight="1">
      <c r="A7140" s="7">
        <v>7127.0</v>
      </c>
      <c r="B7140" s="14">
        <f t="shared" si="1"/>
        <v>0.1253827803</v>
      </c>
      <c r="C7140" s="39">
        <f t="array" ref="C7140">NPV(B7140,FCFF!$C$9:$I$9)+FCFF!$B$9+FCFF!$I$9*(1+Inputs!$B$6)/(B7140-Inputs!$B$6)/(1+B7140)^7</f>
        <v>-1907.053457</v>
      </c>
    </row>
    <row r="7141" ht="14.25" customHeight="1">
      <c r="A7141" s="7">
        <v>7128.0</v>
      </c>
      <c r="B7141" s="14">
        <f t="shared" si="1"/>
        <v>0.1123229041</v>
      </c>
      <c r="C7141" s="39">
        <f t="array" ref="C7141">NPV(B7141,FCFF!$C$9:$I$9)+FCFF!$B$9+FCFF!$I$9*(1+Inputs!$B$6)/(B7141-Inputs!$B$6)/(1+B7141)^7</f>
        <v>-1679.58711</v>
      </c>
    </row>
    <row r="7142" ht="14.25" customHeight="1">
      <c r="A7142" s="7">
        <v>7129.0</v>
      </c>
      <c r="B7142" s="14">
        <f t="shared" si="1"/>
        <v>0.1327577584</v>
      </c>
      <c r="C7142" s="39">
        <f t="array" ref="C7142">NPV(B7142,FCFF!$C$9:$I$9)+FCFF!$B$9+FCFF!$I$9*(1+Inputs!$B$6)/(B7142-Inputs!$B$6)/(1+B7142)^7</f>
        <v>-2008.425161</v>
      </c>
    </row>
    <row r="7143" ht="14.25" customHeight="1">
      <c r="A7143" s="7">
        <v>7130.0</v>
      </c>
      <c r="B7143" s="14">
        <f t="shared" si="1"/>
        <v>0.111688727</v>
      </c>
      <c r="C7143" s="39">
        <f t="array" ref="C7143">NPV(B7143,FCFF!$C$9:$I$9)+FCFF!$B$9+FCFF!$I$9*(1+Inputs!$B$6)/(B7143-Inputs!$B$6)/(1+B7143)^7</f>
        <v>-1666.594042</v>
      </c>
    </row>
    <row r="7144" ht="14.25" customHeight="1">
      <c r="A7144" s="7">
        <v>7131.0</v>
      </c>
      <c r="B7144" s="14">
        <f t="shared" si="1"/>
        <v>0.127582009</v>
      </c>
      <c r="C7144" s="39">
        <f t="array" ref="C7144">NPV(B7144,FCFF!$C$9:$I$9)+FCFF!$B$9+FCFF!$I$9*(1+Inputs!$B$6)/(B7144-Inputs!$B$6)/(1+B7144)^7</f>
        <v>-1939.017633</v>
      </c>
    </row>
    <row r="7145" ht="14.25" customHeight="1">
      <c r="A7145" s="7">
        <v>7132.0</v>
      </c>
      <c r="B7145" s="14">
        <f t="shared" si="1"/>
        <v>0.1008455916</v>
      </c>
      <c r="C7145" s="39">
        <f t="array" ref="C7145">NPV(B7145,FCFF!$C$9:$I$9)+FCFF!$B$9+FCFF!$I$9*(1+Inputs!$B$6)/(B7145-Inputs!$B$6)/(1+B7145)^7</f>
        <v>-1407.346398</v>
      </c>
    </row>
    <row r="7146" ht="14.25" customHeight="1">
      <c r="A7146" s="7">
        <v>7133.0</v>
      </c>
      <c r="B7146" s="14">
        <f t="shared" si="1"/>
        <v>0.1237748393</v>
      </c>
      <c r="C7146" s="39">
        <f t="array" ref="C7146">NPV(B7146,FCFF!$C$9:$I$9)+FCFF!$B$9+FCFF!$I$9*(1+Inputs!$B$6)/(B7146-Inputs!$B$6)/(1+B7146)^7</f>
        <v>-1882.663305</v>
      </c>
    </row>
    <row r="7147" ht="14.25" customHeight="1">
      <c r="A7147" s="7">
        <v>7134.0</v>
      </c>
      <c r="B7147" s="14">
        <f t="shared" si="1"/>
        <v>0.1099660515</v>
      </c>
      <c r="C7147" s="39">
        <f t="array" ref="C7147">NPV(B7147,FCFF!$C$9:$I$9)+FCFF!$B$9+FCFF!$I$9*(1+Inputs!$B$6)/(B7147-Inputs!$B$6)/(1+B7147)^7</f>
        <v>-1630.22125</v>
      </c>
    </row>
    <row r="7148" ht="14.25" customHeight="1">
      <c r="A7148" s="7">
        <v>7135.0</v>
      </c>
      <c r="B7148" s="14">
        <f t="shared" si="1"/>
        <v>0.1244469549</v>
      </c>
      <c r="C7148" s="39">
        <f t="array" ref="C7148">NPV(B7148,FCFF!$C$9:$I$9)+FCFF!$B$9+FCFF!$I$9*(1+Inputs!$B$6)/(B7148-Inputs!$B$6)/(1+B7148)^7</f>
        <v>-1892.966498</v>
      </c>
    </row>
    <row r="7149" ht="14.25" customHeight="1">
      <c r="A7149" s="7">
        <v>7136.0</v>
      </c>
      <c r="B7149" s="14">
        <f t="shared" si="1"/>
        <v>0.1247211986</v>
      </c>
      <c r="C7149" s="39">
        <f t="array" ref="C7149">NPV(B7149,FCFF!$C$9:$I$9)+FCFF!$B$9+FCFF!$I$9*(1+Inputs!$B$6)/(B7149-Inputs!$B$6)/(1+B7149)^7</f>
        <v>-1897.125581</v>
      </c>
    </row>
    <row r="7150" ht="14.25" customHeight="1">
      <c r="A7150" s="7">
        <v>7137.0</v>
      </c>
      <c r="B7150" s="14">
        <f t="shared" si="1"/>
        <v>0.1084118399</v>
      </c>
      <c r="C7150" s="39">
        <f t="array" ref="C7150">NPV(B7150,FCFF!$C$9:$I$9)+FCFF!$B$9+FCFF!$I$9*(1+Inputs!$B$6)/(B7150-Inputs!$B$6)/(1+B7150)^7</f>
        <v>-1595.988198</v>
      </c>
    </row>
    <row r="7151" ht="14.25" customHeight="1">
      <c r="A7151" s="7">
        <v>7138.0</v>
      </c>
      <c r="B7151" s="14">
        <f t="shared" si="1"/>
        <v>0.1171614938</v>
      </c>
      <c r="C7151" s="39">
        <f t="array" ref="C7151">NPV(B7151,FCFF!$C$9:$I$9)+FCFF!$B$9+FCFF!$I$9*(1+Inputs!$B$6)/(B7151-Inputs!$B$6)/(1+B7151)^7</f>
        <v>-1772.243628</v>
      </c>
    </row>
    <row r="7152" ht="14.25" customHeight="1">
      <c r="A7152" s="7">
        <v>7139.0</v>
      </c>
      <c r="B7152" s="14">
        <f t="shared" si="1"/>
        <v>0.1025319666</v>
      </c>
      <c r="C7152" s="39">
        <f t="array" ref="C7152">NPV(B7152,FCFF!$C$9:$I$9)+FCFF!$B$9+FCFF!$I$9*(1+Inputs!$B$6)/(B7152-Inputs!$B$6)/(1+B7152)^7</f>
        <v>-1452.857325</v>
      </c>
    </row>
    <row r="7153" ht="14.25" customHeight="1">
      <c r="A7153" s="7">
        <v>7140.0</v>
      </c>
      <c r="B7153" s="14">
        <f t="shared" si="1"/>
        <v>0.09515792066</v>
      </c>
      <c r="C7153" s="39">
        <f t="array" ref="C7153">NPV(B7153,FCFF!$C$9:$I$9)+FCFF!$B$9+FCFF!$I$9*(1+Inputs!$B$6)/(B7153-Inputs!$B$6)/(1+B7153)^7</f>
        <v>-1236.386655</v>
      </c>
    </row>
    <row r="7154" ht="14.25" customHeight="1">
      <c r="A7154" s="7">
        <v>7141.0</v>
      </c>
      <c r="B7154" s="14">
        <f t="shared" si="1"/>
        <v>0.09606023217</v>
      </c>
      <c r="C7154" s="39">
        <f t="array" ref="C7154">NPV(B7154,FCFF!$C$9:$I$9)+FCFF!$B$9+FCFF!$I$9*(1+Inputs!$B$6)/(B7154-Inputs!$B$6)/(1+B7154)^7</f>
        <v>-1265.471665</v>
      </c>
    </row>
    <row r="7155" ht="14.25" customHeight="1">
      <c r="A7155" s="7">
        <v>7142.0</v>
      </c>
      <c r="B7155" s="14">
        <f t="shared" si="1"/>
        <v>0.1178755797</v>
      </c>
      <c r="C7155" s="39">
        <f t="array" ref="C7155">NPV(B7155,FCFF!$C$9:$I$9)+FCFF!$B$9+FCFF!$I$9*(1+Inputs!$B$6)/(B7155-Inputs!$B$6)/(1+B7155)^7</f>
        <v>-1785.013799</v>
      </c>
    </row>
    <row r="7156" ht="14.25" customHeight="1">
      <c r="A7156" s="7">
        <v>7143.0</v>
      </c>
      <c r="B7156" s="14">
        <f t="shared" si="1"/>
        <v>0.1101873441</v>
      </c>
      <c r="C7156" s="39">
        <f t="array" ref="C7156">NPV(B7156,FCFF!$C$9:$I$9)+FCFF!$B$9+FCFF!$I$9*(1+Inputs!$B$6)/(B7156-Inputs!$B$6)/(1+B7156)^7</f>
        <v>-1634.98415</v>
      </c>
    </row>
    <row r="7157" ht="14.25" customHeight="1">
      <c r="A7157" s="7">
        <v>7144.0</v>
      </c>
      <c r="B7157" s="14">
        <f t="shared" si="1"/>
        <v>0.1238639343</v>
      </c>
      <c r="C7157" s="39">
        <f t="array" ref="C7157">NPV(B7157,FCFF!$C$9:$I$9)+FCFF!$B$9+FCFF!$I$9*(1+Inputs!$B$6)/(B7157-Inputs!$B$6)/(1+B7157)^7</f>
        <v>-1884.038159</v>
      </c>
    </row>
    <row r="7158" ht="14.25" customHeight="1">
      <c r="A7158" s="7">
        <v>7145.0</v>
      </c>
      <c r="B7158" s="14">
        <f t="shared" si="1"/>
        <v>0.1097285818</v>
      </c>
      <c r="C7158" s="39">
        <f t="array" ref="C7158">NPV(B7158,FCFF!$C$9:$I$9)+FCFF!$B$9+FCFF!$I$9*(1+Inputs!$B$6)/(B7158-Inputs!$B$6)/(1+B7158)^7</f>
        <v>-1625.079797</v>
      </c>
    </row>
    <row r="7159" ht="14.25" customHeight="1">
      <c r="A7159" s="7">
        <v>7146.0</v>
      </c>
      <c r="B7159" s="14">
        <f t="shared" si="1"/>
        <v>0.1093081711</v>
      </c>
      <c r="C7159" s="39">
        <f t="array" ref="C7159">NPV(B7159,FCFF!$C$9:$I$9)+FCFF!$B$9+FCFF!$I$9*(1+Inputs!$B$6)/(B7159-Inputs!$B$6)/(1+B7159)^7</f>
        <v>-1615.899571</v>
      </c>
    </row>
    <row r="7160" ht="14.25" customHeight="1">
      <c r="A7160" s="7">
        <v>7147.0</v>
      </c>
      <c r="B7160" s="14">
        <f t="shared" si="1"/>
        <v>0.1329111895</v>
      </c>
      <c r="C7160" s="39">
        <f t="array" ref="C7160">NPV(B7160,FCFF!$C$9:$I$9)+FCFF!$B$9+FCFF!$I$9*(1+Inputs!$B$6)/(B7160-Inputs!$B$6)/(1+B7160)^7</f>
        <v>-2010.366953</v>
      </c>
    </row>
    <row r="7161" ht="14.25" customHeight="1">
      <c r="A7161" s="7">
        <v>7148.0</v>
      </c>
      <c r="B7161" s="14">
        <f t="shared" si="1"/>
        <v>0.09323980397</v>
      </c>
      <c r="C7161" s="39">
        <f t="array" ref="C7161">NPV(B7161,FCFF!$C$9:$I$9)+FCFF!$B$9+FCFF!$I$9*(1+Inputs!$B$6)/(B7161-Inputs!$B$6)/(1+B7161)^7</f>
        <v>-1171.821578</v>
      </c>
    </row>
    <row r="7162" ht="14.25" customHeight="1">
      <c r="A7162" s="7">
        <v>7149.0</v>
      </c>
      <c r="B7162" s="14">
        <f t="shared" si="1"/>
        <v>0.1263145424</v>
      </c>
      <c r="C7162" s="39">
        <f t="array" ref="C7162">NPV(B7162,FCFF!$C$9:$I$9)+FCFF!$B$9+FCFF!$I$9*(1+Inputs!$B$6)/(B7162-Inputs!$B$6)/(1+B7162)^7</f>
        <v>-1920.787655</v>
      </c>
    </row>
    <row r="7163" ht="14.25" customHeight="1">
      <c r="A7163" s="7">
        <v>7150.0</v>
      </c>
      <c r="B7163" s="14">
        <f t="shared" si="1"/>
        <v>0.1236221403</v>
      </c>
      <c r="C7163" s="39">
        <f t="array" ref="C7163">NPV(B7163,FCFF!$C$9:$I$9)+FCFF!$B$9+FCFF!$I$9*(1+Inputs!$B$6)/(B7163-Inputs!$B$6)/(1+B7163)^7</f>
        <v>-1880.300452</v>
      </c>
    </row>
    <row r="7164" ht="14.25" customHeight="1">
      <c r="A7164" s="7">
        <v>7151.0</v>
      </c>
      <c r="B7164" s="14">
        <f t="shared" si="1"/>
        <v>0.1100518559</v>
      </c>
      <c r="C7164" s="39">
        <f t="array" ref="C7164">NPV(B7164,FCFF!$C$9:$I$9)+FCFF!$B$9+FCFF!$I$9*(1+Inputs!$B$6)/(B7164-Inputs!$B$6)/(1+B7164)^7</f>
        <v>-1632.071254</v>
      </c>
    </row>
    <row r="7165" ht="14.25" customHeight="1">
      <c r="A7165" s="7">
        <v>7152.0</v>
      </c>
      <c r="B7165" s="14">
        <f t="shared" si="1"/>
        <v>0.125902749</v>
      </c>
      <c r="C7165" s="39">
        <f t="array" ref="C7165">NPV(B7165,FCFF!$C$9:$I$9)+FCFF!$B$9+FCFF!$I$9*(1+Inputs!$B$6)/(B7165-Inputs!$B$6)/(1+B7165)^7</f>
        <v>-1914.753161</v>
      </c>
    </row>
    <row r="7166" ht="14.25" customHeight="1">
      <c r="A7166" s="7">
        <v>7153.0</v>
      </c>
      <c r="B7166" s="14">
        <f t="shared" si="1"/>
        <v>0.09627248327</v>
      </c>
      <c r="C7166" s="39">
        <f t="array" ref="C7166">NPV(B7166,FCFF!$C$9:$I$9)+FCFF!$B$9+FCFF!$I$9*(1+Inputs!$B$6)/(B7166-Inputs!$B$6)/(1+B7166)^7</f>
        <v>-1272.198807</v>
      </c>
    </row>
    <row r="7167" ht="14.25" customHeight="1">
      <c r="A7167" s="7">
        <v>7154.0</v>
      </c>
      <c r="B7167" s="14">
        <f t="shared" si="1"/>
        <v>0.1196810228</v>
      </c>
      <c r="C7167" s="39">
        <f t="array" ref="C7167">NPV(B7167,FCFF!$C$9:$I$9)+FCFF!$B$9+FCFF!$I$9*(1+Inputs!$B$6)/(B7167-Inputs!$B$6)/(1+B7167)^7</f>
        <v>-1816.345589</v>
      </c>
    </row>
    <row r="7168" ht="14.25" customHeight="1">
      <c r="A7168" s="7">
        <v>7155.0</v>
      </c>
      <c r="B7168" s="14">
        <f t="shared" si="1"/>
        <v>0.1131405307</v>
      </c>
      <c r="C7168" s="39">
        <f t="array" ref="C7168">NPV(B7168,FCFF!$C$9:$I$9)+FCFF!$B$9+FCFF!$I$9*(1+Inputs!$B$6)/(B7168-Inputs!$B$6)/(1+B7168)^7</f>
        <v>-1696.034913</v>
      </c>
    </row>
    <row r="7169" ht="14.25" customHeight="1">
      <c r="A7169" s="7">
        <v>7156.0</v>
      </c>
      <c r="B7169" s="14">
        <f t="shared" si="1"/>
        <v>0.1185195722</v>
      </c>
      <c r="C7169" s="39">
        <f t="array" ref="C7169">NPV(B7169,FCFF!$C$9:$I$9)+FCFF!$B$9+FCFF!$I$9*(1+Inputs!$B$6)/(B7169-Inputs!$B$6)/(1+B7169)^7</f>
        <v>-1796.344463</v>
      </c>
    </row>
    <row r="7170" ht="14.25" customHeight="1">
      <c r="A7170" s="7">
        <v>7157.0</v>
      </c>
      <c r="B7170" s="14">
        <f t="shared" si="1"/>
        <v>0.105866459</v>
      </c>
      <c r="C7170" s="39">
        <f t="array" ref="C7170">NPV(B7170,FCFF!$C$9:$I$9)+FCFF!$B$9+FCFF!$I$9*(1+Inputs!$B$6)/(B7170-Inputs!$B$6)/(1+B7170)^7</f>
        <v>-1536.807842</v>
      </c>
    </row>
    <row r="7171" ht="14.25" customHeight="1">
      <c r="A7171" s="7">
        <v>7158.0</v>
      </c>
      <c r="B7171" s="14">
        <f t="shared" si="1"/>
        <v>0.1047038436</v>
      </c>
      <c r="C7171" s="39">
        <f t="array" ref="C7171">NPV(B7171,FCFF!$C$9:$I$9)+FCFF!$B$9+FCFF!$I$9*(1+Inputs!$B$6)/(B7171-Inputs!$B$6)/(1+B7171)^7</f>
        <v>-1508.403567</v>
      </c>
    </row>
    <row r="7172" ht="14.25" customHeight="1">
      <c r="A7172" s="7">
        <v>7159.0</v>
      </c>
      <c r="B7172" s="14">
        <f t="shared" si="1"/>
        <v>0.0935163063</v>
      </c>
      <c r="C7172" s="39">
        <f t="array" ref="C7172">NPV(B7172,FCFF!$C$9:$I$9)+FCFF!$B$9+FCFF!$I$9*(1+Inputs!$B$6)/(B7172-Inputs!$B$6)/(1+B7172)^7</f>
        <v>-1181.367049</v>
      </c>
    </row>
    <row r="7173" ht="14.25" customHeight="1">
      <c r="A7173" s="7">
        <v>7160.0</v>
      </c>
      <c r="B7173" s="14">
        <f t="shared" si="1"/>
        <v>0.1201203676</v>
      </c>
      <c r="C7173" s="39">
        <f t="array" ref="C7173">NPV(B7173,FCFF!$C$9:$I$9)+FCFF!$B$9+FCFF!$I$9*(1+Inputs!$B$6)/(B7173-Inputs!$B$6)/(1+B7173)^7</f>
        <v>-1823.769432</v>
      </c>
    </row>
    <row r="7174" ht="14.25" customHeight="1">
      <c r="A7174" s="7">
        <v>7161.0</v>
      </c>
      <c r="B7174" s="14">
        <f t="shared" si="1"/>
        <v>0.12070602</v>
      </c>
      <c r="C7174" s="39">
        <f t="array" ref="C7174">NPV(B7174,FCFF!$C$9:$I$9)+FCFF!$B$9+FCFF!$I$9*(1+Inputs!$B$6)/(B7174-Inputs!$B$6)/(1+B7174)^7</f>
        <v>-1833.547103</v>
      </c>
    </row>
    <row r="7175" ht="14.25" customHeight="1">
      <c r="A7175" s="7">
        <v>7162.0</v>
      </c>
      <c r="B7175" s="14">
        <f t="shared" si="1"/>
        <v>0.09470066174</v>
      </c>
      <c r="C7175" s="39">
        <f t="array" ref="C7175">NPV(B7175,FCFF!$C$9:$I$9)+FCFF!$B$9+FCFF!$I$9*(1+Inputs!$B$6)/(B7175-Inputs!$B$6)/(1+B7175)^7</f>
        <v>-1221.339582</v>
      </c>
    </row>
    <row r="7176" ht="14.25" customHeight="1">
      <c r="A7176" s="7">
        <v>7163.0</v>
      </c>
      <c r="B7176" s="14">
        <f t="shared" si="1"/>
        <v>0.1005389051</v>
      </c>
      <c r="C7176" s="39">
        <f t="array" ref="C7176">NPV(B7176,FCFF!$C$9:$I$9)+FCFF!$B$9+FCFF!$I$9*(1+Inputs!$B$6)/(B7176-Inputs!$B$6)/(1+B7176)^7</f>
        <v>-1398.833512</v>
      </c>
    </row>
    <row r="7177" ht="14.25" customHeight="1">
      <c r="A7177" s="7">
        <v>7164.0</v>
      </c>
      <c r="B7177" s="14">
        <f t="shared" si="1"/>
        <v>0.1065104453</v>
      </c>
      <c r="C7177" s="39">
        <f t="array" ref="C7177">NPV(B7177,FCFF!$C$9:$I$9)+FCFF!$B$9+FCFF!$I$9*(1+Inputs!$B$6)/(B7177-Inputs!$B$6)/(1+B7177)^7</f>
        <v>-1552.161913</v>
      </c>
    </row>
    <row r="7178" ht="14.25" customHeight="1">
      <c r="A7178" s="7">
        <v>7165.0</v>
      </c>
      <c r="B7178" s="14">
        <f t="shared" si="1"/>
        <v>0.1310201886</v>
      </c>
      <c r="C7178" s="39">
        <f t="array" ref="C7178">NPV(B7178,FCFF!$C$9:$I$9)+FCFF!$B$9+FCFF!$I$9*(1+Inputs!$B$6)/(B7178-Inputs!$B$6)/(1+B7178)^7</f>
        <v>-1985.985178</v>
      </c>
    </row>
    <row r="7179" ht="14.25" customHeight="1">
      <c r="A7179" s="7">
        <v>7166.0</v>
      </c>
      <c r="B7179" s="14">
        <f t="shared" si="1"/>
        <v>0.1071226507</v>
      </c>
      <c r="C7179" s="39">
        <f t="array" ref="C7179">NPV(B7179,FCFF!$C$9:$I$9)+FCFF!$B$9+FCFF!$I$9*(1+Inputs!$B$6)/(B7179-Inputs!$B$6)/(1+B7179)^7</f>
        <v>-1566.51495</v>
      </c>
    </row>
    <row r="7180" ht="14.25" customHeight="1">
      <c r="A7180" s="7">
        <v>7167.0</v>
      </c>
      <c r="B7180" s="14">
        <f t="shared" si="1"/>
        <v>0.1115670347</v>
      </c>
      <c r="C7180" s="39">
        <f t="array" ref="C7180">NPV(B7180,FCFF!$C$9:$I$9)+FCFF!$B$9+FCFF!$I$9*(1+Inputs!$B$6)/(B7180-Inputs!$B$6)/(1+B7180)^7</f>
        <v>-1664.076826</v>
      </c>
    </row>
    <row r="7181" ht="14.25" customHeight="1">
      <c r="A7181" s="7">
        <v>7168.0</v>
      </c>
      <c r="B7181" s="14">
        <f t="shared" si="1"/>
        <v>0.1100932081</v>
      </c>
      <c r="C7181" s="39">
        <f t="array" ref="C7181">NPV(B7181,FCFF!$C$9:$I$9)+FCFF!$B$9+FCFF!$I$9*(1+Inputs!$B$6)/(B7181-Inputs!$B$6)/(1+B7181)^7</f>
        <v>-1632.961375</v>
      </c>
    </row>
    <row r="7182" ht="14.25" customHeight="1">
      <c r="A7182" s="7">
        <v>7169.0</v>
      </c>
      <c r="B7182" s="14">
        <f t="shared" si="1"/>
        <v>0.1071327369</v>
      </c>
      <c r="C7182" s="39">
        <f t="array" ref="C7182">NPV(B7182,FCFF!$C$9:$I$9)+FCFF!$B$9+FCFF!$I$9*(1+Inputs!$B$6)/(B7182-Inputs!$B$6)/(1+B7182)^7</f>
        <v>-1566.749465</v>
      </c>
    </row>
    <row r="7183" ht="14.25" customHeight="1">
      <c r="A7183" s="7">
        <v>7170.0</v>
      </c>
      <c r="B7183" s="14">
        <f t="shared" si="1"/>
        <v>0.09998088498</v>
      </c>
      <c r="C7183" s="39">
        <f t="array" ref="C7183">NPV(B7183,FCFF!$C$9:$I$9)+FCFF!$B$9+FCFF!$I$9*(1+Inputs!$B$6)/(B7183-Inputs!$B$6)/(1+B7183)^7</f>
        <v>-1383.15133</v>
      </c>
    </row>
    <row r="7184" ht="14.25" customHeight="1">
      <c r="A7184" s="7">
        <v>7171.0</v>
      </c>
      <c r="B7184" s="14">
        <f t="shared" si="1"/>
        <v>0.1210131759</v>
      </c>
      <c r="C7184" s="39">
        <f t="array" ref="C7184">NPV(B7184,FCFF!$C$9:$I$9)+FCFF!$B$9+FCFF!$I$9*(1+Inputs!$B$6)/(B7184-Inputs!$B$6)/(1+B7184)^7</f>
        <v>-1838.621848</v>
      </c>
    </row>
    <row r="7185" ht="14.25" customHeight="1">
      <c r="A7185" s="7">
        <v>7172.0</v>
      </c>
      <c r="B7185" s="14">
        <f t="shared" si="1"/>
        <v>0.1083620507</v>
      </c>
      <c r="C7185" s="39">
        <f t="array" ref="C7185">NPV(B7185,FCFF!$C$9:$I$9)+FCFF!$B$9+FCFF!$I$9*(1+Inputs!$B$6)/(B7185-Inputs!$B$6)/(1+B7185)^7</f>
        <v>-1594.868418</v>
      </c>
    </row>
    <row r="7186" ht="14.25" customHeight="1">
      <c r="A7186" s="7">
        <v>7173.0</v>
      </c>
      <c r="B7186" s="14">
        <f t="shared" si="1"/>
        <v>0.1278597213</v>
      </c>
      <c r="C7186" s="39">
        <f t="array" ref="C7186">NPV(B7186,FCFF!$C$9:$I$9)+FCFF!$B$9+FCFF!$I$9*(1+Inputs!$B$6)/(B7186-Inputs!$B$6)/(1+B7186)^7</f>
        <v>-1942.944021</v>
      </c>
    </row>
    <row r="7187" ht="14.25" customHeight="1">
      <c r="A7187" s="7">
        <v>7174.0</v>
      </c>
      <c r="B7187" s="14">
        <f t="shared" si="1"/>
        <v>0.1087582804</v>
      </c>
      <c r="C7187" s="39">
        <f t="array" ref="C7187">NPV(B7187,FCFF!$C$9:$I$9)+FCFF!$B$9+FCFF!$I$9*(1+Inputs!$B$6)/(B7187-Inputs!$B$6)/(1+B7187)^7</f>
        <v>-1603.73946</v>
      </c>
    </row>
    <row r="7188" ht="14.25" customHeight="1">
      <c r="A7188" s="7">
        <v>7175.0</v>
      </c>
      <c r="B7188" s="14">
        <f t="shared" si="1"/>
        <v>0.1081683815</v>
      </c>
      <c r="C7188" s="39">
        <f t="array" ref="C7188">NPV(B7188,FCFF!$C$9:$I$9)+FCFF!$B$9+FCFF!$I$9*(1+Inputs!$B$6)/(B7188-Inputs!$B$6)/(1+B7188)^7</f>
        <v>-1590.49877</v>
      </c>
    </row>
    <row r="7189" ht="14.25" customHeight="1">
      <c r="A7189" s="7">
        <v>7176.0</v>
      </c>
      <c r="B7189" s="14">
        <f t="shared" si="1"/>
        <v>0.114514632</v>
      </c>
      <c r="C7189" s="39">
        <f t="array" ref="C7189">NPV(B7189,FCFF!$C$9:$I$9)+FCFF!$B$9+FCFF!$I$9*(1+Inputs!$B$6)/(B7189-Inputs!$B$6)/(1+B7189)^7</f>
        <v>-1722.930998</v>
      </c>
    </row>
    <row r="7190" ht="14.25" customHeight="1">
      <c r="A7190" s="7">
        <v>7177.0</v>
      </c>
      <c r="B7190" s="14">
        <f t="shared" si="1"/>
        <v>0.1250580084</v>
      </c>
      <c r="C7190" s="39">
        <f t="array" ref="C7190">NPV(B7190,FCFF!$C$9:$I$9)+FCFF!$B$9+FCFF!$I$9*(1+Inputs!$B$6)/(B7190-Inputs!$B$6)/(1+B7190)^7</f>
        <v>-1902.198354</v>
      </c>
    </row>
    <row r="7191" ht="14.25" customHeight="1">
      <c r="A7191" s="7">
        <v>7178.0</v>
      </c>
      <c r="B7191" s="14">
        <f t="shared" si="1"/>
        <v>0.1057594693</v>
      </c>
      <c r="C7191" s="39">
        <f t="array" ref="C7191">NPV(B7191,FCFF!$C$9:$I$9)+FCFF!$B$9+FCFF!$I$9*(1+Inputs!$B$6)/(B7191-Inputs!$B$6)/(1+B7191)^7</f>
        <v>-1534.231115</v>
      </c>
    </row>
    <row r="7192" ht="14.25" customHeight="1">
      <c r="A7192" s="7">
        <v>7179.0</v>
      </c>
      <c r="B7192" s="14">
        <f t="shared" si="1"/>
        <v>0.1021235352</v>
      </c>
      <c r="C7192" s="39">
        <f t="array" ref="C7192">NPV(B7192,FCFF!$C$9:$I$9)+FCFF!$B$9+FCFF!$I$9*(1+Inputs!$B$6)/(B7192-Inputs!$B$6)/(1+B7192)^7</f>
        <v>-1442.032323</v>
      </c>
    </row>
    <row r="7193" ht="14.25" customHeight="1">
      <c r="A7193" s="7">
        <v>7180.0</v>
      </c>
      <c r="B7193" s="14">
        <f t="shared" si="1"/>
        <v>0.1100882188</v>
      </c>
      <c r="C7193" s="39">
        <f t="array" ref="C7193">NPV(B7193,FCFF!$C$9:$I$9)+FCFF!$B$9+FCFF!$I$9*(1+Inputs!$B$6)/(B7193-Inputs!$B$6)/(1+B7193)^7</f>
        <v>-1632.854028</v>
      </c>
    </row>
    <row r="7194" ht="14.25" customHeight="1">
      <c r="A7194" s="7">
        <v>7181.0</v>
      </c>
      <c r="B7194" s="14">
        <f t="shared" si="1"/>
        <v>0.09431140237</v>
      </c>
      <c r="C7194" s="39">
        <f t="array" ref="C7194">NPV(B7194,FCFF!$C$9:$I$9)+FCFF!$B$9+FCFF!$I$9*(1+Inputs!$B$6)/(B7194-Inputs!$B$6)/(1+B7194)^7</f>
        <v>-1208.362857</v>
      </c>
    </row>
    <row r="7195" ht="14.25" customHeight="1">
      <c r="A7195" s="7">
        <v>7182.0</v>
      </c>
      <c r="B7195" s="14">
        <f t="shared" si="1"/>
        <v>0.1161137026</v>
      </c>
      <c r="C7195" s="39">
        <f t="array" ref="C7195">NPV(B7195,FCFF!$C$9:$I$9)+FCFF!$B$9+FCFF!$I$9*(1+Inputs!$B$6)/(B7195-Inputs!$B$6)/(1+B7195)^7</f>
        <v>-1753.102545</v>
      </c>
    </row>
    <row r="7196" ht="14.25" customHeight="1">
      <c r="A7196" s="7">
        <v>7183.0</v>
      </c>
      <c r="B7196" s="14">
        <f t="shared" si="1"/>
        <v>0.1069962723</v>
      </c>
      <c r="C7196" s="39">
        <f t="array" ref="C7196">NPV(B7196,FCFF!$C$9:$I$9)+FCFF!$B$9+FCFF!$I$9*(1+Inputs!$B$6)/(B7196-Inputs!$B$6)/(1+B7196)^7</f>
        <v>-1563.571186</v>
      </c>
    </row>
    <row r="7197" ht="14.25" customHeight="1">
      <c r="A7197" s="7">
        <v>7184.0</v>
      </c>
      <c r="B7197" s="14">
        <f t="shared" si="1"/>
        <v>0.1322100863</v>
      </c>
      <c r="C7197" s="39">
        <f t="array" ref="C7197">NPV(B7197,FCFF!$C$9:$I$9)+FCFF!$B$9+FCFF!$I$9*(1+Inputs!$B$6)/(B7197-Inputs!$B$6)/(1+B7197)^7</f>
        <v>-2001.441983</v>
      </c>
    </row>
    <row r="7198" ht="14.25" customHeight="1">
      <c r="A7198" s="7">
        <v>7185.0</v>
      </c>
      <c r="B7198" s="14">
        <f t="shared" si="1"/>
        <v>0.1147487239</v>
      </c>
      <c r="C7198" s="39">
        <f t="array" ref="C7198">NPV(B7198,FCFF!$C$9:$I$9)+FCFF!$B$9+FCFF!$I$9*(1+Inputs!$B$6)/(B7198-Inputs!$B$6)/(1+B7198)^7</f>
        <v>-1727.422315</v>
      </c>
    </row>
    <row r="7199" ht="14.25" customHeight="1">
      <c r="A7199" s="7">
        <v>7186.0</v>
      </c>
      <c r="B7199" s="14">
        <f t="shared" si="1"/>
        <v>0.1104661706</v>
      </c>
      <c r="C7199" s="39">
        <f t="array" ref="C7199">NPV(B7199,FCFF!$C$9:$I$9)+FCFF!$B$9+FCFF!$I$9*(1+Inputs!$B$6)/(B7199-Inputs!$B$6)/(1+B7199)^7</f>
        <v>-1640.946823</v>
      </c>
    </row>
    <row r="7200" ht="14.25" customHeight="1">
      <c r="A7200" s="7">
        <v>7187.0</v>
      </c>
      <c r="B7200" s="14">
        <f t="shared" si="1"/>
        <v>0.1018056153</v>
      </c>
      <c r="C7200" s="39">
        <f t="array" ref="C7200">NPV(B7200,FCFF!$C$9:$I$9)+FCFF!$B$9+FCFF!$I$9*(1+Inputs!$B$6)/(B7200-Inputs!$B$6)/(1+B7200)^7</f>
        <v>-1433.519942</v>
      </c>
    </row>
    <row r="7201" ht="14.25" customHeight="1">
      <c r="A7201" s="7">
        <v>7188.0</v>
      </c>
      <c r="B7201" s="14">
        <f t="shared" si="1"/>
        <v>0.09700228609</v>
      </c>
      <c r="C7201" s="39">
        <f t="array" ref="C7201">NPV(B7201,FCFF!$C$9:$I$9)+FCFF!$B$9+FCFF!$I$9*(1+Inputs!$B$6)/(B7201-Inputs!$B$6)/(1+B7201)^7</f>
        <v>-1295.005107</v>
      </c>
    </row>
    <row r="7202" ht="14.25" customHeight="1">
      <c r="A7202" s="7">
        <v>7189.0</v>
      </c>
      <c r="B7202" s="14">
        <f t="shared" si="1"/>
        <v>0.1002460525</v>
      </c>
      <c r="C7202" s="39">
        <f t="array" ref="C7202">NPV(B7202,FCFF!$C$9:$I$9)+FCFF!$B$9+FCFF!$I$9*(1+Inputs!$B$6)/(B7202-Inputs!$B$6)/(1+B7202)^7</f>
        <v>-1390.634693</v>
      </c>
    </row>
    <row r="7203" ht="14.25" customHeight="1">
      <c r="A7203" s="7">
        <v>7190.0</v>
      </c>
      <c r="B7203" s="14">
        <f t="shared" si="1"/>
        <v>0.116463461</v>
      </c>
      <c r="C7203" s="39">
        <f t="array" ref="C7203">NPV(B7203,FCFF!$C$9:$I$9)+FCFF!$B$9+FCFF!$I$9*(1+Inputs!$B$6)/(B7203-Inputs!$B$6)/(1+B7203)^7</f>
        <v>-1759.546101</v>
      </c>
    </row>
    <row r="7204" ht="14.25" customHeight="1">
      <c r="A7204" s="7">
        <v>7191.0</v>
      </c>
      <c r="B7204" s="14">
        <f t="shared" si="1"/>
        <v>0.126719175</v>
      </c>
      <c r="C7204" s="39">
        <f t="array" ref="C7204">NPV(B7204,FCFF!$C$9:$I$9)+FCFF!$B$9+FCFF!$I$9*(1+Inputs!$B$6)/(B7204-Inputs!$B$6)/(1+B7204)^7</f>
        <v>-1926.663405</v>
      </c>
    </row>
    <row r="7205" ht="14.25" customHeight="1">
      <c r="A7205" s="7">
        <v>7192.0</v>
      </c>
      <c r="B7205" s="14">
        <f t="shared" si="1"/>
        <v>0.1258753942</v>
      </c>
      <c r="C7205" s="39">
        <f t="array" ref="C7205">NPV(B7205,FCFF!$C$9:$I$9)+FCFF!$B$9+FCFF!$I$9*(1+Inputs!$B$6)/(B7205-Inputs!$B$6)/(1+B7205)^7</f>
        <v>-1914.350325</v>
      </c>
    </row>
    <row r="7206" ht="14.25" customHeight="1">
      <c r="A7206" s="7">
        <v>7193.0</v>
      </c>
      <c r="B7206" s="14">
        <f t="shared" si="1"/>
        <v>0.1097731521</v>
      </c>
      <c r="C7206" s="39">
        <f t="array" ref="C7206">NPV(B7206,FCFF!$C$9:$I$9)+FCFF!$B$9+FCFF!$I$9*(1+Inputs!$B$6)/(B7206-Inputs!$B$6)/(1+B7206)^7</f>
        <v>-1626.047196</v>
      </c>
    </row>
    <row r="7207" ht="14.25" customHeight="1">
      <c r="A7207" s="7">
        <v>7194.0</v>
      </c>
      <c r="B7207" s="14">
        <f t="shared" si="1"/>
        <v>0.1294591809</v>
      </c>
      <c r="C7207" s="39">
        <f t="array" ref="C7207">NPV(B7207,FCFF!$C$9:$I$9)+FCFF!$B$9+FCFF!$I$9*(1+Inputs!$B$6)/(B7207-Inputs!$B$6)/(1+B7207)^7</f>
        <v>-1965.09691</v>
      </c>
    </row>
    <row r="7208" ht="14.25" customHeight="1">
      <c r="A7208" s="7">
        <v>7195.0</v>
      </c>
      <c r="B7208" s="14">
        <f t="shared" si="1"/>
        <v>0.1310305891</v>
      </c>
      <c r="C7208" s="39">
        <f t="array" ref="C7208">NPV(B7208,FCFF!$C$9:$I$9)+FCFF!$B$9+FCFF!$I$9*(1+Inputs!$B$6)/(B7208-Inputs!$B$6)/(1+B7208)^7</f>
        <v>-1986.121999</v>
      </c>
    </row>
    <row r="7209" ht="14.25" customHeight="1">
      <c r="A7209" s="7">
        <v>7196.0</v>
      </c>
      <c r="B7209" s="14">
        <f t="shared" si="1"/>
        <v>0.122891181</v>
      </c>
      <c r="C7209" s="39">
        <f t="array" ref="C7209">NPV(B7209,FCFF!$C$9:$I$9)+FCFF!$B$9+FCFF!$I$9*(1+Inputs!$B$6)/(B7209-Inputs!$B$6)/(1+B7209)^7</f>
        <v>-1868.874706</v>
      </c>
    </row>
    <row r="7210" ht="14.25" customHeight="1">
      <c r="A7210" s="7">
        <v>7197.0</v>
      </c>
      <c r="B7210" s="14">
        <f t="shared" si="1"/>
        <v>0.1164018813</v>
      </c>
      <c r="C7210" s="39">
        <f t="array" ref="C7210">NPV(B7210,FCFF!$C$9:$I$9)+FCFF!$B$9+FCFF!$I$9*(1+Inputs!$B$6)/(B7210-Inputs!$B$6)/(1+B7210)^7</f>
        <v>-1758.415594</v>
      </c>
    </row>
    <row r="7211" ht="14.25" customHeight="1">
      <c r="A7211" s="7">
        <v>7198.0</v>
      </c>
      <c r="B7211" s="14">
        <f t="shared" si="1"/>
        <v>0.1174360754</v>
      </c>
      <c r="C7211" s="39">
        <f t="array" ref="C7211">NPV(B7211,FCFF!$C$9:$I$9)+FCFF!$B$9+FCFF!$I$9*(1+Inputs!$B$6)/(B7211-Inputs!$B$6)/(1+B7211)^7</f>
        <v>-1777.180009</v>
      </c>
    </row>
    <row r="7212" ht="14.25" customHeight="1">
      <c r="A7212" s="7">
        <v>7199.0</v>
      </c>
      <c r="B7212" s="14">
        <f t="shared" si="1"/>
        <v>0.1081076623</v>
      </c>
      <c r="C7212" s="39">
        <f t="array" ref="C7212">NPV(B7212,FCFF!$C$9:$I$9)+FCFF!$B$9+FCFF!$I$9*(1+Inputs!$B$6)/(B7212-Inputs!$B$6)/(1+B7212)^7</f>
        <v>-1589.12421</v>
      </c>
    </row>
    <row r="7213" ht="14.25" customHeight="1">
      <c r="A7213" s="7">
        <v>7200.0</v>
      </c>
      <c r="B7213" s="14">
        <f t="shared" si="1"/>
        <v>0.1290694379</v>
      </c>
      <c r="C7213" s="39">
        <f t="array" ref="C7213">NPV(B7213,FCFF!$C$9:$I$9)+FCFF!$B$9+FCFF!$I$9*(1+Inputs!$B$6)/(B7213-Inputs!$B$6)/(1+B7213)^7</f>
        <v>-1959.77018</v>
      </c>
    </row>
    <row r="7214" ht="14.25" customHeight="1">
      <c r="A7214" s="7">
        <v>7201.0</v>
      </c>
      <c r="B7214" s="14">
        <f t="shared" si="1"/>
        <v>0.1325022346</v>
      </c>
      <c r="C7214" s="39">
        <f t="array" ref="C7214">NPV(B7214,FCFF!$C$9:$I$9)+FCFF!$B$9+FCFF!$I$9*(1+Inputs!$B$6)/(B7214-Inputs!$B$6)/(1+B7214)^7</f>
        <v>-2005.177204</v>
      </c>
    </row>
    <row r="7215" ht="14.25" customHeight="1">
      <c r="A7215" s="7">
        <v>7202.0</v>
      </c>
      <c r="B7215" s="14">
        <f t="shared" si="1"/>
        <v>0.1059612961</v>
      </c>
      <c r="C7215" s="39">
        <f t="array" ref="C7215">NPV(B7215,FCFF!$C$9:$I$9)+FCFF!$B$9+FCFF!$I$9*(1+Inputs!$B$6)/(B7215-Inputs!$B$6)/(1+B7215)^7</f>
        <v>-1539.085687</v>
      </c>
    </row>
    <row r="7216" ht="14.25" customHeight="1">
      <c r="A7216" s="7">
        <v>7203.0</v>
      </c>
      <c r="B7216" s="14">
        <f t="shared" si="1"/>
        <v>0.1186845179</v>
      </c>
      <c r="C7216" s="39">
        <f t="array" ref="C7216">NPV(B7216,FCFF!$C$9:$I$9)+FCFF!$B$9+FCFF!$I$9*(1+Inputs!$B$6)/(B7216-Inputs!$B$6)/(1+B7216)^7</f>
        <v>-1799.218675</v>
      </c>
    </row>
    <row r="7217" ht="14.25" customHeight="1">
      <c r="A7217" s="7">
        <v>7204.0</v>
      </c>
      <c r="B7217" s="14">
        <f t="shared" si="1"/>
        <v>0.1134595221</v>
      </c>
      <c r="C7217" s="39">
        <f t="array" ref="C7217">NPV(B7217,FCFF!$C$9:$I$9)+FCFF!$B$9+FCFF!$I$9*(1+Inputs!$B$6)/(B7217-Inputs!$B$6)/(1+B7217)^7</f>
        <v>-1702.361005</v>
      </c>
    </row>
    <row r="7218" ht="14.25" customHeight="1">
      <c r="A7218" s="7">
        <v>7205.0</v>
      </c>
      <c r="B7218" s="14">
        <f t="shared" si="1"/>
        <v>0.1129094665</v>
      </c>
      <c r="C7218" s="39">
        <f t="array" ref="C7218">NPV(B7218,FCFF!$C$9:$I$9)+FCFF!$B$9+FCFF!$I$9*(1+Inputs!$B$6)/(B7218-Inputs!$B$6)/(1+B7218)^7</f>
        <v>-1691.420903</v>
      </c>
    </row>
    <row r="7219" ht="14.25" customHeight="1">
      <c r="A7219" s="7">
        <v>7206.0</v>
      </c>
      <c r="B7219" s="14">
        <f t="shared" si="1"/>
        <v>0.116061783</v>
      </c>
      <c r="C7219" s="39">
        <f t="array" ref="C7219">NPV(B7219,FCFF!$C$9:$I$9)+FCFF!$B$9+FCFF!$I$9*(1+Inputs!$B$6)/(B7219-Inputs!$B$6)/(1+B7219)^7</f>
        <v>-1752.141355</v>
      </c>
    </row>
    <row r="7220" ht="14.25" customHeight="1">
      <c r="A7220" s="7">
        <v>7207.0</v>
      </c>
      <c r="B7220" s="14">
        <f t="shared" si="1"/>
        <v>0.106253844</v>
      </c>
      <c r="C7220" s="39">
        <f t="array" ref="C7220">NPV(B7220,FCFF!$C$9:$I$9)+FCFF!$B$9+FCFF!$I$9*(1+Inputs!$B$6)/(B7220-Inputs!$B$6)/(1+B7220)^7</f>
        <v>-1546.075755</v>
      </c>
    </row>
    <row r="7221" ht="14.25" customHeight="1">
      <c r="A7221" s="7">
        <v>7208.0</v>
      </c>
      <c r="B7221" s="14">
        <f t="shared" si="1"/>
        <v>0.1109924876</v>
      </c>
      <c r="C7221" s="39">
        <f t="array" ref="C7221">NPV(B7221,FCFF!$C$9:$I$9)+FCFF!$B$9+FCFF!$I$9*(1+Inputs!$B$6)/(B7221-Inputs!$B$6)/(1+B7221)^7</f>
        <v>-1652.086367</v>
      </c>
    </row>
    <row r="7222" ht="14.25" customHeight="1">
      <c r="A7222" s="7">
        <v>7209.0</v>
      </c>
      <c r="B7222" s="14">
        <f t="shared" si="1"/>
        <v>0.1083535456</v>
      </c>
      <c r="C7222" s="39">
        <f t="array" ref="C7222">NPV(B7222,FCFF!$C$9:$I$9)+FCFF!$B$9+FCFF!$I$9*(1+Inputs!$B$6)/(B7222-Inputs!$B$6)/(1+B7222)^7</f>
        <v>-1594.67699</v>
      </c>
    </row>
    <row r="7223" ht="14.25" customHeight="1">
      <c r="A7223" s="7">
        <v>7210.0</v>
      </c>
      <c r="B7223" s="14">
        <f t="shared" si="1"/>
        <v>0.1312270351</v>
      </c>
      <c r="C7223" s="39">
        <f t="array" ref="C7223">NPV(B7223,FCFF!$C$9:$I$9)+FCFF!$B$9+FCFF!$I$9*(1+Inputs!$B$6)/(B7223-Inputs!$B$6)/(1+B7223)^7</f>
        <v>-1988.700546</v>
      </c>
    </row>
    <row r="7224" ht="14.25" customHeight="1">
      <c r="A7224" s="7">
        <v>7211.0</v>
      </c>
      <c r="B7224" s="14">
        <f t="shared" si="1"/>
        <v>0.09694817467</v>
      </c>
      <c r="C7224" s="39">
        <f t="array" ref="C7224">NPV(B7224,FCFF!$C$9:$I$9)+FCFF!$B$9+FCFF!$I$9*(1+Inputs!$B$6)/(B7224-Inputs!$B$6)/(1+B7224)^7</f>
        <v>-1293.331158</v>
      </c>
    </row>
    <row r="7225" ht="14.25" customHeight="1">
      <c r="A7225" s="7">
        <v>7212.0</v>
      </c>
      <c r="B7225" s="14">
        <f t="shared" si="1"/>
        <v>0.1035749855</v>
      </c>
      <c r="C7225" s="39">
        <f t="array" ref="C7225">NPV(B7225,FCFF!$C$9:$I$9)+FCFF!$B$9+FCFF!$I$9*(1+Inputs!$B$6)/(B7225-Inputs!$B$6)/(1+B7225)^7</f>
        <v>-1479.948591</v>
      </c>
    </row>
    <row r="7226" ht="14.25" customHeight="1">
      <c r="A7226" s="7">
        <v>7213.0</v>
      </c>
      <c r="B7226" s="14">
        <f t="shared" si="1"/>
        <v>0.1182000222</v>
      </c>
      <c r="C7226" s="39">
        <f t="array" ref="C7226">NPV(B7226,FCFF!$C$9:$I$9)+FCFF!$B$9+FCFF!$I$9*(1+Inputs!$B$6)/(B7226-Inputs!$B$6)/(1+B7226)^7</f>
        <v>-1790.74397</v>
      </c>
    </row>
    <row r="7227" ht="14.25" customHeight="1">
      <c r="A7227" s="7">
        <v>7214.0</v>
      </c>
      <c r="B7227" s="14">
        <f t="shared" si="1"/>
        <v>0.1293168553</v>
      </c>
      <c r="C7227" s="39">
        <f t="array" ref="C7227">NPV(B7227,FCFF!$C$9:$I$9)+FCFF!$B$9+FCFF!$I$9*(1+Inputs!$B$6)/(B7227-Inputs!$B$6)/(1+B7227)^7</f>
        <v>-1963.156955</v>
      </c>
    </row>
    <row r="7228" ht="14.25" customHeight="1">
      <c r="A7228" s="7">
        <v>7215.0</v>
      </c>
      <c r="B7228" s="14">
        <f t="shared" si="1"/>
        <v>0.131181906</v>
      </c>
      <c r="C7228" s="39">
        <f t="array" ref="C7228">NPV(B7228,FCFF!$C$9:$I$9)+FCFF!$B$9+FCFF!$I$9*(1+Inputs!$B$6)/(B7228-Inputs!$B$6)/(1+B7228)^7</f>
        <v>-1988.109147</v>
      </c>
    </row>
    <row r="7229" ht="14.25" customHeight="1">
      <c r="A7229" s="7">
        <v>7216.0</v>
      </c>
      <c r="B7229" s="14">
        <f t="shared" si="1"/>
        <v>0.1235814223</v>
      </c>
      <c r="C7229" s="39">
        <f t="array" ref="C7229">NPV(B7229,FCFF!$C$9:$I$9)+FCFF!$B$9+FCFF!$I$9*(1+Inputs!$B$6)/(B7229-Inputs!$B$6)/(1+B7229)^7</f>
        <v>-1879.668993</v>
      </c>
    </row>
    <row r="7230" ht="14.25" customHeight="1">
      <c r="A7230" s="7">
        <v>7217.0</v>
      </c>
      <c r="B7230" s="14">
        <f t="shared" si="1"/>
        <v>0.1145591857</v>
      </c>
      <c r="C7230" s="39">
        <f t="array" ref="C7230">NPV(B7230,FCFF!$C$9:$I$9)+FCFF!$B$9+FCFF!$I$9*(1+Inputs!$B$6)/(B7230-Inputs!$B$6)/(1+B7230)^7</f>
        <v>-1723.787811</v>
      </c>
    </row>
    <row r="7231" ht="14.25" customHeight="1">
      <c r="A7231" s="7">
        <v>7218.0</v>
      </c>
      <c r="B7231" s="14">
        <f t="shared" si="1"/>
        <v>0.1309719715</v>
      </c>
      <c r="C7231" s="39">
        <f t="array" ref="C7231">NPV(B7231,FCFF!$C$9:$I$9)+FCFF!$B$9+FCFF!$I$9*(1+Inputs!$B$6)/(B7231-Inputs!$B$6)/(1+B7231)^7</f>
        <v>-1985.35047</v>
      </c>
    </row>
    <row r="7232" ht="14.25" customHeight="1">
      <c r="A7232" s="7">
        <v>7219.0</v>
      </c>
      <c r="B7232" s="14">
        <f t="shared" si="1"/>
        <v>0.09545861517</v>
      </c>
      <c r="C7232" s="39">
        <f t="array" ref="C7232">NPV(B7232,FCFF!$C$9:$I$9)+FCFF!$B$9+FCFF!$I$9*(1+Inputs!$B$6)/(B7232-Inputs!$B$6)/(1+B7232)^7</f>
        <v>-1246.167815</v>
      </c>
    </row>
    <row r="7233" ht="14.25" customHeight="1">
      <c r="A7233" s="7">
        <v>7220.0</v>
      </c>
      <c r="B7233" s="14">
        <f t="shared" si="1"/>
        <v>0.0978461934</v>
      </c>
      <c r="C7233" s="39">
        <f t="array" ref="C7233">NPV(B7233,FCFF!$C$9:$I$9)+FCFF!$B$9+FCFF!$I$9*(1+Inputs!$B$6)/(B7233-Inputs!$B$6)/(1+B7233)^7</f>
        <v>-1320.766287</v>
      </c>
    </row>
    <row r="7234" ht="14.25" customHeight="1">
      <c r="A7234" s="7">
        <v>7221.0</v>
      </c>
      <c r="B7234" s="14">
        <f t="shared" si="1"/>
        <v>0.09907821972</v>
      </c>
      <c r="C7234" s="39">
        <f t="array" ref="C7234">NPV(B7234,FCFF!$C$9:$I$9)+FCFF!$B$9+FCFF!$I$9*(1+Inputs!$B$6)/(B7234-Inputs!$B$6)/(1+B7234)^7</f>
        <v>-1357.243751</v>
      </c>
    </row>
    <row r="7235" ht="14.25" customHeight="1">
      <c r="A7235" s="7">
        <v>7222.0</v>
      </c>
      <c r="B7235" s="14">
        <f t="shared" si="1"/>
        <v>0.1081957485</v>
      </c>
      <c r="C7235" s="39">
        <f t="array" ref="C7235">NPV(B7235,FCFF!$C$9:$I$9)+FCFF!$B$9+FCFF!$I$9*(1+Inputs!$B$6)/(B7235-Inputs!$B$6)/(1+B7235)^7</f>
        <v>-1591.117586</v>
      </c>
    </row>
    <row r="7236" ht="14.25" customHeight="1">
      <c r="A7236" s="7">
        <v>7223.0</v>
      </c>
      <c r="B7236" s="14">
        <f t="shared" si="1"/>
        <v>0.1101310169</v>
      </c>
      <c r="C7236" s="39">
        <f t="array" ref="C7236">NPV(B7236,FCFF!$C$9:$I$9)+FCFF!$B$9+FCFF!$I$9*(1+Inputs!$B$6)/(B7236-Inputs!$B$6)/(1+B7236)^7</f>
        <v>-1633.774392</v>
      </c>
    </row>
    <row r="7237" ht="14.25" customHeight="1">
      <c r="A7237" s="7">
        <v>7224.0</v>
      </c>
      <c r="B7237" s="14">
        <f t="shared" si="1"/>
        <v>0.1054530973</v>
      </c>
      <c r="C7237" s="39">
        <f t="array" ref="C7237">NPV(B7237,FCFF!$C$9:$I$9)+FCFF!$B$9+FCFF!$I$9*(1+Inputs!$B$6)/(B7237-Inputs!$B$6)/(1+B7237)^7</f>
        <v>-1526.811193</v>
      </c>
    </row>
    <row r="7238" ht="14.25" customHeight="1">
      <c r="A7238" s="7">
        <v>7225.0</v>
      </c>
      <c r="B7238" s="14">
        <f t="shared" si="1"/>
        <v>0.1292388475</v>
      </c>
      <c r="C7238" s="39">
        <f t="array" ref="C7238">NPV(B7238,FCFF!$C$9:$I$9)+FCFF!$B$9+FCFF!$I$9*(1+Inputs!$B$6)/(B7238-Inputs!$B$6)/(1+B7238)^7</f>
        <v>-1962.091118</v>
      </c>
    </row>
    <row r="7239" ht="14.25" customHeight="1">
      <c r="A7239" s="7">
        <v>7226.0</v>
      </c>
      <c r="B7239" s="14">
        <f t="shared" si="1"/>
        <v>0.1050955149</v>
      </c>
      <c r="C7239" s="39">
        <f t="array" ref="C7239">NPV(B7239,FCFF!$C$9:$I$9)+FCFF!$B$9+FCFF!$I$9*(1+Inputs!$B$6)/(B7239-Inputs!$B$6)/(1+B7239)^7</f>
        <v>-1518.072858</v>
      </c>
    </row>
    <row r="7240" ht="14.25" customHeight="1">
      <c r="A7240" s="7">
        <v>7227.0</v>
      </c>
      <c r="B7240" s="14">
        <f t="shared" si="1"/>
        <v>0.1225337331</v>
      </c>
      <c r="C7240" s="39">
        <f t="array" ref="C7240">NPV(B7240,FCFF!$C$9:$I$9)+FCFF!$B$9+FCFF!$I$9*(1+Inputs!$B$6)/(B7240-Inputs!$B$6)/(1+B7240)^7</f>
        <v>-1863.217252</v>
      </c>
    </row>
    <row r="7241" ht="14.25" customHeight="1">
      <c r="A7241" s="7">
        <v>7228.0</v>
      </c>
      <c r="B7241" s="14">
        <f t="shared" si="1"/>
        <v>0.114064375</v>
      </c>
      <c r="C7241" s="39">
        <f t="array" ref="C7241">NPV(B7241,FCFF!$C$9:$I$9)+FCFF!$B$9+FCFF!$I$9*(1+Inputs!$B$6)/(B7241-Inputs!$B$6)/(1+B7241)^7</f>
        <v>-1714.218854</v>
      </c>
    </row>
    <row r="7242" ht="14.25" customHeight="1">
      <c r="A7242" s="7">
        <v>7229.0</v>
      </c>
      <c r="B7242" s="14">
        <f t="shared" si="1"/>
        <v>0.1327408137</v>
      </c>
      <c r="C7242" s="39">
        <f t="array" ref="C7242">NPV(B7242,FCFF!$C$9:$I$9)+FCFF!$B$9+FCFF!$I$9*(1+Inputs!$B$6)/(B7242-Inputs!$B$6)/(1+B7242)^7</f>
        <v>-2008.210323</v>
      </c>
    </row>
    <row r="7243" ht="14.25" customHeight="1">
      <c r="A7243" s="7">
        <v>7230.0</v>
      </c>
      <c r="B7243" s="14">
        <f t="shared" si="1"/>
        <v>0.1273423382</v>
      </c>
      <c r="C7243" s="39">
        <f t="array" ref="C7243">NPV(B7243,FCFF!$C$9:$I$9)+FCFF!$B$9+FCFF!$I$9*(1+Inputs!$B$6)/(B7243-Inputs!$B$6)/(1+B7243)^7</f>
        <v>-1935.609654</v>
      </c>
    </row>
    <row r="7244" ht="14.25" customHeight="1">
      <c r="A7244" s="7">
        <v>7231.0</v>
      </c>
      <c r="B7244" s="14">
        <f t="shared" si="1"/>
        <v>0.0947918492</v>
      </c>
      <c r="C7244" s="39">
        <f t="array" ref="C7244">NPV(B7244,FCFF!$C$9:$I$9)+FCFF!$B$9+FCFF!$I$9*(1+Inputs!$B$6)/(B7244-Inputs!$B$6)/(1+B7244)^7</f>
        <v>-1224.357131</v>
      </c>
    </row>
    <row r="7245" ht="14.25" customHeight="1">
      <c r="A7245" s="7">
        <v>7232.0</v>
      </c>
      <c r="B7245" s="14">
        <f t="shared" si="1"/>
        <v>0.1272271075</v>
      </c>
      <c r="C7245" s="39">
        <f t="array" ref="C7245">NPV(B7245,FCFF!$C$9:$I$9)+FCFF!$B$9+FCFF!$I$9*(1+Inputs!$B$6)/(B7245-Inputs!$B$6)/(1+B7245)^7</f>
        <v>-1933.96469</v>
      </c>
    </row>
    <row r="7246" ht="14.25" customHeight="1">
      <c r="A7246" s="7">
        <v>7233.0</v>
      </c>
      <c r="B7246" s="14">
        <f t="shared" si="1"/>
        <v>0.09655930899</v>
      </c>
      <c r="C7246" s="39">
        <f t="array" ref="C7246">NPV(B7246,FCFF!$C$9:$I$9)+FCFF!$B$9+FCFF!$I$9*(1+Inputs!$B$6)/(B7246-Inputs!$B$6)/(1+B7246)^7</f>
        <v>-1281.2216</v>
      </c>
    </row>
    <row r="7247" ht="14.25" customHeight="1">
      <c r="A7247" s="7">
        <v>7234.0</v>
      </c>
      <c r="B7247" s="14">
        <f t="shared" si="1"/>
        <v>0.09772840932</v>
      </c>
      <c r="C7247" s="39">
        <f t="array" ref="C7247">NPV(B7247,FCFF!$C$9:$I$9)+FCFF!$B$9+FCFF!$I$9*(1+Inputs!$B$6)/(B7247-Inputs!$B$6)/(1+B7247)^7</f>
        <v>-1317.209346</v>
      </c>
    </row>
    <row r="7248" ht="14.25" customHeight="1">
      <c r="A7248" s="7">
        <v>7235.0</v>
      </c>
      <c r="B7248" s="14">
        <f t="shared" si="1"/>
        <v>0.1017410538</v>
      </c>
      <c r="C7248" s="39">
        <f t="array" ref="C7248">NPV(B7248,FCFF!$C$9:$I$9)+FCFF!$B$9+FCFF!$I$9*(1+Inputs!$B$6)/(B7248-Inputs!$B$6)/(1+B7248)^7</f>
        <v>-1431.781972</v>
      </c>
    </row>
    <row r="7249" ht="14.25" customHeight="1">
      <c r="A7249" s="7">
        <v>7236.0</v>
      </c>
      <c r="B7249" s="14">
        <f t="shared" si="1"/>
        <v>0.09904003908</v>
      </c>
      <c r="C7249" s="39">
        <f t="array" ref="C7249">NPV(B7249,FCFF!$C$9:$I$9)+FCFF!$B$9+FCFF!$I$9*(1+Inputs!$B$6)/(B7249-Inputs!$B$6)/(1+B7249)^7</f>
        <v>-1356.132914</v>
      </c>
    </row>
    <row r="7250" ht="14.25" customHeight="1">
      <c r="A7250" s="7">
        <v>7237.0</v>
      </c>
      <c r="B7250" s="14">
        <f t="shared" si="1"/>
        <v>0.1115223155</v>
      </c>
      <c r="C7250" s="39">
        <f t="array" ref="C7250">NPV(B7250,FCFF!$C$9:$I$9)+FCFF!$B$9+FCFF!$I$9*(1+Inputs!$B$6)/(B7250-Inputs!$B$6)/(1+B7250)^7</f>
        <v>-1663.149847</v>
      </c>
    </row>
    <row r="7251" ht="14.25" customHeight="1">
      <c r="A7251" s="7">
        <v>7238.0</v>
      </c>
      <c r="B7251" s="14">
        <f t="shared" si="1"/>
        <v>0.1322714852</v>
      </c>
      <c r="C7251" s="39">
        <f t="array" ref="C7251">NPV(B7251,FCFF!$C$9:$I$9)+FCFF!$B$9+FCFF!$I$9*(1+Inputs!$B$6)/(B7251-Inputs!$B$6)/(1+B7251)^7</f>
        <v>-2002.228924</v>
      </c>
    </row>
    <row r="7252" ht="14.25" customHeight="1">
      <c r="A7252" s="7">
        <v>7239.0</v>
      </c>
      <c r="B7252" s="14">
        <f t="shared" si="1"/>
        <v>0.1267779572</v>
      </c>
      <c r="C7252" s="39">
        <f t="array" ref="C7252">NPV(B7252,FCFF!$C$9:$I$9)+FCFF!$B$9+FCFF!$I$9*(1+Inputs!$B$6)/(B7252-Inputs!$B$6)/(1+B7252)^7</f>
        <v>-1927.512594</v>
      </c>
    </row>
    <row r="7253" ht="14.25" customHeight="1">
      <c r="A7253" s="7">
        <v>7240.0</v>
      </c>
      <c r="B7253" s="14">
        <f t="shared" si="1"/>
        <v>0.1127591891</v>
      </c>
      <c r="C7253" s="39">
        <f t="array" ref="C7253">NPV(B7253,FCFF!$C$9:$I$9)+FCFF!$B$9+FCFF!$I$9*(1+Inputs!$B$6)/(B7253-Inputs!$B$6)/(1+B7253)^7</f>
        <v>-1688.405698</v>
      </c>
    </row>
    <row r="7254" ht="14.25" customHeight="1">
      <c r="A7254" s="7">
        <v>7241.0</v>
      </c>
      <c r="B7254" s="14">
        <f t="shared" si="1"/>
        <v>0.09376160122</v>
      </c>
      <c r="C7254" s="39">
        <f t="array" ref="C7254">NPV(B7254,FCFF!$C$9:$I$9)+FCFF!$B$9+FCFF!$I$9*(1+Inputs!$B$6)/(B7254-Inputs!$B$6)/(1+B7254)^7</f>
        <v>-1189.766621</v>
      </c>
    </row>
    <row r="7255" ht="14.25" customHeight="1">
      <c r="A7255" s="7">
        <v>7242.0</v>
      </c>
      <c r="B7255" s="14">
        <f t="shared" si="1"/>
        <v>0.1246361798</v>
      </c>
      <c r="C7255" s="39">
        <f t="array" ref="C7255">NPV(B7255,FCFF!$C$9:$I$9)+FCFF!$B$9+FCFF!$I$9*(1+Inputs!$B$6)/(B7255-Inputs!$B$6)/(1+B7255)^7</f>
        <v>-1895.838978</v>
      </c>
    </row>
    <row r="7256" ht="14.25" customHeight="1">
      <c r="A7256" s="7">
        <v>7243.0</v>
      </c>
      <c r="B7256" s="14">
        <f t="shared" si="1"/>
        <v>0.1220920163</v>
      </c>
      <c r="C7256" s="39">
        <f t="array" ref="C7256">NPV(B7256,FCFF!$C$9:$I$9)+FCFF!$B$9+FCFF!$I$9*(1+Inputs!$B$6)/(B7256-Inputs!$B$6)/(1+B7256)^7</f>
        <v>-1856.16139</v>
      </c>
    </row>
    <row r="7257" ht="14.25" customHeight="1">
      <c r="A7257" s="7">
        <v>7244.0</v>
      </c>
      <c r="B7257" s="14">
        <f t="shared" si="1"/>
        <v>0.09636592734</v>
      </c>
      <c r="C7257" s="39">
        <f t="array" ref="C7257">NPV(B7257,FCFF!$C$9:$I$9)+FCFF!$B$9+FCFF!$I$9*(1+Inputs!$B$6)/(B7257-Inputs!$B$6)/(1+B7257)^7</f>
        <v>-1275.146854</v>
      </c>
    </row>
    <row r="7258" ht="14.25" customHeight="1">
      <c r="A7258" s="7">
        <v>7245.0</v>
      </c>
      <c r="B7258" s="14">
        <f t="shared" si="1"/>
        <v>0.1111489666</v>
      </c>
      <c r="C7258" s="39">
        <f t="array" ref="C7258">NPV(B7258,FCFF!$C$9:$I$9)+FCFF!$B$9+FCFF!$I$9*(1+Inputs!$B$6)/(B7258-Inputs!$B$6)/(1+B7258)^7</f>
        <v>-1655.369421</v>
      </c>
    </row>
    <row r="7259" ht="14.25" customHeight="1">
      <c r="A7259" s="7">
        <v>7246.0</v>
      </c>
      <c r="B7259" s="14">
        <f t="shared" si="1"/>
        <v>0.09621218031</v>
      </c>
      <c r="C7259" s="39">
        <f t="array" ref="C7259">NPV(B7259,FCFF!$C$9:$I$9)+FCFF!$B$9+FCFF!$I$9*(1+Inputs!$B$6)/(B7259-Inputs!$B$6)/(1+B7259)^7</f>
        <v>-1270.291919</v>
      </c>
    </row>
    <row r="7260" ht="14.25" customHeight="1">
      <c r="A7260" s="7">
        <v>7247.0</v>
      </c>
      <c r="B7260" s="14">
        <f t="shared" si="1"/>
        <v>0.1046132773</v>
      </c>
      <c r="C7260" s="39">
        <f t="array" ref="C7260">NPV(B7260,FCFF!$C$9:$I$9)+FCFF!$B$9+FCFF!$I$9*(1+Inputs!$B$6)/(B7260-Inputs!$B$6)/(1+B7260)^7</f>
        <v>-1506.153006</v>
      </c>
    </row>
    <row r="7261" ht="14.25" customHeight="1">
      <c r="A7261" s="7">
        <v>7248.0</v>
      </c>
      <c r="B7261" s="14">
        <f t="shared" si="1"/>
        <v>0.1208165266</v>
      </c>
      <c r="C7261" s="39">
        <f t="array" ref="C7261">NPV(B7261,FCFF!$C$9:$I$9)+FCFF!$B$9+FCFF!$I$9*(1+Inputs!$B$6)/(B7261-Inputs!$B$6)/(1+B7261)^7</f>
        <v>-1835.377057</v>
      </c>
    </row>
    <row r="7262" ht="14.25" customHeight="1">
      <c r="A7262" s="7">
        <v>7249.0</v>
      </c>
      <c r="B7262" s="14">
        <f t="shared" si="1"/>
        <v>0.1158371022</v>
      </c>
      <c r="C7262" s="39">
        <f t="array" ref="C7262">NPV(B7262,FCFF!$C$9:$I$9)+FCFF!$B$9+FCFF!$I$9*(1+Inputs!$B$6)/(B7262-Inputs!$B$6)/(1+B7262)^7</f>
        <v>-1747.967769</v>
      </c>
    </row>
    <row r="7263" ht="14.25" customHeight="1">
      <c r="A7263" s="7">
        <v>7250.0</v>
      </c>
      <c r="B7263" s="14">
        <f t="shared" si="1"/>
        <v>0.09500979154</v>
      </c>
      <c r="C7263" s="39">
        <f t="array" ref="C7263">NPV(B7263,FCFF!$C$9:$I$9)+FCFF!$B$9+FCFF!$I$9*(1+Inputs!$B$6)/(B7263-Inputs!$B$6)/(1+B7263)^7</f>
        <v>-1231.53517</v>
      </c>
    </row>
    <row r="7264" ht="14.25" customHeight="1">
      <c r="A7264" s="7">
        <v>7251.0</v>
      </c>
      <c r="B7264" s="14">
        <f t="shared" si="1"/>
        <v>0.1301429972</v>
      </c>
      <c r="C7264" s="39">
        <f t="array" ref="C7264">NPV(B7264,FCFF!$C$9:$I$9)+FCFF!$B$9+FCFF!$I$9*(1+Inputs!$B$6)/(B7264-Inputs!$B$6)/(1+B7264)^7</f>
        <v>-1974.33427</v>
      </c>
    </row>
    <row r="7265" ht="14.25" customHeight="1">
      <c r="A7265" s="7">
        <v>7252.0</v>
      </c>
      <c r="B7265" s="14">
        <f t="shared" si="1"/>
        <v>0.09563747544</v>
      </c>
      <c r="C7265" s="39">
        <f t="array" ref="C7265">NPV(B7265,FCFF!$C$9:$I$9)+FCFF!$B$9+FCFF!$I$9*(1+Inputs!$B$6)/(B7265-Inputs!$B$6)/(1+B7265)^7</f>
        <v>-1251.943617</v>
      </c>
    </row>
    <row r="7266" ht="14.25" customHeight="1">
      <c r="A7266" s="7">
        <v>7253.0</v>
      </c>
      <c r="B7266" s="14">
        <f t="shared" si="1"/>
        <v>0.1232822681</v>
      </c>
      <c r="C7266" s="39">
        <f t="array" ref="C7266">NPV(B7266,FCFF!$C$9:$I$9)+FCFF!$B$9+FCFF!$I$9*(1+Inputs!$B$6)/(B7266-Inputs!$B$6)/(1+B7266)^7</f>
        <v>-1875.011627</v>
      </c>
    </row>
    <row r="7267" ht="14.25" customHeight="1">
      <c r="A7267" s="7">
        <v>7254.0</v>
      </c>
      <c r="B7267" s="14">
        <f t="shared" si="1"/>
        <v>0.1286035265</v>
      </c>
      <c r="C7267" s="39">
        <f t="array" ref="C7267">NPV(B7267,FCFF!$C$9:$I$9)+FCFF!$B$9+FCFF!$I$9*(1+Inputs!$B$6)/(B7267-Inputs!$B$6)/(1+B7267)^7</f>
        <v>-1953.342589</v>
      </c>
    </row>
    <row r="7268" ht="14.25" customHeight="1">
      <c r="A7268" s="7">
        <v>7255.0</v>
      </c>
      <c r="B7268" s="14">
        <f t="shared" si="1"/>
        <v>0.1255169819</v>
      </c>
      <c r="C7268" s="39">
        <f t="array" ref="C7268">NPV(B7268,FCFF!$C$9:$I$9)+FCFF!$B$9+FCFF!$I$9*(1+Inputs!$B$6)/(B7268-Inputs!$B$6)/(1+B7268)^7</f>
        <v>-1909.049333</v>
      </c>
    </row>
    <row r="7269" ht="14.25" customHeight="1">
      <c r="A7269" s="7">
        <v>7256.0</v>
      </c>
      <c r="B7269" s="14">
        <f t="shared" si="1"/>
        <v>0.1217261917</v>
      </c>
      <c r="C7269" s="39">
        <f t="array" ref="C7269">NPV(B7269,FCFF!$C$9:$I$9)+FCFF!$B$9+FCFF!$I$9*(1+Inputs!$B$6)/(B7269-Inputs!$B$6)/(1+B7269)^7</f>
        <v>-1850.263038</v>
      </c>
    </row>
    <row r="7270" ht="14.25" customHeight="1">
      <c r="A7270" s="7">
        <v>7257.0</v>
      </c>
      <c r="B7270" s="14">
        <f t="shared" si="1"/>
        <v>0.1236338071</v>
      </c>
      <c r="C7270" s="39">
        <f t="array" ref="C7270">NPV(B7270,FCFF!$C$9:$I$9)+FCFF!$B$9+FCFF!$I$9*(1+Inputs!$B$6)/(B7270-Inputs!$B$6)/(1+B7270)^7</f>
        <v>-1880.481275</v>
      </c>
    </row>
    <row r="7271" ht="14.25" customHeight="1">
      <c r="A7271" s="7">
        <v>7258.0</v>
      </c>
      <c r="B7271" s="14">
        <f t="shared" si="1"/>
        <v>0.09467476092</v>
      </c>
      <c r="C7271" s="39">
        <f t="array" ref="C7271">NPV(B7271,FCFF!$C$9:$I$9)+FCFF!$B$9+FCFF!$I$9*(1+Inputs!$B$6)/(B7271-Inputs!$B$6)/(1+B7271)^7</f>
        <v>-1220.48094</v>
      </c>
    </row>
    <row r="7272" ht="14.25" customHeight="1">
      <c r="A7272" s="7">
        <v>7259.0</v>
      </c>
      <c r="B7272" s="14">
        <f t="shared" si="1"/>
        <v>0.122284315</v>
      </c>
      <c r="C7272" s="39">
        <f t="array" ref="C7272">NPV(B7272,FCFF!$C$9:$I$9)+FCFF!$B$9+FCFF!$I$9*(1+Inputs!$B$6)/(B7272-Inputs!$B$6)/(1+B7272)^7</f>
        <v>-1859.241957</v>
      </c>
    </row>
    <row r="7273" ht="14.25" customHeight="1">
      <c r="A7273" s="7">
        <v>7260.0</v>
      </c>
      <c r="B7273" s="14">
        <f t="shared" si="1"/>
        <v>0.1226620506</v>
      </c>
      <c r="C7273" s="39">
        <f t="array" ref="C7273">NPV(B7273,FCFF!$C$9:$I$9)+FCFF!$B$9+FCFF!$I$9*(1+Inputs!$B$6)/(B7273-Inputs!$B$6)/(1+B7273)^7</f>
        <v>-1865.253532</v>
      </c>
    </row>
    <row r="7274" ht="14.25" customHeight="1">
      <c r="A7274" s="7">
        <v>7261.0</v>
      </c>
      <c r="B7274" s="14">
        <f t="shared" si="1"/>
        <v>0.1031333017</v>
      </c>
      <c r="C7274" s="39">
        <f t="array" ref="C7274">NPV(B7274,FCFF!$C$9:$I$9)+FCFF!$B$9+FCFF!$I$9*(1+Inputs!$B$6)/(B7274-Inputs!$B$6)/(1+B7274)^7</f>
        <v>-1468.572048</v>
      </c>
    </row>
    <row r="7275" ht="14.25" customHeight="1">
      <c r="A7275" s="7">
        <v>7262.0</v>
      </c>
      <c r="B7275" s="14">
        <f t="shared" si="1"/>
        <v>0.1272747974</v>
      </c>
      <c r="C7275" s="39">
        <f t="array" ref="C7275">NPV(B7275,FCFF!$C$9:$I$9)+FCFF!$B$9+FCFF!$I$9*(1+Inputs!$B$6)/(B7275-Inputs!$B$6)/(1+B7275)^7</f>
        <v>-1934.645992</v>
      </c>
    </row>
    <row r="7276" ht="14.25" customHeight="1">
      <c r="A7276" s="7">
        <v>7263.0</v>
      </c>
      <c r="B7276" s="14">
        <f t="shared" si="1"/>
        <v>0.1052669541</v>
      </c>
      <c r="C7276" s="39">
        <f t="array" ref="C7276">NPV(B7276,FCFF!$C$9:$I$9)+FCFF!$B$9+FCFF!$I$9*(1+Inputs!$B$6)/(B7276-Inputs!$B$6)/(1+B7276)^7</f>
        <v>-1522.272935</v>
      </c>
    </row>
    <row r="7277" ht="14.25" customHeight="1">
      <c r="A7277" s="7">
        <v>7264.0</v>
      </c>
      <c r="B7277" s="14">
        <f t="shared" si="1"/>
        <v>0.09352798692</v>
      </c>
      <c r="C7277" s="39">
        <f t="array" ref="C7277">NPV(B7277,FCFF!$C$9:$I$9)+FCFF!$B$9+FCFF!$I$9*(1+Inputs!$B$6)/(B7277-Inputs!$B$6)/(1+B7277)^7</f>
        <v>-1181.76848</v>
      </c>
    </row>
    <row r="7278" ht="14.25" customHeight="1">
      <c r="A7278" s="7">
        <v>7265.0</v>
      </c>
      <c r="B7278" s="14">
        <f t="shared" si="1"/>
        <v>0.131174024</v>
      </c>
      <c r="C7278" s="39">
        <f t="array" ref="C7278">NPV(B7278,FCFF!$C$9:$I$9)+FCFF!$B$9+FCFF!$I$9*(1+Inputs!$B$6)/(B7278-Inputs!$B$6)/(1+B7278)^7</f>
        <v>-1988.005798</v>
      </c>
    </row>
    <row r="7279" ht="14.25" customHeight="1">
      <c r="A7279" s="7">
        <v>7266.0</v>
      </c>
      <c r="B7279" s="14">
        <f t="shared" si="1"/>
        <v>0.1277499796</v>
      </c>
      <c r="C7279" s="39">
        <f t="array" ref="C7279">NPV(B7279,FCFF!$C$9:$I$9)+FCFF!$B$9+FCFF!$I$9*(1+Inputs!$B$6)/(B7279-Inputs!$B$6)/(1+B7279)^7</f>
        <v>-1941.395333</v>
      </c>
    </row>
    <row r="7280" ht="14.25" customHeight="1">
      <c r="A7280" s="7">
        <v>7267.0</v>
      </c>
      <c r="B7280" s="14">
        <f t="shared" si="1"/>
        <v>0.1054984818</v>
      </c>
      <c r="C7280" s="39">
        <f t="array" ref="C7280">NPV(B7280,FCFF!$C$9:$I$9)+FCFF!$B$9+FCFF!$I$9*(1+Inputs!$B$6)/(B7280-Inputs!$B$6)/(1+B7280)^7</f>
        <v>-1527.914227</v>
      </c>
    </row>
    <row r="7281" ht="14.25" customHeight="1">
      <c r="A7281" s="7">
        <v>7268.0</v>
      </c>
      <c r="B7281" s="14">
        <f t="shared" si="1"/>
        <v>0.1001882113</v>
      </c>
      <c r="C7281" s="39">
        <f t="array" ref="C7281">NPV(B7281,FCFF!$C$9:$I$9)+FCFF!$B$9+FCFF!$I$9*(1+Inputs!$B$6)/(B7281-Inputs!$B$6)/(1+B7281)^7</f>
        <v>-1389.007195</v>
      </c>
    </row>
    <row r="7282" ht="14.25" customHeight="1">
      <c r="A7282" s="7">
        <v>7269.0</v>
      </c>
      <c r="B7282" s="14">
        <f t="shared" si="1"/>
        <v>0.1329291121</v>
      </c>
      <c r="C7282" s="39">
        <f t="array" ref="C7282">NPV(B7282,FCFF!$C$9:$I$9)+FCFF!$B$9+FCFF!$I$9*(1+Inputs!$B$6)/(B7282-Inputs!$B$6)/(1+B7282)^7</f>
        <v>-2010.593366</v>
      </c>
    </row>
    <row r="7283" ht="14.25" customHeight="1">
      <c r="A7283" s="7">
        <v>7270.0</v>
      </c>
      <c r="B7283" s="14">
        <f t="shared" si="1"/>
        <v>0.09634083215</v>
      </c>
      <c r="C7283" s="39">
        <f t="array" ref="C7283">NPV(B7283,FCFF!$C$9:$I$9)+FCFF!$B$9+FCFF!$I$9*(1+Inputs!$B$6)/(B7283-Inputs!$B$6)/(1+B7283)^7</f>
        <v>-1274.355944</v>
      </c>
    </row>
    <row r="7284" ht="14.25" customHeight="1">
      <c r="A7284" s="7">
        <v>7271.0</v>
      </c>
      <c r="B7284" s="14">
        <f t="shared" si="1"/>
        <v>0.1294231227</v>
      </c>
      <c r="C7284" s="39">
        <f t="array" ref="C7284">NPV(B7284,FCFF!$C$9:$I$9)+FCFF!$B$9+FCFF!$I$9*(1+Inputs!$B$6)/(B7284-Inputs!$B$6)/(1+B7284)^7</f>
        <v>-1964.605992</v>
      </c>
    </row>
    <row r="7285" ht="14.25" customHeight="1">
      <c r="A7285" s="7">
        <v>7272.0</v>
      </c>
      <c r="B7285" s="14">
        <f t="shared" si="1"/>
        <v>0.1121629286</v>
      </c>
      <c r="C7285" s="39">
        <f t="array" ref="C7285">NPV(B7285,FCFF!$C$9:$I$9)+FCFF!$B$9+FCFF!$I$9*(1+Inputs!$B$6)/(B7285-Inputs!$B$6)/(1+B7285)^7</f>
        <v>-1676.329156</v>
      </c>
    </row>
    <row r="7286" ht="14.25" customHeight="1">
      <c r="A7286" s="7">
        <v>7273.0</v>
      </c>
      <c r="B7286" s="14">
        <f t="shared" si="1"/>
        <v>0.1179647452</v>
      </c>
      <c r="C7286" s="39">
        <f t="array" ref="C7286">NPV(B7286,FCFF!$C$9:$I$9)+FCFF!$B$9+FCFF!$I$9*(1+Inputs!$B$6)/(B7286-Inputs!$B$6)/(1+B7286)^7</f>
        <v>-1786.593041</v>
      </c>
    </row>
    <row r="7287" ht="14.25" customHeight="1">
      <c r="A7287" s="7">
        <v>7274.0</v>
      </c>
      <c r="B7287" s="14">
        <f t="shared" si="1"/>
        <v>0.103787491</v>
      </c>
      <c r="C7287" s="39">
        <f t="array" ref="C7287">NPV(B7287,FCFF!$C$9:$I$9)+FCFF!$B$9+FCFF!$I$9*(1+Inputs!$B$6)/(B7287-Inputs!$B$6)/(1+B7287)^7</f>
        <v>-1485.372852</v>
      </c>
    </row>
    <row r="7288" ht="14.25" customHeight="1">
      <c r="A7288" s="7">
        <v>7275.0</v>
      </c>
      <c r="B7288" s="14">
        <f t="shared" si="1"/>
        <v>0.1048689356</v>
      </c>
      <c r="C7288" s="39">
        <f t="array" ref="C7288">NPV(B7288,FCFF!$C$9:$I$9)+FCFF!$B$9+FCFF!$I$9*(1+Inputs!$B$6)/(B7288-Inputs!$B$6)/(1+B7288)^7</f>
        <v>-1512.491808</v>
      </c>
    </row>
    <row r="7289" ht="14.25" customHeight="1">
      <c r="A7289" s="7">
        <v>7276.0</v>
      </c>
      <c r="B7289" s="14">
        <f t="shared" si="1"/>
        <v>0.09868622539</v>
      </c>
      <c r="C7289" s="39">
        <f t="array" ref="C7289">NPV(B7289,FCFF!$C$9:$I$9)+FCFF!$B$9+FCFF!$I$9*(1+Inputs!$B$6)/(B7289-Inputs!$B$6)/(1+B7289)^7</f>
        <v>-1345.780014</v>
      </c>
    </row>
    <row r="7290" ht="14.25" customHeight="1">
      <c r="A7290" s="7">
        <v>7277.0</v>
      </c>
      <c r="B7290" s="14">
        <f t="shared" si="1"/>
        <v>0.1120123814</v>
      </c>
      <c r="C7290" s="39">
        <f t="array" ref="C7290">NPV(B7290,FCFF!$C$9:$I$9)+FCFF!$B$9+FCFF!$I$9*(1+Inputs!$B$6)/(B7290-Inputs!$B$6)/(1+B7290)^7</f>
        <v>-1673.251156</v>
      </c>
    </row>
    <row r="7291" ht="14.25" customHeight="1">
      <c r="A7291" s="7">
        <v>7278.0</v>
      </c>
      <c r="B7291" s="14">
        <f t="shared" si="1"/>
        <v>0.1018440134</v>
      </c>
      <c r="C7291" s="39">
        <f t="array" ref="C7291">NPV(B7291,FCFF!$C$9:$I$9)+FCFF!$B$9+FCFF!$I$9*(1+Inputs!$B$6)/(B7291-Inputs!$B$6)/(1+B7291)^7</f>
        <v>-1434.552107</v>
      </c>
    </row>
    <row r="7292" ht="14.25" customHeight="1">
      <c r="A7292" s="7">
        <v>7279.0</v>
      </c>
      <c r="B7292" s="14">
        <f t="shared" si="1"/>
        <v>0.1191919114</v>
      </c>
      <c r="C7292" s="39">
        <f t="array" ref="C7292">NPV(B7292,FCFF!$C$9:$I$9)+FCFF!$B$9+FCFF!$I$9*(1+Inputs!$B$6)/(B7292-Inputs!$B$6)/(1+B7292)^7</f>
        <v>-1807.989771</v>
      </c>
    </row>
    <row r="7293" ht="14.25" customHeight="1">
      <c r="A7293" s="7">
        <v>7280.0</v>
      </c>
      <c r="B7293" s="14">
        <f t="shared" si="1"/>
        <v>0.120228625</v>
      </c>
      <c r="C7293" s="39">
        <f t="array" ref="C7293">NPV(B7293,FCFF!$C$9:$I$9)+FCFF!$B$9+FCFF!$I$9*(1+Inputs!$B$6)/(B7293-Inputs!$B$6)/(1+B7293)^7</f>
        <v>-1825.586962</v>
      </c>
    </row>
    <row r="7294" ht="14.25" customHeight="1">
      <c r="A7294" s="7">
        <v>7281.0</v>
      </c>
      <c r="B7294" s="14">
        <f t="shared" si="1"/>
        <v>0.1220819437</v>
      </c>
      <c r="C7294" s="39">
        <f t="array" ref="C7294">NPV(B7294,FCFF!$C$9:$I$9)+FCFF!$B$9+FCFF!$I$9*(1+Inputs!$B$6)/(B7294-Inputs!$B$6)/(1+B7294)^7</f>
        <v>-1855.999653</v>
      </c>
    </row>
    <row r="7295" ht="14.25" customHeight="1">
      <c r="A7295" s="7">
        <v>7282.0</v>
      </c>
      <c r="B7295" s="14">
        <f t="shared" si="1"/>
        <v>0.107424477</v>
      </c>
      <c r="C7295" s="39">
        <f t="array" ref="C7295">NPV(B7295,FCFF!$C$9:$I$9)+FCFF!$B$9+FCFF!$I$9*(1+Inputs!$B$6)/(B7295-Inputs!$B$6)/(1+B7295)^7</f>
        <v>-1573.505599</v>
      </c>
    </row>
    <row r="7296" ht="14.25" customHeight="1">
      <c r="A7296" s="7">
        <v>7283.0</v>
      </c>
      <c r="B7296" s="14">
        <f t="shared" si="1"/>
        <v>0.106120518</v>
      </c>
      <c r="C7296" s="39">
        <f t="array" ref="C7296">NPV(B7296,FCFF!$C$9:$I$9)+FCFF!$B$9+FCFF!$I$9*(1+Inputs!$B$6)/(B7296-Inputs!$B$6)/(1+B7296)^7</f>
        <v>-1542.896909</v>
      </c>
    </row>
    <row r="7297" ht="14.25" customHeight="1">
      <c r="A7297" s="7">
        <v>7284.0</v>
      </c>
      <c r="B7297" s="14">
        <f t="shared" si="1"/>
        <v>0.1267111206</v>
      </c>
      <c r="C7297" s="39">
        <f t="array" ref="C7297">NPV(B7297,FCFF!$C$9:$I$9)+FCFF!$B$9+FCFF!$I$9*(1+Inputs!$B$6)/(B7297-Inputs!$B$6)/(1+B7297)^7</f>
        <v>-1926.546962</v>
      </c>
    </row>
    <row r="7298" ht="14.25" customHeight="1">
      <c r="A7298" s="7">
        <v>7285.0</v>
      </c>
      <c r="B7298" s="14">
        <f t="shared" si="1"/>
        <v>0.1143556599</v>
      </c>
      <c r="C7298" s="39">
        <f t="array" ref="C7298">NPV(B7298,FCFF!$C$9:$I$9)+FCFF!$B$9+FCFF!$I$9*(1+Inputs!$B$6)/(B7298-Inputs!$B$6)/(1+B7298)^7</f>
        <v>-1719.866091</v>
      </c>
    </row>
    <row r="7299" ht="14.25" customHeight="1">
      <c r="A7299" s="7">
        <v>7286.0</v>
      </c>
      <c r="B7299" s="14">
        <f t="shared" si="1"/>
        <v>0.127174069</v>
      </c>
      <c r="C7299" s="39">
        <f t="array" ref="C7299">NPV(B7299,FCFF!$C$9:$I$9)+FCFF!$B$9+FCFF!$I$9*(1+Inputs!$B$6)/(B7299-Inputs!$B$6)/(1+B7299)^7</f>
        <v>-1933.206132</v>
      </c>
    </row>
    <row r="7300" ht="14.25" customHeight="1">
      <c r="A7300" s="7">
        <v>7287.0</v>
      </c>
      <c r="B7300" s="14">
        <f t="shared" si="1"/>
        <v>0.1252130489</v>
      </c>
      <c r="C7300" s="39">
        <f t="array" ref="C7300">NPV(B7300,FCFF!$C$9:$I$9)+FCFF!$B$9+FCFF!$I$9*(1+Inputs!$B$6)/(B7300-Inputs!$B$6)/(1+B7300)^7</f>
        <v>-1904.520528</v>
      </c>
    </row>
    <row r="7301" ht="14.25" customHeight="1">
      <c r="A7301" s="7">
        <v>7288.0</v>
      </c>
      <c r="B7301" s="14">
        <f t="shared" si="1"/>
        <v>0.1088328006</v>
      </c>
      <c r="C7301" s="39">
        <f t="array" ref="C7301">NPV(B7301,FCFF!$C$9:$I$9)+FCFF!$B$9+FCFF!$I$9*(1+Inputs!$B$6)/(B7301-Inputs!$B$6)/(1+B7301)^7</f>
        <v>-1605.397611</v>
      </c>
    </row>
    <row r="7302" ht="14.25" customHeight="1">
      <c r="A7302" s="7">
        <v>7289.0</v>
      </c>
      <c r="B7302" s="14">
        <f t="shared" si="1"/>
        <v>0.1198100488</v>
      </c>
      <c r="C7302" s="39">
        <f t="array" ref="C7302">NPV(B7302,FCFF!$C$9:$I$9)+FCFF!$B$9+FCFF!$I$9*(1+Inputs!$B$6)/(B7302-Inputs!$B$6)/(1+B7302)^7</f>
        <v>-1818.533784</v>
      </c>
    </row>
    <row r="7303" ht="14.25" customHeight="1">
      <c r="A7303" s="7">
        <v>7290.0</v>
      </c>
      <c r="B7303" s="14">
        <f t="shared" si="1"/>
        <v>0.1175786986</v>
      </c>
      <c r="C7303" s="39">
        <f t="array" ref="C7303">NPV(B7303,FCFF!$C$9:$I$9)+FCFF!$B$9+FCFF!$I$9*(1+Inputs!$B$6)/(B7303-Inputs!$B$6)/(1+B7303)^7</f>
        <v>-1779.731217</v>
      </c>
    </row>
    <row r="7304" ht="14.25" customHeight="1">
      <c r="A7304" s="7">
        <v>7291.0</v>
      </c>
      <c r="B7304" s="14">
        <f t="shared" si="1"/>
        <v>0.1114729331</v>
      </c>
      <c r="C7304" s="39">
        <f t="array" ref="C7304">NPV(B7304,FCFF!$C$9:$I$9)+FCFF!$B$9+FCFF!$I$9*(1+Inputs!$B$6)/(B7304-Inputs!$B$6)/(1+B7304)^7</f>
        <v>-1662.12498</v>
      </c>
    </row>
    <row r="7305" ht="14.25" customHeight="1">
      <c r="A7305" s="7">
        <v>7292.0</v>
      </c>
      <c r="B7305" s="14">
        <f t="shared" si="1"/>
        <v>0.1003794976</v>
      </c>
      <c r="C7305" s="39">
        <f t="array" ref="C7305">NPV(B7305,FCFF!$C$9:$I$9)+FCFF!$B$9+FCFF!$I$9*(1+Inputs!$B$6)/(B7305-Inputs!$B$6)/(1+B7305)^7</f>
        <v>-1394.379201</v>
      </c>
    </row>
    <row r="7306" ht="14.25" customHeight="1">
      <c r="A7306" s="7">
        <v>7293.0</v>
      </c>
      <c r="B7306" s="14">
        <f t="shared" si="1"/>
        <v>0.1242713958</v>
      </c>
      <c r="C7306" s="39">
        <f t="array" ref="C7306">NPV(B7306,FCFF!$C$9:$I$9)+FCFF!$B$9+FCFF!$I$9*(1+Inputs!$B$6)/(B7306-Inputs!$B$6)/(1+B7306)^7</f>
        <v>-1890.290429</v>
      </c>
    </row>
    <row r="7307" ht="14.25" customHeight="1">
      <c r="A7307" s="7">
        <v>7294.0</v>
      </c>
      <c r="B7307" s="14">
        <f t="shared" si="1"/>
        <v>0.1002969658</v>
      </c>
      <c r="C7307" s="39">
        <f t="array" ref="C7307">NPV(B7307,FCFF!$C$9:$I$9)+FCFF!$B$9+FCFF!$I$9*(1+Inputs!$B$6)/(B7307-Inputs!$B$6)/(1+B7307)^7</f>
        <v>-1392.065023</v>
      </c>
    </row>
    <row r="7308" ht="14.25" customHeight="1">
      <c r="A7308" s="7">
        <v>7295.0</v>
      </c>
      <c r="B7308" s="14">
        <f t="shared" si="1"/>
        <v>0.1325499949</v>
      </c>
      <c r="C7308" s="39">
        <f t="array" ref="C7308">NPV(B7308,FCFF!$C$9:$I$9)+FCFF!$B$9+FCFF!$I$9*(1+Inputs!$B$6)/(B7308-Inputs!$B$6)/(1+B7308)^7</f>
        <v>-2005.785628</v>
      </c>
    </row>
    <row r="7309" ht="14.25" customHeight="1">
      <c r="A7309" s="7">
        <v>7296.0</v>
      </c>
      <c r="B7309" s="14">
        <f t="shared" si="1"/>
        <v>0.09707621304</v>
      </c>
      <c r="C7309" s="39">
        <f t="array" ref="C7309">NPV(B7309,FCFF!$C$9:$I$9)+FCFF!$B$9+FCFF!$I$9*(1+Inputs!$B$6)/(B7309-Inputs!$B$6)/(1+B7309)^7</f>
        <v>-1297.287695</v>
      </c>
    </row>
    <row r="7310" ht="14.25" customHeight="1">
      <c r="A7310" s="7">
        <v>7297.0</v>
      </c>
      <c r="B7310" s="14">
        <f t="shared" si="1"/>
        <v>0.1076178394</v>
      </c>
      <c r="C7310" s="39">
        <f t="array" ref="C7310">NPV(B7310,FCFF!$C$9:$I$9)+FCFF!$B$9+FCFF!$I$9*(1+Inputs!$B$6)/(B7310-Inputs!$B$6)/(1+B7310)^7</f>
        <v>-1577.954789</v>
      </c>
    </row>
    <row r="7311" ht="14.25" customHeight="1">
      <c r="A7311" s="7">
        <v>7298.0</v>
      </c>
      <c r="B7311" s="14">
        <f t="shared" si="1"/>
        <v>0.1132186451</v>
      </c>
      <c r="C7311" s="39">
        <f t="array" ref="C7311">NPV(B7311,FCFF!$C$9:$I$9)+FCFF!$B$9+FCFF!$I$9*(1+Inputs!$B$6)/(B7311-Inputs!$B$6)/(1+B7311)^7</f>
        <v>-1697.588711</v>
      </c>
    </row>
    <row r="7312" ht="14.25" customHeight="1">
      <c r="A7312" s="7">
        <v>7299.0</v>
      </c>
      <c r="B7312" s="14">
        <f t="shared" si="1"/>
        <v>0.09708844727</v>
      </c>
      <c r="C7312" s="39">
        <f t="array" ref="C7312">NPV(B7312,FCFF!$C$9:$I$9)+FCFF!$B$9+FCFF!$I$9*(1+Inputs!$B$6)/(B7312-Inputs!$B$6)/(1+B7312)^7</f>
        <v>-1297.664958</v>
      </c>
    </row>
    <row r="7313" ht="14.25" customHeight="1">
      <c r="A7313" s="7">
        <v>7300.0</v>
      </c>
      <c r="B7313" s="14">
        <f t="shared" si="1"/>
        <v>0.1214913615</v>
      </c>
      <c r="C7313" s="39">
        <f t="array" ref="C7313">NPV(B7313,FCFF!$C$9:$I$9)+FCFF!$B$9+FCFF!$I$9*(1+Inputs!$B$6)/(B7313-Inputs!$B$6)/(1+B7313)^7</f>
        <v>-1846.450326</v>
      </c>
    </row>
    <row r="7314" ht="14.25" customHeight="1">
      <c r="A7314" s="7">
        <v>7301.0</v>
      </c>
      <c r="B7314" s="14">
        <f t="shared" si="1"/>
        <v>0.1110990145</v>
      </c>
      <c r="C7314" s="39">
        <f t="array" ref="C7314">NPV(B7314,FCFF!$C$9:$I$9)+FCFF!$B$9+FCFF!$I$9*(1+Inputs!$B$6)/(B7314-Inputs!$B$6)/(1+B7314)^7</f>
        <v>-1654.32281</v>
      </c>
    </row>
    <row r="7315" ht="14.25" customHeight="1">
      <c r="A7315" s="7">
        <v>7302.0</v>
      </c>
      <c r="B7315" s="14">
        <f t="shared" si="1"/>
        <v>0.09482413057</v>
      </c>
      <c r="C7315" s="39">
        <f t="array" ref="C7315">NPV(B7315,FCFF!$C$9:$I$9)+FCFF!$B$9+FCFF!$I$9*(1+Inputs!$B$6)/(B7315-Inputs!$B$6)/(1+B7315)^7</f>
        <v>-1225.423357</v>
      </c>
    </row>
    <row r="7316" ht="14.25" customHeight="1">
      <c r="A7316" s="7">
        <v>7303.0</v>
      </c>
      <c r="B7316" s="14">
        <f t="shared" si="1"/>
        <v>0.110165228</v>
      </c>
      <c r="C7316" s="39">
        <f t="array" ref="C7316">NPV(B7316,FCFF!$C$9:$I$9)+FCFF!$B$9+FCFF!$I$9*(1+Inputs!$B$6)/(B7316-Inputs!$B$6)/(1+B7316)^7</f>
        <v>-1634.509365</v>
      </c>
    </row>
    <row r="7317" ht="14.25" customHeight="1">
      <c r="A7317" s="7">
        <v>7304.0</v>
      </c>
      <c r="B7317" s="14">
        <f t="shared" si="1"/>
        <v>0.1036962157</v>
      </c>
      <c r="C7317" s="39">
        <f t="array" ref="C7317">NPV(B7317,FCFF!$C$9:$I$9)+FCFF!$B$9+FCFF!$I$9*(1+Inputs!$B$6)/(B7317-Inputs!$B$6)/(1+B7317)^7</f>
        <v>-1483.04692</v>
      </c>
    </row>
    <row r="7318" ht="14.25" customHeight="1">
      <c r="A7318" s="7">
        <v>7305.0</v>
      </c>
      <c r="B7318" s="14">
        <f t="shared" si="1"/>
        <v>0.1322520239</v>
      </c>
      <c r="C7318" s="39">
        <f t="array" ref="C7318">NPV(B7318,FCFF!$C$9:$I$9)+FCFF!$B$9+FCFF!$I$9*(1+Inputs!$B$6)/(B7318-Inputs!$B$6)/(1+B7318)^7</f>
        <v>-2001.979603</v>
      </c>
    </row>
    <row r="7319" ht="14.25" customHeight="1">
      <c r="A7319" s="7">
        <v>7306.0</v>
      </c>
      <c r="B7319" s="14">
        <f t="shared" si="1"/>
        <v>0.1127396418</v>
      </c>
      <c r="C7319" s="39">
        <f t="array" ref="C7319">NPV(B7319,FCFF!$C$9:$I$9)+FCFF!$B$9+FCFF!$I$9*(1+Inputs!$B$6)/(B7319-Inputs!$B$6)/(1+B7319)^7</f>
        <v>-1688.012659</v>
      </c>
    </row>
    <row r="7320" ht="14.25" customHeight="1">
      <c r="A7320" s="7">
        <v>7307.0</v>
      </c>
      <c r="B7320" s="14">
        <f t="shared" si="1"/>
        <v>0.1103950834</v>
      </c>
      <c r="C7320" s="39">
        <f t="array" ref="C7320">NPV(B7320,FCFF!$C$9:$I$9)+FCFF!$B$9+FCFF!$I$9*(1+Inputs!$B$6)/(B7320-Inputs!$B$6)/(1+B7320)^7</f>
        <v>-1639.430691</v>
      </c>
    </row>
    <row r="7321" ht="14.25" customHeight="1">
      <c r="A7321" s="7">
        <v>7308.0</v>
      </c>
      <c r="B7321" s="14">
        <f t="shared" si="1"/>
        <v>0.1238282272</v>
      </c>
      <c r="C7321" s="39">
        <f t="array" ref="C7321">NPV(B7321,FCFF!$C$9:$I$9)+FCFF!$B$9+FCFF!$I$9*(1+Inputs!$B$6)/(B7321-Inputs!$B$6)/(1+B7321)^7</f>
        <v>-1883.487487</v>
      </c>
    </row>
    <row r="7322" ht="14.25" customHeight="1">
      <c r="A7322" s="7">
        <v>7309.0</v>
      </c>
      <c r="B7322" s="14">
        <f t="shared" si="1"/>
        <v>0.09365029942</v>
      </c>
      <c r="C7322" s="39">
        <f t="array" ref="C7322">NPV(B7322,FCFF!$C$9:$I$9)+FCFF!$B$9+FCFF!$I$9*(1+Inputs!$B$6)/(B7322-Inputs!$B$6)/(1+B7322)^7</f>
        <v>-1185.963281</v>
      </c>
    </row>
    <row r="7323" ht="14.25" customHeight="1">
      <c r="A7323" s="7">
        <v>7310.0</v>
      </c>
      <c r="B7323" s="14">
        <f t="shared" si="1"/>
        <v>0.1169532521</v>
      </c>
      <c r="C7323" s="39">
        <f t="array" ref="C7323">NPV(B7323,FCFF!$C$9:$I$9)+FCFF!$B$9+FCFF!$I$9*(1+Inputs!$B$6)/(B7323-Inputs!$B$6)/(1+B7323)^7</f>
        <v>-1768.478033</v>
      </c>
    </row>
    <row r="7324" ht="14.25" customHeight="1">
      <c r="A7324" s="7">
        <v>7311.0</v>
      </c>
      <c r="B7324" s="14">
        <f t="shared" si="1"/>
        <v>0.1281616487</v>
      </c>
      <c r="C7324" s="39">
        <f t="array" ref="C7324">NPV(B7324,FCFF!$C$9:$I$9)+FCFF!$B$9+FCFF!$I$9*(1+Inputs!$B$6)/(B7324-Inputs!$B$6)/(1+B7324)^7</f>
        <v>-1947.185565</v>
      </c>
    </row>
    <row r="7325" ht="14.25" customHeight="1">
      <c r="A7325" s="7">
        <v>7312.0</v>
      </c>
      <c r="B7325" s="14">
        <f t="shared" si="1"/>
        <v>0.115402216</v>
      </c>
      <c r="C7325" s="39">
        <f t="array" ref="C7325">NPV(B7325,FCFF!$C$9:$I$9)+FCFF!$B$9+FCFF!$I$9*(1+Inputs!$B$6)/(B7325-Inputs!$B$6)/(1+B7325)^7</f>
        <v>-1739.824109</v>
      </c>
    </row>
    <row r="7326" ht="14.25" customHeight="1">
      <c r="A7326" s="7">
        <v>7313.0</v>
      </c>
      <c r="B7326" s="14">
        <f t="shared" si="1"/>
        <v>0.1047297388</v>
      </c>
      <c r="C7326" s="39">
        <f t="array" ref="C7326">NPV(B7326,FCFF!$C$9:$I$9)+FCFF!$B$9+FCFF!$I$9*(1+Inputs!$B$6)/(B7326-Inputs!$B$6)/(1+B7326)^7</f>
        <v>-1509.046037</v>
      </c>
    </row>
    <row r="7327" ht="14.25" customHeight="1">
      <c r="A7327" s="7">
        <v>7314.0</v>
      </c>
      <c r="B7327" s="14">
        <f t="shared" si="1"/>
        <v>0.1039771625</v>
      </c>
      <c r="C7327" s="39">
        <f t="array" ref="C7327">NPV(B7327,FCFF!$C$9:$I$9)+FCFF!$B$9+FCFF!$I$9*(1+Inputs!$B$6)/(B7327-Inputs!$B$6)/(1+B7327)^7</f>
        <v>-1490.187517</v>
      </c>
    </row>
    <row r="7328" ht="14.25" customHeight="1">
      <c r="A7328" s="7">
        <v>7315.0</v>
      </c>
      <c r="B7328" s="14">
        <f t="shared" si="1"/>
        <v>0.1155665415</v>
      </c>
      <c r="C7328" s="39">
        <f t="array" ref="C7328">NPV(B7328,FCFF!$C$9:$I$9)+FCFF!$B$9+FCFF!$I$9*(1+Inputs!$B$6)/(B7328-Inputs!$B$6)/(1+B7328)^7</f>
        <v>-1742.911451</v>
      </c>
    </row>
    <row r="7329" ht="14.25" customHeight="1">
      <c r="A7329" s="7">
        <v>7316.0</v>
      </c>
      <c r="B7329" s="14">
        <f t="shared" si="1"/>
        <v>0.1171587423</v>
      </c>
      <c r="C7329" s="39">
        <f t="array" ref="C7329">NPV(B7329,FCFF!$C$9:$I$9)+FCFF!$B$9+FCFF!$I$9*(1+Inputs!$B$6)/(B7329-Inputs!$B$6)/(1+B7329)^7</f>
        <v>-1772.193996</v>
      </c>
    </row>
    <row r="7330" ht="14.25" customHeight="1">
      <c r="A7330" s="7">
        <v>7317.0</v>
      </c>
      <c r="B7330" s="14">
        <f t="shared" si="1"/>
        <v>0.09519432556</v>
      </c>
      <c r="C7330" s="39">
        <f t="array" ref="C7330">NPV(B7330,FCFF!$C$9:$I$9)+FCFF!$B$9+FCFF!$I$9*(1+Inputs!$B$6)/(B7330-Inputs!$B$6)/(1+B7330)^7</f>
        <v>-1237.575625</v>
      </c>
    </row>
    <row r="7331" ht="14.25" customHeight="1">
      <c r="A7331" s="7">
        <v>7318.0</v>
      </c>
      <c r="B7331" s="14">
        <f t="shared" si="1"/>
        <v>0.1003119179</v>
      </c>
      <c r="C7331" s="39">
        <f t="array" ref="C7331">NPV(B7331,FCFF!$C$9:$I$9)+FCFF!$B$9+FCFF!$I$9*(1+Inputs!$B$6)/(B7331-Inputs!$B$6)/(1+B7331)^7</f>
        <v>-1392.484685</v>
      </c>
    </row>
    <row r="7332" ht="14.25" customHeight="1">
      <c r="A7332" s="7">
        <v>7319.0</v>
      </c>
      <c r="B7332" s="14">
        <f t="shared" si="1"/>
        <v>0.09607134332</v>
      </c>
      <c r="C7332" s="39">
        <f t="array" ref="C7332">NPV(B7332,FCFF!$C$9:$I$9)+FCFF!$B$9+FCFF!$I$9*(1+Inputs!$B$6)/(B7332-Inputs!$B$6)/(1+B7332)^7</f>
        <v>-1265.824892</v>
      </c>
    </row>
    <row r="7333" ht="14.25" customHeight="1">
      <c r="A7333" s="7">
        <v>7320.0</v>
      </c>
      <c r="B7333" s="14">
        <f t="shared" si="1"/>
        <v>0.1064342731</v>
      </c>
      <c r="C7333" s="39">
        <f t="array" ref="C7333">NPV(B7333,FCFF!$C$9:$I$9)+FCFF!$B$9+FCFF!$I$9*(1+Inputs!$B$6)/(B7333-Inputs!$B$6)/(1+B7333)^7</f>
        <v>-1550.359598</v>
      </c>
    </row>
    <row r="7334" ht="14.25" customHeight="1">
      <c r="A7334" s="7">
        <v>7321.0</v>
      </c>
      <c r="B7334" s="14">
        <f t="shared" si="1"/>
        <v>0.1240112248</v>
      </c>
      <c r="C7334" s="39">
        <f t="array" ref="C7334">NPV(B7334,FCFF!$C$9:$I$9)+FCFF!$B$9+FCFF!$I$9*(1+Inputs!$B$6)/(B7334-Inputs!$B$6)/(1+B7334)^7</f>
        <v>-1886.304938</v>
      </c>
    </row>
    <row r="7335" ht="14.25" customHeight="1">
      <c r="A7335" s="7">
        <v>7322.0</v>
      </c>
      <c r="B7335" s="14">
        <f t="shared" si="1"/>
        <v>0.1118885993</v>
      </c>
      <c r="C7335" s="39">
        <f t="array" ref="C7335">NPV(B7335,FCFF!$C$9:$I$9)+FCFF!$B$9+FCFF!$I$9*(1+Inputs!$B$6)/(B7335-Inputs!$B$6)/(1+B7335)^7</f>
        <v>-1670.711581</v>
      </c>
    </row>
    <row r="7336" ht="14.25" customHeight="1">
      <c r="A7336" s="7">
        <v>7323.0</v>
      </c>
      <c r="B7336" s="14">
        <f t="shared" si="1"/>
        <v>0.1254401187</v>
      </c>
      <c r="C7336" s="39">
        <f t="array" ref="C7336">NPV(B7336,FCFF!$C$9:$I$9)+FCFF!$B$9+FCFF!$I$9*(1+Inputs!$B$6)/(B7336-Inputs!$B$6)/(1+B7336)^7</f>
        <v>-1907.906943</v>
      </c>
    </row>
    <row r="7337" ht="14.25" customHeight="1">
      <c r="A7337" s="7">
        <v>7324.0</v>
      </c>
      <c r="B7337" s="14">
        <f t="shared" si="1"/>
        <v>0.1084830778</v>
      </c>
      <c r="C7337" s="39">
        <f t="array" ref="C7337">NPV(B7337,FCFF!$C$9:$I$9)+FCFF!$B$9+FCFF!$I$9*(1+Inputs!$B$6)/(B7337-Inputs!$B$6)/(1+B7337)^7</f>
        <v>-1597.587825</v>
      </c>
    </row>
    <row r="7338" ht="14.25" customHeight="1">
      <c r="A7338" s="7">
        <v>7325.0</v>
      </c>
      <c r="B7338" s="14">
        <f t="shared" si="1"/>
        <v>0.0997631919</v>
      </c>
      <c r="C7338" s="39">
        <f t="array" ref="C7338">NPV(B7338,FCFF!$C$9:$I$9)+FCFF!$B$9+FCFF!$I$9*(1+Inputs!$B$6)/(B7338-Inputs!$B$6)/(1+B7338)^7</f>
        <v>-1376.964958</v>
      </c>
    </row>
    <row r="7339" ht="14.25" customHeight="1">
      <c r="A7339" s="7">
        <v>7326.0</v>
      </c>
      <c r="B7339" s="14">
        <f t="shared" si="1"/>
        <v>0.1007353307</v>
      </c>
      <c r="C7339" s="39">
        <f t="array" ref="C7339">NPV(B7339,FCFF!$C$9:$I$9)+FCFF!$B$9+FCFF!$I$9*(1+Inputs!$B$6)/(B7339-Inputs!$B$6)/(1+B7339)^7</f>
        <v>-1404.294388</v>
      </c>
    </row>
    <row r="7340" ht="14.25" customHeight="1">
      <c r="A7340" s="7">
        <v>7327.0</v>
      </c>
      <c r="B7340" s="14">
        <f t="shared" si="1"/>
        <v>0.1254729623</v>
      </c>
      <c r="C7340" s="39">
        <f t="array" ref="C7340">NPV(B7340,FCFF!$C$9:$I$9)+FCFF!$B$9+FCFF!$I$9*(1+Inputs!$B$6)/(B7340-Inputs!$B$6)/(1+B7340)^7</f>
        <v>-1908.395327</v>
      </c>
    </row>
    <row r="7341" ht="14.25" customHeight="1">
      <c r="A7341" s="7">
        <v>7328.0</v>
      </c>
      <c r="B7341" s="14">
        <f t="shared" si="1"/>
        <v>0.09387609781</v>
      </c>
      <c r="C7341" s="39">
        <f t="array" ref="C7341">NPV(B7341,FCFF!$C$9:$I$9)+FCFF!$B$9+FCFF!$I$9*(1+Inputs!$B$6)/(B7341-Inputs!$B$6)/(1+B7341)^7</f>
        <v>-1193.665443</v>
      </c>
    </row>
    <row r="7342" ht="14.25" customHeight="1">
      <c r="A7342" s="7">
        <v>7329.0</v>
      </c>
      <c r="B7342" s="14">
        <f t="shared" si="1"/>
        <v>0.1261339262</v>
      </c>
      <c r="C7342" s="39">
        <f t="array" ref="C7342">NPV(B7342,FCFF!$C$9:$I$9)+FCFF!$B$9+FCFF!$I$9*(1+Inputs!$B$6)/(B7342-Inputs!$B$6)/(1+B7342)^7</f>
        <v>-1918.147715</v>
      </c>
    </row>
    <row r="7343" ht="14.25" customHeight="1">
      <c r="A7343" s="7">
        <v>7330.0</v>
      </c>
      <c r="B7343" s="14">
        <f t="shared" si="1"/>
        <v>0.1009347414</v>
      </c>
      <c r="C7343" s="39">
        <f t="array" ref="C7343">NPV(B7343,FCFF!$C$9:$I$9)+FCFF!$B$9+FCFF!$I$9*(1+Inputs!$B$6)/(B7343-Inputs!$B$6)/(1+B7343)^7</f>
        <v>-1409.807056</v>
      </c>
    </row>
    <row r="7344" ht="14.25" customHeight="1">
      <c r="A7344" s="7">
        <v>7331.0</v>
      </c>
      <c r="B7344" s="14">
        <f t="shared" si="1"/>
        <v>0.1281538598</v>
      </c>
      <c r="C7344" s="39">
        <f t="array" ref="C7344">NPV(B7344,FCFF!$C$9:$I$9)+FCFF!$B$9+FCFF!$I$9*(1+Inputs!$B$6)/(B7344-Inputs!$B$6)/(1+B7344)^7</f>
        <v>-1947.076499</v>
      </c>
    </row>
    <row r="7345" ht="14.25" customHeight="1">
      <c r="A7345" s="7">
        <v>7332.0</v>
      </c>
      <c r="B7345" s="14">
        <f t="shared" si="1"/>
        <v>0.1100473437</v>
      </c>
      <c r="C7345" s="39">
        <f t="array" ref="C7345">NPV(B7345,FCFF!$C$9:$I$9)+FCFF!$B$9+FCFF!$I$9*(1+Inputs!$B$6)/(B7345-Inputs!$B$6)/(1+B7345)^7</f>
        <v>-1631.974069</v>
      </c>
    </row>
    <row r="7346" ht="14.25" customHeight="1">
      <c r="A7346" s="7">
        <v>7333.0</v>
      </c>
      <c r="B7346" s="14">
        <f t="shared" si="1"/>
        <v>0.1305598039</v>
      </c>
      <c r="C7346" s="39">
        <f t="array" ref="C7346">NPV(B7346,FCFF!$C$9:$I$9)+FCFF!$B$9+FCFF!$I$9*(1+Inputs!$B$6)/(B7346-Inputs!$B$6)/(1+B7346)^7</f>
        <v>-1979.897865</v>
      </c>
    </row>
    <row r="7347" ht="14.25" customHeight="1">
      <c r="A7347" s="7">
        <v>7334.0</v>
      </c>
      <c r="B7347" s="14">
        <f t="shared" si="1"/>
        <v>0.09300935949</v>
      </c>
      <c r="C7347" s="39">
        <f t="array" ref="C7347">NPV(B7347,FCFF!$C$9:$I$9)+FCFF!$B$9+FCFF!$I$9*(1+Inputs!$B$6)/(B7347-Inputs!$B$6)/(1+B7347)^7</f>
        <v>-1163.802862</v>
      </c>
    </row>
    <row r="7348" ht="14.25" customHeight="1">
      <c r="A7348" s="7">
        <v>7335.0</v>
      </c>
      <c r="B7348" s="14">
        <f t="shared" si="1"/>
        <v>0.1302189613</v>
      </c>
      <c r="C7348" s="39">
        <f t="array" ref="C7348">NPV(B7348,FCFF!$C$9:$I$9)+FCFF!$B$9+FCFF!$I$9*(1+Inputs!$B$6)/(B7348-Inputs!$B$6)/(1+B7348)^7</f>
        <v>-1975.351995</v>
      </c>
    </row>
    <row r="7349" ht="14.25" customHeight="1">
      <c r="A7349" s="7">
        <v>7336.0</v>
      </c>
      <c r="B7349" s="14">
        <f t="shared" si="1"/>
        <v>0.1032536913</v>
      </c>
      <c r="C7349" s="39">
        <f t="array" ref="C7349">NPV(B7349,FCFF!$C$9:$I$9)+FCFF!$B$9+FCFF!$I$9*(1+Inputs!$B$6)/(B7349-Inputs!$B$6)/(1+B7349)^7</f>
        <v>-1471.686757</v>
      </c>
    </row>
    <row r="7350" ht="14.25" customHeight="1">
      <c r="A7350" s="7">
        <v>7337.0</v>
      </c>
      <c r="B7350" s="14">
        <f t="shared" si="1"/>
        <v>0.1245892728</v>
      </c>
      <c r="C7350" s="39">
        <f t="array" ref="C7350">NPV(B7350,FCFF!$C$9:$I$9)+FCFF!$B$9+FCFF!$I$9*(1+Inputs!$B$6)/(B7350-Inputs!$B$6)/(1+B7350)^7</f>
        <v>-1895.128065</v>
      </c>
    </row>
    <row r="7351" ht="14.25" customHeight="1">
      <c r="A7351" s="7">
        <v>7338.0</v>
      </c>
      <c r="B7351" s="14">
        <f t="shared" si="1"/>
        <v>0.09919220663</v>
      </c>
      <c r="C7351" s="39">
        <f t="array" ref="C7351">NPV(B7351,FCFF!$C$9:$I$9)+FCFF!$B$9+FCFF!$I$9*(1+Inputs!$B$6)/(B7351-Inputs!$B$6)/(1+B7351)^7</f>
        <v>-1360.552788</v>
      </c>
    </row>
    <row r="7352" ht="14.25" customHeight="1">
      <c r="A7352" s="7">
        <v>7339.0</v>
      </c>
      <c r="B7352" s="14">
        <f t="shared" si="1"/>
        <v>0.1267841998</v>
      </c>
      <c r="C7352" s="39">
        <f t="array" ref="C7352">NPV(B7352,FCFF!$C$9:$I$9)+FCFF!$B$9+FCFF!$I$9*(1+Inputs!$B$6)/(B7352-Inputs!$B$6)/(1+B7352)^7</f>
        <v>-1927.602713</v>
      </c>
    </row>
    <row r="7353" ht="14.25" customHeight="1">
      <c r="A7353" s="7">
        <v>7340.0</v>
      </c>
      <c r="B7353" s="14">
        <f t="shared" si="1"/>
        <v>0.09365926409</v>
      </c>
      <c r="C7353" s="39">
        <f t="array" ref="C7353">NPV(B7353,FCFF!$C$9:$I$9)+FCFF!$B$9+FCFF!$I$9*(1+Inputs!$B$6)/(B7353-Inputs!$B$6)/(1+B7353)^7</f>
        <v>-1186.270104</v>
      </c>
    </row>
    <row r="7354" ht="14.25" customHeight="1">
      <c r="A7354" s="7">
        <v>7341.0</v>
      </c>
      <c r="B7354" s="14">
        <f t="shared" si="1"/>
        <v>0.1012489575</v>
      </c>
      <c r="C7354" s="39">
        <f t="array" ref="C7354">NPV(B7354,FCFF!$C$9:$I$9)+FCFF!$B$9+FCFF!$I$9*(1+Inputs!$B$6)/(B7354-Inputs!$B$6)/(1+B7354)^7</f>
        <v>-1418.430312</v>
      </c>
    </row>
    <row r="7355" ht="14.25" customHeight="1">
      <c r="A7355" s="7">
        <v>7342.0</v>
      </c>
      <c r="B7355" s="14">
        <f t="shared" si="1"/>
        <v>0.1016101713</v>
      </c>
      <c r="C7355" s="39">
        <f t="array" ref="C7355">NPV(B7355,FCFF!$C$9:$I$9)+FCFF!$B$9+FCFF!$I$9*(1+Inputs!$B$6)/(B7355-Inputs!$B$6)/(1+B7355)^7</f>
        <v>-1428.248941</v>
      </c>
    </row>
    <row r="7356" ht="14.25" customHeight="1">
      <c r="A7356" s="7">
        <v>7343.0</v>
      </c>
      <c r="B7356" s="14">
        <f t="shared" si="1"/>
        <v>0.1275539578</v>
      </c>
      <c r="C7356" s="39">
        <f t="array" ref="C7356">NPV(B7356,FCFF!$C$9:$I$9)+FCFF!$B$9+FCFF!$I$9*(1+Inputs!$B$6)/(B7356-Inputs!$B$6)/(1+B7356)^7</f>
        <v>-1938.619694</v>
      </c>
    </row>
    <row r="7357" ht="14.25" customHeight="1">
      <c r="A7357" s="7">
        <v>7344.0</v>
      </c>
      <c r="B7357" s="14">
        <f t="shared" si="1"/>
        <v>0.1289508798</v>
      </c>
      <c r="C7357" s="39">
        <f t="array" ref="C7357">NPV(B7357,FCFF!$C$9:$I$9)+FCFF!$B$9+FCFF!$I$9*(1+Inputs!$B$6)/(B7357-Inputs!$B$6)/(1+B7357)^7</f>
        <v>-1958.140796</v>
      </c>
    </row>
    <row r="7358" ht="14.25" customHeight="1">
      <c r="A7358" s="7">
        <v>7345.0</v>
      </c>
      <c r="B7358" s="14">
        <f t="shared" si="1"/>
        <v>0.1177233804</v>
      </c>
      <c r="C7358" s="39">
        <f t="array" ref="C7358">NPV(B7358,FCFF!$C$9:$I$9)+FCFF!$B$9+FCFF!$I$9*(1+Inputs!$B$6)/(B7358-Inputs!$B$6)/(1+B7358)^7</f>
        <v>-1782.310329</v>
      </c>
    </row>
    <row r="7359" ht="14.25" customHeight="1">
      <c r="A7359" s="7">
        <v>7346.0</v>
      </c>
      <c r="B7359" s="14">
        <f t="shared" si="1"/>
        <v>0.1012280861</v>
      </c>
      <c r="C7359" s="39">
        <f t="array" ref="C7359">NPV(B7359,FCFF!$C$9:$I$9)+FCFF!$B$9+FCFF!$I$9*(1+Inputs!$B$6)/(B7359-Inputs!$B$6)/(1+B7359)^7</f>
        <v>-1417.859905</v>
      </c>
    </row>
    <row r="7360" ht="14.25" customHeight="1">
      <c r="A7360" s="7">
        <v>7347.0</v>
      </c>
      <c r="B7360" s="14">
        <f t="shared" si="1"/>
        <v>0.1002653476</v>
      </c>
      <c r="C7360" s="39">
        <f t="array" ref="C7360">NPV(B7360,FCFF!$C$9:$I$9)+FCFF!$B$9+FCFF!$I$9*(1+Inputs!$B$6)/(B7360-Inputs!$B$6)/(1+B7360)^7</f>
        <v>-1391.177005</v>
      </c>
    </row>
    <row r="7361" ht="14.25" customHeight="1">
      <c r="A7361" s="7">
        <v>7348.0</v>
      </c>
      <c r="B7361" s="14">
        <f t="shared" si="1"/>
        <v>0.1208363865</v>
      </c>
      <c r="C7361" s="39">
        <f t="array" ref="C7361">NPV(B7361,FCFF!$C$9:$I$9)+FCFF!$B$9+FCFF!$I$9*(1+Inputs!$B$6)/(B7361-Inputs!$B$6)/(1+B7361)^7</f>
        <v>-1835.70543</v>
      </c>
    </row>
    <row r="7362" ht="14.25" customHeight="1">
      <c r="A7362" s="7">
        <v>7349.0</v>
      </c>
      <c r="B7362" s="14">
        <f t="shared" si="1"/>
        <v>0.1009129763</v>
      </c>
      <c r="C7362" s="39">
        <f t="array" ref="C7362">NPV(B7362,FCFF!$C$9:$I$9)+FCFF!$B$9+FCFF!$I$9*(1+Inputs!$B$6)/(B7362-Inputs!$B$6)/(1+B7362)^7</f>
        <v>-1409.206887</v>
      </c>
    </row>
    <row r="7363" ht="14.25" customHeight="1">
      <c r="A7363" s="7">
        <v>7350.0</v>
      </c>
      <c r="B7363" s="14">
        <f t="shared" si="1"/>
        <v>0.1274716929</v>
      </c>
      <c r="C7363" s="39">
        <f t="array" ref="C7363">NPV(B7363,FCFF!$C$9:$I$9)+FCFF!$B$9+FCFF!$I$9*(1+Inputs!$B$6)/(B7363-Inputs!$B$6)/(1+B7363)^7</f>
        <v>-1937.451247</v>
      </c>
    </row>
    <row r="7364" ht="14.25" customHeight="1">
      <c r="A7364" s="7">
        <v>7351.0</v>
      </c>
      <c r="B7364" s="14">
        <f t="shared" si="1"/>
        <v>0.1134054458</v>
      </c>
      <c r="C7364" s="39">
        <f t="array" ref="C7364">NPV(B7364,FCFF!$C$9:$I$9)+FCFF!$B$9+FCFF!$I$9*(1+Inputs!$B$6)/(B7364-Inputs!$B$6)/(1+B7364)^7</f>
        <v>-1701.292137</v>
      </c>
    </row>
    <row r="7365" ht="14.25" customHeight="1">
      <c r="A7365" s="7">
        <v>7352.0</v>
      </c>
      <c r="B7365" s="14">
        <f t="shared" si="1"/>
        <v>0.1039729941</v>
      </c>
      <c r="C7365" s="39">
        <f t="array" ref="C7365">NPV(B7365,FCFF!$C$9:$I$9)+FCFF!$B$9+FCFF!$I$9*(1+Inputs!$B$6)/(B7365-Inputs!$B$6)/(1+B7365)^7</f>
        <v>-1490.081975</v>
      </c>
    </row>
    <row r="7366" ht="14.25" customHeight="1">
      <c r="A7366" s="7">
        <v>7353.0</v>
      </c>
      <c r="B7366" s="14">
        <f t="shared" si="1"/>
        <v>0.1089429306</v>
      </c>
      <c r="C7366" s="39">
        <f t="array" ref="C7366">NPV(B7366,FCFF!$C$9:$I$9)+FCFF!$B$9+FCFF!$I$9*(1+Inputs!$B$6)/(B7366-Inputs!$B$6)/(1+B7366)^7</f>
        <v>-1607.842218</v>
      </c>
    </row>
    <row r="7367" ht="14.25" customHeight="1">
      <c r="A7367" s="7">
        <v>7354.0</v>
      </c>
      <c r="B7367" s="14">
        <f t="shared" si="1"/>
        <v>0.1167680419</v>
      </c>
      <c r="C7367" s="39">
        <f t="array" ref="C7367">NPV(B7367,FCFF!$C$9:$I$9)+FCFF!$B$9+FCFF!$I$9*(1+Inputs!$B$6)/(B7367-Inputs!$B$6)/(1+B7367)^7</f>
        <v>-1765.112952</v>
      </c>
    </row>
    <row r="7368" ht="14.25" customHeight="1">
      <c r="A7368" s="7">
        <v>7355.0</v>
      </c>
      <c r="B7368" s="14">
        <f t="shared" si="1"/>
        <v>0.1038716489</v>
      </c>
      <c r="C7368" s="39">
        <f t="array" ref="C7368">NPV(B7368,FCFF!$C$9:$I$9)+FCFF!$B$9+FCFF!$I$9*(1+Inputs!$B$6)/(B7368-Inputs!$B$6)/(1+B7368)^7</f>
        <v>-1487.512236</v>
      </c>
    </row>
    <row r="7369" ht="14.25" customHeight="1">
      <c r="A7369" s="7">
        <v>7356.0</v>
      </c>
      <c r="B7369" s="14">
        <f t="shared" si="1"/>
        <v>0.1283180435</v>
      </c>
      <c r="C7369" s="39">
        <f t="array" ref="C7369">NPV(B7369,FCFF!$C$9:$I$9)+FCFF!$B$9+FCFF!$I$9*(1+Inputs!$B$6)/(B7369-Inputs!$B$6)/(1+B7369)^7</f>
        <v>-1949.371574</v>
      </c>
    </row>
    <row r="7370" ht="14.25" customHeight="1">
      <c r="A7370" s="7">
        <v>7357.0</v>
      </c>
      <c r="B7370" s="14">
        <f t="shared" si="1"/>
        <v>0.1034531459</v>
      </c>
      <c r="C7370" s="39">
        <f t="array" ref="C7370">NPV(B7370,FCFF!$C$9:$I$9)+FCFF!$B$9+FCFF!$I$9*(1+Inputs!$B$6)/(B7370-Inputs!$B$6)/(1+B7370)^7</f>
        <v>-1476.824217</v>
      </c>
    </row>
    <row r="7371" ht="14.25" customHeight="1">
      <c r="A7371" s="7">
        <v>7358.0</v>
      </c>
      <c r="B7371" s="14">
        <f t="shared" si="1"/>
        <v>0.1028121572</v>
      </c>
      <c r="C7371" s="39">
        <f t="array" ref="C7371">NPV(B7371,FCFF!$C$9:$I$9)+FCFF!$B$9+FCFF!$I$9*(1+Inputs!$B$6)/(B7371-Inputs!$B$6)/(1+B7371)^7</f>
        <v>-1460.212307</v>
      </c>
    </row>
    <row r="7372" ht="14.25" customHeight="1">
      <c r="A7372" s="7">
        <v>7359.0</v>
      </c>
      <c r="B7372" s="14">
        <f t="shared" si="1"/>
        <v>0.115128132</v>
      </c>
      <c r="C7372" s="39">
        <f t="array" ref="C7372">NPV(B7372,FCFF!$C$9:$I$9)+FCFF!$B$9+FCFF!$I$9*(1+Inputs!$B$6)/(B7372-Inputs!$B$6)/(1+B7372)^7</f>
        <v>-1734.646865</v>
      </c>
    </row>
    <row r="7373" ht="14.25" customHeight="1">
      <c r="A7373" s="7">
        <v>7360.0</v>
      </c>
      <c r="B7373" s="14">
        <f t="shared" si="1"/>
        <v>0.1035899439</v>
      </c>
      <c r="C7373" s="39">
        <f t="array" ref="C7373">NPV(B7373,FCFF!$C$9:$I$9)+FCFF!$B$9+FCFF!$I$9*(1+Inputs!$B$6)/(B7373-Inputs!$B$6)/(1+B7373)^7</f>
        <v>-1480.331449</v>
      </c>
    </row>
    <row r="7374" ht="14.25" customHeight="1">
      <c r="A7374" s="7">
        <v>7361.0</v>
      </c>
      <c r="B7374" s="14">
        <f t="shared" si="1"/>
        <v>0.09550747805</v>
      </c>
      <c r="C7374" s="39">
        <f t="array" ref="C7374">NPV(B7374,FCFF!$C$9:$I$9)+FCFF!$B$9+FCFF!$I$9*(1+Inputs!$B$6)/(B7374-Inputs!$B$6)/(1+B7374)^7</f>
        <v>-1247.748822</v>
      </c>
    </row>
    <row r="7375" ht="14.25" customHeight="1">
      <c r="A7375" s="7">
        <v>7362.0</v>
      </c>
      <c r="B7375" s="14">
        <f t="shared" si="1"/>
        <v>0.1021891115</v>
      </c>
      <c r="C7375" s="39">
        <f t="array" ref="C7375">NPV(B7375,FCFF!$C$9:$I$9)+FCFF!$B$9+FCFF!$I$9*(1+Inputs!$B$6)/(B7375-Inputs!$B$6)/(1+B7375)^7</f>
        <v>-1443.778704</v>
      </c>
    </row>
    <row r="7376" ht="14.25" customHeight="1">
      <c r="A7376" s="7">
        <v>7363.0</v>
      </c>
      <c r="B7376" s="14">
        <f t="shared" si="1"/>
        <v>0.09754419755</v>
      </c>
      <c r="C7376" s="39">
        <f t="array" ref="C7376">NPV(B7376,FCFF!$C$9:$I$9)+FCFF!$B$9+FCFF!$I$9*(1+Inputs!$B$6)/(B7376-Inputs!$B$6)/(1+B7376)^7</f>
        <v>-1311.621483</v>
      </c>
    </row>
    <row r="7377" ht="14.25" customHeight="1">
      <c r="A7377" s="7">
        <v>7364.0</v>
      </c>
      <c r="B7377" s="14">
        <f t="shared" si="1"/>
        <v>0.09847235022</v>
      </c>
      <c r="C7377" s="39">
        <f t="array" ref="C7377">NPV(B7377,FCFF!$C$9:$I$9)+FCFF!$B$9+FCFF!$I$9*(1+Inputs!$B$6)/(B7377-Inputs!$B$6)/(1+B7377)^7</f>
        <v>-1339.469789</v>
      </c>
    </row>
    <row r="7378" ht="14.25" customHeight="1">
      <c r="A7378" s="7">
        <v>7365.0</v>
      </c>
      <c r="B7378" s="14">
        <f t="shared" si="1"/>
        <v>0.1022181995</v>
      </c>
      <c r="C7378" s="39">
        <f t="array" ref="C7378">NPV(B7378,FCFF!$C$9:$I$9)+FCFF!$B$9+FCFF!$I$9*(1+Inputs!$B$6)/(B7378-Inputs!$B$6)/(1+B7378)^7</f>
        <v>-1444.552328</v>
      </c>
    </row>
    <row r="7379" ht="14.25" customHeight="1">
      <c r="A7379" s="7">
        <v>7366.0</v>
      </c>
      <c r="B7379" s="14">
        <f t="shared" si="1"/>
        <v>0.1160509838</v>
      </c>
      <c r="C7379" s="39">
        <f t="array" ref="C7379">NPV(B7379,FCFF!$C$9:$I$9)+FCFF!$B$9+FCFF!$I$9*(1+Inputs!$B$6)/(B7379-Inputs!$B$6)/(1+B7379)^7</f>
        <v>-1751.941275</v>
      </c>
    </row>
    <row r="7380" ht="14.25" customHeight="1">
      <c r="A7380" s="7">
        <v>7367.0</v>
      </c>
      <c r="B7380" s="14">
        <f t="shared" si="1"/>
        <v>0.1149831251</v>
      </c>
      <c r="C7380" s="39">
        <f t="array" ref="C7380">NPV(B7380,FCFF!$C$9:$I$9)+FCFF!$B$9+FCFF!$I$9*(1+Inputs!$B$6)/(B7380-Inputs!$B$6)/(1+B7380)^7</f>
        <v>-1731.89366</v>
      </c>
    </row>
    <row r="7381" ht="14.25" customHeight="1">
      <c r="A7381" s="7">
        <v>7368.0</v>
      </c>
      <c r="B7381" s="14">
        <f t="shared" si="1"/>
        <v>0.097389938</v>
      </c>
      <c r="C7381" s="39">
        <f t="array" ref="C7381">NPV(B7381,FCFF!$C$9:$I$9)+FCFF!$B$9+FCFF!$I$9*(1+Inputs!$B$6)/(B7381-Inputs!$B$6)/(1+B7381)^7</f>
        <v>-1306.918687</v>
      </c>
    </row>
    <row r="7382" ht="14.25" customHeight="1">
      <c r="A7382" s="7">
        <v>7369.0</v>
      </c>
      <c r="B7382" s="14">
        <f t="shared" si="1"/>
        <v>0.1316894267</v>
      </c>
      <c r="C7382" s="39">
        <f t="array" ref="C7382">NPV(B7382,FCFF!$C$9:$I$9)+FCFF!$B$9+FCFF!$I$9*(1+Inputs!$B$6)/(B7382-Inputs!$B$6)/(1+B7382)^7</f>
        <v>-1994.727097</v>
      </c>
    </row>
    <row r="7383" ht="14.25" customHeight="1">
      <c r="A7383" s="7">
        <v>7370.0</v>
      </c>
      <c r="B7383" s="14">
        <f t="shared" si="1"/>
        <v>0.12186847</v>
      </c>
      <c r="C7383" s="39">
        <f t="array" ref="C7383">NPV(B7383,FCFF!$C$9:$I$9)+FCFF!$B$9+FCFF!$I$9*(1+Inputs!$B$6)/(B7383-Inputs!$B$6)/(1+B7383)^7</f>
        <v>-1852.562991</v>
      </c>
    </row>
    <row r="7384" ht="14.25" customHeight="1">
      <c r="A7384" s="7">
        <v>7371.0</v>
      </c>
      <c r="B7384" s="14">
        <f t="shared" si="1"/>
        <v>0.1003429264</v>
      </c>
      <c r="C7384" s="39">
        <f t="array" ref="C7384">NPV(B7384,FCFF!$C$9:$I$9)+FCFF!$B$9+FCFF!$I$9*(1+Inputs!$B$6)/(B7384-Inputs!$B$6)/(1+B7384)^7</f>
        <v>-1393.354426</v>
      </c>
    </row>
    <row r="7385" ht="14.25" customHeight="1">
      <c r="A7385" s="7">
        <v>7372.0</v>
      </c>
      <c r="B7385" s="14">
        <f t="shared" si="1"/>
        <v>0.114129461</v>
      </c>
      <c r="C7385" s="39">
        <f t="array" ref="C7385">NPV(B7385,FCFF!$C$9:$I$9)+FCFF!$B$9+FCFF!$I$9*(1+Inputs!$B$6)/(B7385-Inputs!$B$6)/(1+B7385)^7</f>
        <v>-1715.484238</v>
      </c>
    </row>
    <row r="7386" ht="14.25" customHeight="1">
      <c r="A7386" s="7">
        <v>7373.0</v>
      </c>
      <c r="B7386" s="14">
        <f t="shared" si="1"/>
        <v>0.1206411078</v>
      </c>
      <c r="C7386" s="39">
        <f t="array" ref="C7386">NPV(B7386,FCFF!$C$9:$I$9)+FCFF!$B$9+FCFF!$I$9*(1+Inputs!$B$6)/(B7386-Inputs!$B$6)/(1+B7386)^7</f>
        <v>-1832.469971</v>
      </c>
    </row>
    <row r="7387" ht="14.25" customHeight="1">
      <c r="A7387" s="7">
        <v>7374.0</v>
      </c>
      <c r="B7387" s="14">
        <f t="shared" si="1"/>
        <v>0.1188472339</v>
      </c>
      <c r="C7387" s="39">
        <f t="array" ref="C7387">NPV(B7387,FCFF!$C$9:$I$9)+FCFF!$B$9+FCFF!$I$9*(1+Inputs!$B$6)/(B7387-Inputs!$B$6)/(1+B7387)^7</f>
        <v>-1802.043</v>
      </c>
    </row>
    <row r="7388" ht="14.25" customHeight="1">
      <c r="A7388" s="7">
        <v>7375.0</v>
      </c>
      <c r="B7388" s="14">
        <f t="shared" si="1"/>
        <v>0.1076332474</v>
      </c>
      <c r="C7388" s="39">
        <f t="array" ref="C7388">NPV(B7388,FCFF!$C$9:$I$9)+FCFF!$B$9+FCFF!$I$9*(1+Inputs!$B$6)/(B7388-Inputs!$B$6)/(1+B7388)^7</f>
        <v>-1578.308343</v>
      </c>
    </row>
    <row r="7389" ht="14.25" customHeight="1">
      <c r="A7389" s="7">
        <v>7376.0</v>
      </c>
      <c r="B7389" s="14">
        <f t="shared" si="1"/>
        <v>0.09427509338</v>
      </c>
      <c r="C7389" s="39">
        <f t="array" ref="C7389">NPV(B7389,FCFF!$C$9:$I$9)+FCFF!$B$9+FCFF!$I$9*(1+Inputs!$B$6)/(B7389-Inputs!$B$6)/(1+B7389)^7</f>
        <v>-1207.144478</v>
      </c>
    </row>
    <row r="7390" ht="14.25" customHeight="1">
      <c r="A7390" s="7">
        <v>7377.0</v>
      </c>
      <c r="B7390" s="14">
        <f t="shared" si="1"/>
        <v>0.1020829395</v>
      </c>
      <c r="C7390" s="39">
        <f t="array" ref="C7390">NPV(B7390,FCFF!$C$9:$I$9)+FCFF!$B$9+FCFF!$I$9*(1+Inputs!$B$6)/(B7390-Inputs!$B$6)/(1+B7390)^7</f>
        <v>-1440.949595</v>
      </c>
    </row>
    <row r="7391" ht="14.25" customHeight="1">
      <c r="A7391" s="7">
        <v>7378.0</v>
      </c>
      <c r="B7391" s="14">
        <f t="shared" si="1"/>
        <v>0.09641940134</v>
      </c>
      <c r="C7391" s="39">
        <f t="array" ref="C7391">NPV(B7391,FCFF!$C$9:$I$9)+FCFF!$B$9+FCFF!$I$9*(1+Inputs!$B$6)/(B7391-Inputs!$B$6)/(1+B7391)^7</f>
        <v>-1276.830174</v>
      </c>
    </row>
    <row r="7392" ht="14.25" customHeight="1">
      <c r="A7392" s="7">
        <v>7379.0</v>
      </c>
      <c r="B7392" s="14">
        <f t="shared" si="1"/>
        <v>0.1193054449</v>
      </c>
      <c r="C7392" s="39">
        <f t="array" ref="C7392">NPV(B7392,FCFF!$C$9:$I$9)+FCFF!$B$9+FCFF!$I$9*(1+Inputs!$B$6)/(B7392-Inputs!$B$6)/(1+B7392)^7</f>
        <v>-1809.937964</v>
      </c>
    </row>
    <row r="7393" ht="14.25" customHeight="1">
      <c r="A7393" s="7">
        <v>7380.0</v>
      </c>
      <c r="B7393" s="14">
        <f t="shared" si="1"/>
        <v>0.1273723463</v>
      </c>
      <c r="C7393" s="39">
        <f t="array" ref="C7393">NPV(B7393,FCFF!$C$9:$I$9)+FCFF!$B$9+FCFF!$I$9*(1+Inputs!$B$6)/(B7393-Inputs!$B$6)/(1+B7393)^7</f>
        <v>-1936.037342</v>
      </c>
    </row>
    <row r="7394" ht="14.25" customHeight="1">
      <c r="A7394" s="7">
        <v>7381.0</v>
      </c>
      <c r="B7394" s="14">
        <f t="shared" si="1"/>
        <v>0.1196654161</v>
      </c>
      <c r="C7394" s="39">
        <f t="array" ref="C7394">NPV(B7394,FCFF!$C$9:$I$9)+FCFF!$B$9+FCFF!$I$9*(1+Inputs!$B$6)/(B7394-Inputs!$B$6)/(1+B7394)^7</f>
        <v>-1816.080459</v>
      </c>
    </row>
    <row r="7395" ht="14.25" customHeight="1">
      <c r="A7395" s="7">
        <v>7382.0</v>
      </c>
      <c r="B7395" s="14">
        <f t="shared" si="1"/>
        <v>0.0972909066</v>
      </c>
      <c r="C7395" s="39">
        <f t="array" ref="C7395">NPV(B7395,FCFF!$C$9:$I$9)+FCFF!$B$9+FCFF!$I$9*(1+Inputs!$B$6)/(B7395-Inputs!$B$6)/(1+B7395)^7</f>
        <v>-1303.88823</v>
      </c>
    </row>
    <row r="7396" ht="14.25" customHeight="1">
      <c r="A7396" s="7">
        <v>7383.0</v>
      </c>
      <c r="B7396" s="14">
        <f t="shared" si="1"/>
        <v>0.124935706</v>
      </c>
      <c r="C7396" s="39">
        <f t="array" ref="C7396">NPV(B7396,FCFF!$C$9:$I$9)+FCFF!$B$9+FCFF!$I$9*(1+Inputs!$B$6)/(B7396-Inputs!$B$6)/(1+B7396)^7</f>
        <v>-1900.360789</v>
      </c>
    </row>
    <row r="7397" ht="14.25" customHeight="1">
      <c r="A7397" s="7">
        <v>7384.0</v>
      </c>
      <c r="B7397" s="14">
        <f t="shared" si="1"/>
        <v>0.09493019645</v>
      </c>
      <c r="C7397" s="39">
        <f t="array" ref="C7397">NPV(B7397,FCFF!$C$9:$I$9)+FCFF!$B$9+FCFF!$I$9*(1+Inputs!$B$6)/(B7397-Inputs!$B$6)/(1+B7397)^7</f>
        <v>-1228.919212</v>
      </c>
    </row>
    <row r="7398" ht="14.25" customHeight="1">
      <c r="A7398" s="7">
        <v>7385.0</v>
      </c>
      <c r="B7398" s="14">
        <f t="shared" si="1"/>
        <v>0.1308430214</v>
      </c>
      <c r="C7398" s="39">
        <f t="array" ref="C7398">NPV(B7398,FCFF!$C$9:$I$9)+FCFF!$B$9+FCFF!$I$9*(1+Inputs!$B$6)/(B7398-Inputs!$B$6)/(1+B7398)^7</f>
        <v>-1983.649786</v>
      </c>
    </row>
    <row r="7399" ht="14.25" customHeight="1">
      <c r="A7399" s="7">
        <v>7386.0</v>
      </c>
      <c r="B7399" s="14">
        <f t="shared" si="1"/>
        <v>0.1048457232</v>
      </c>
      <c r="C7399" s="39">
        <f t="array" ref="C7399">NPV(B7399,FCFF!$C$9:$I$9)+FCFF!$B$9+FCFF!$I$9*(1+Inputs!$B$6)/(B7399-Inputs!$B$6)/(1+B7399)^7</f>
        <v>-1511.9181</v>
      </c>
    </row>
    <row r="7400" ht="14.25" customHeight="1">
      <c r="A7400" s="7">
        <v>7387.0</v>
      </c>
      <c r="B7400" s="14">
        <f t="shared" si="1"/>
        <v>0.1109938585</v>
      </c>
      <c r="C7400" s="39">
        <f t="array" ref="C7400">NPV(B7400,FCFF!$C$9:$I$9)+FCFF!$B$9+FCFF!$I$9*(1+Inputs!$B$6)/(B7400-Inputs!$B$6)/(1+B7400)^7</f>
        <v>-1652.115185</v>
      </c>
    </row>
    <row r="7401" ht="14.25" customHeight="1">
      <c r="A7401" s="7">
        <v>7388.0</v>
      </c>
      <c r="B7401" s="14">
        <f t="shared" si="1"/>
        <v>0.1218163451</v>
      </c>
      <c r="C7401" s="39">
        <f t="array" ref="C7401">NPV(B7401,FCFF!$C$9:$I$9)+FCFF!$B$9+FCFF!$I$9*(1+Inputs!$B$6)/(B7401-Inputs!$B$6)/(1+B7401)^7</f>
        <v>-1851.721263</v>
      </c>
    </row>
    <row r="7402" ht="14.25" customHeight="1">
      <c r="A7402" s="7">
        <v>7389.0</v>
      </c>
      <c r="B7402" s="14">
        <f t="shared" si="1"/>
        <v>0.1127423823</v>
      </c>
      <c r="C7402" s="39">
        <f t="array" ref="C7402">NPV(B7402,FCFF!$C$9:$I$9)+FCFF!$B$9+FCFF!$I$9*(1+Inputs!$B$6)/(B7402-Inputs!$B$6)/(1+B7402)^7</f>
        <v>-1688.067773</v>
      </c>
    </row>
    <row r="7403" ht="14.25" customHeight="1">
      <c r="A7403" s="7">
        <v>7390.0</v>
      </c>
      <c r="B7403" s="14">
        <f t="shared" si="1"/>
        <v>0.09927830877</v>
      </c>
      <c r="C7403" s="39">
        <f t="array" ref="C7403">NPV(B7403,FCFF!$C$9:$I$9)+FCFF!$B$9+FCFF!$I$9*(1+Inputs!$B$6)/(B7403-Inputs!$B$6)/(1+B7403)^7</f>
        <v>-1363.045081</v>
      </c>
    </row>
    <row r="7404" ht="14.25" customHeight="1">
      <c r="A7404" s="7">
        <v>7391.0</v>
      </c>
      <c r="B7404" s="14">
        <f t="shared" si="1"/>
        <v>0.111313374</v>
      </c>
      <c r="C7404" s="39">
        <f t="array" ref="C7404">NPV(B7404,FCFF!$C$9:$I$9)+FCFF!$B$9+FCFF!$I$9*(1+Inputs!$B$6)/(B7404-Inputs!$B$6)/(1+B7404)^7</f>
        <v>-1658.80472</v>
      </c>
    </row>
    <row r="7405" ht="14.25" customHeight="1">
      <c r="A7405" s="7">
        <v>7392.0</v>
      </c>
      <c r="B7405" s="14">
        <f t="shared" si="1"/>
        <v>0.1162958551</v>
      </c>
      <c r="C7405" s="39">
        <f t="array" ref="C7405">NPV(B7405,FCFF!$C$9:$I$9)+FCFF!$B$9+FCFF!$I$9*(1+Inputs!$B$6)/(B7405-Inputs!$B$6)/(1+B7405)^7</f>
        <v>-1756.465156</v>
      </c>
    </row>
    <row r="7406" ht="14.25" customHeight="1">
      <c r="A7406" s="7">
        <v>7393.0</v>
      </c>
      <c r="B7406" s="14">
        <f t="shared" si="1"/>
        <v>0.1226360248</v>
      </c>
      <c r="C7406" s="39">
        <f t="array" ref="C7406">NPV(B7406,FCFF!$C$9:$I$9)+FCFF!$B$9+FCFF!$I$9*(1+Inputs!$B$6)/(B7406-Inputs!$B$6)/(1+B7406)^7</f>
        <v>-1864.841012</v>
      </c>
    </row>
    <row r="7407" ht="14.25" customHeight="1">
      <c r="A7407" s="7">
        <v>7394.0</v>
      </c>
      <c r="B7407" s="14">
        <f t="shared" si="1"/>
        <v>0.0976459225</v>
      </c>
      <c r="C7407" s="39">
        <f t="array" ref="C7407">NPV(B7407,FCFF!$C$9:$I$9)+FCFF!$B$9+FCFF!$I$9*(1+Inputs!$B$6)/(B7407-Inputs!$B$6)/(1+B7407)^7</f>
        <v>-1314.710962</v>
      </c>
    </row>
    <row r="7408" ht="14.25" customHeight="1">
      <c r="A7408" s="7">
        <v>7395.0</v>
      </c>
      <c r="B7408" s="14">
        <f t="shared" si="1"/>
        <v>0.1240108283</v>
      </c>
      <c r="C7408" s="39">
        <f t="array" ref="C7408">NPV(B7408,FCFF!$C$9:$I$9)+FCFF!$B$9+FCFF!$I$9*(1+Inputs!$B$6)/(B7408-Inputs!$B$6)/(1+B7408)^7</f>
        <v>-1886.298847</v>
      </c>
    </row>
    <row r="7409" ht="14.25" customHeight="1">
      <c r="A7409" s="7">
        <v>7396.0</v>
      </c>
      <c r="B7409" s="14">
        <f t="shared" si="1"/>
        <v>0.1179087307</v>
      </c>
      <c r="C7409" s="39">
        <f t="array" ref="C7409">NPV(B7409,FCFF!$C$9:$I$9)+FCFF!$B$9+FCFF!$I$9*(1+Inputs!$B$6)/(B7409-Inputs!$B$6)/(1+B7409)^7</f>
        <v>-1785.601342</v>
      </c>
    </row>
    <row r="7410" ht="14.25" customHeight="1">
      <c r="A7410" s="7">
        <v>7397.0</v>
      </c>
      <c r="B7410" s="14">
        <f t="shared" si="1"/>
        <v>0.129180168</v>
      </c>
      <c r="C7410" s="39">
        <f t="array" ref="C7410">NPV(B7410,FCFF!$C$9:$I$9)+FCFF!$B$9+FCFF!$I$9*(1+Inputs!$B$6)/(B7410-Inputs!$B$6)/(1+B7410)^7</f>
        <v>-1961.288173</v>
      </c>
    </row>
    <row r="7411" ht="14.25" customHeight="1">
      <c r="A7411" s="7">
        <v>7398.0</v>
      </c>
      <c r="B7411" s="14">
        <f t="shared" si="1"/>
        <v>0.1201027666</v>
      </c>
      <c r="C7411" s="39">
        <f t="array" ref="C7411">NPV(B7411,FCFF!$C$9:$I$9)+FCFF!$B$9+FCFF!$I$9*(1+Inputs!$B$6)/(B7411-Inputs!$B$6)/(1+B7411)^7</f>
        <v>-1823.473493</v>
      </c>
    </row>
    <row r="7412" ht="14.25" customHeight="1">
      <c r="A7412" s="7">
        <v>7399.0</v>
      </c>
      <c r="B7412" s="14">
        <f t="shared" si="1"/>
        <v>0.1029859438</v>
      </c>
      <c r="C7412" s="39">
        <f t="array" ref="C7412">NPV(B7412,FCFF!$C$9:$I$9)+FCFF!$B$9+FCFF!$I$9*(1+Inputs!$B$6)/(B7412-Inputs!$B$6)/(1+B7412)^7</f>
        <v>-1464.745427</v>
      </c>
    </row>
    <row r="7413" ht="14.25" customHeight="1">
      <c r="A7413" s="7">
        <v>7400.0</v>
      </c>
      <c r="B7413" s="14">
        <f t="shared" si="1"/>
        <v>0.1225772924</v>
      </c>
      <c r="C7413" s="39">
        <f t="array" ref="C7413">NPV(B7413,FCFF!$C$9:$I$9)+FCFF!$B$9+FCFF!$I$9*(1+Inputs!$B$6)/(B7413-Inputs!$B$6)/(1+B7413)^7</f>
        <v>-1863.909172</v>
      </c>
    </row>
    <row r="7414" ht="14.25" customHeight="1">
      <c r="A7414" s="7">
        <v>7401.0</v>
      </c>
      <c r="B7414" s="14">
        <f t="shared" si="1"/>
        <v>0.1010828346</v>
      </c>
      <c r="C7414" s="39">
        <f t="array" ref="C7414">NPV(B7414,FCFF!$C$9:$I$9)+FCFF!$B$9+FCFF!$I$9*(1+Inputs!$B$6)/(B7414-Inputs!$B$6)/(1+B7414)^7</f>
        <v>-1413.880872</v>
      </c>
    </row>
    <row r="7415" ht="14.25" customHeight="1">
      <c r="A7415" s="7">
        <v>7402.0</v>
      </c>
      <c r="B7415" s="14">
        <f t="shared" si="1"/>
        <v>0.1278982441</v>
      </c>
      <c r="C7415" s="39">
        <f t="array" ref="C7415">NPV(B7415,FCFF!$C$9:$I$9)+FCFF!$B$9+FCFF!$I$9*(1+Inputs!$B$6)/(B7415-Inputs!$B$6)/(1+B7415)^7</f>
        <v>-1943.48677</v>
      </c>
    </row>
    <row r="7416" ht="14.25" customHeight="1">
      <c r="A7416" s="7">
        <v>7403.0</v>
      </c>
      <c r="B7416" s="14">
        <f t="shared" si="1"/>
        <v>0.1007661192</v>
      </c>
      <c r="C7416" s="39">
        <f t="array" ref="C7416">NPV(B7416,FCFF!$C$9:$I$9)+FCFF!$B$9+FCFF!$I$9*(1+Inputs!$B$6)/(B7416-Inputs!$B$6)/(1+B7416)^7</f>
        <v>-1405.147575</v>
      </c>
    </row>
    <row r="7417" ht="14.25" customHeight="1">
      <c r="A7417" s="7">
        <v>7404.0</v>
      </c>
      <c r="B7417" s="14">
        <f t="shared" si="1"/>
        <v>0.1207795491</v>
      </c>
      <c r="C7417" s="39">
        <f t="array" ref="C7417">NPV(B7417,FCFF!$C$9:$I$9)+FCFF!$B$9+FCFF!$I$9*(1+Inputs!$B$6)/(B7417-Inputs!$B$6)/(1+B7417)^7</f>
        <v>-1834.765248</v>
      </c>
    </row>
    <row r="7418" ht="14.25" customHeight="1">
      <c r="A7418" s="7">
        <v>7405.0</v>
      </c>
      <c r="B7418" s="14">
        <f t="shared" si="1"/>
        <v>0.1166263281</v>
      </c>
      <c r="C7418" s="39">
        <f t="array" ref="C7418">NPV(B7418,FCFF!$C$9:$I$9)+FCFF!$B$9+FCFF!$I$9*(1+Inputs!$B$6)/(B7418-Inputs!$B$6)/(1+B7418)^7</f>
        <v>-1762.52795</v>
      </c>
    </row>
    <row r="7419" ht="14.25" customHeight="1">
      <c r="A7419" s="7">
        <v>7406.0</v>
      </c>
      <c r="B7419" s="14">
        <f t="shared" si="1"/>
        <v>0.09829190479</v>
      </c>
      <c r="C7419" s="39">
        <f t="array" ref="C7419">NPV(B7419,FCFF!$C$9:$I$9)+FCFF!$B$9+FCFF!$I$9*(1+Inputs!$B$6)/(B7419-Inputs!$B$6)/(1+B7419)^7</f>
        <v>-1334.115066</v>
      </c>
    </row>
    <row r="7420" ht="14.25" customHeight="1">
      <c r="A7420" s="7">
        <v>7407.0</v>
      </c>
      <c r="B7420" s="14">
        <f t="shared" si="1"/>
        <v>0.09434218044</v>
      </c>
      <c r="C7420" s="39">
        <f t="array" ref="C7420">NPV(B7420,FCFF!$C$9:$I$9)+FCFF!$B$9+FCFF!$I$9*(1+Inputs!$B$6)/(B7420-Inputs!$B$6)/(1+B7420)^7</f>
        <v>-1209.394573</v>
      </c>
    </row>
    <row r="7421" ht="14.25" customHeight="1">
      <c r="A7421" s="7">
        <v>7408.0</v>
      </c>
      <c r="B7421" s="14">
        <f t="shared" si="1"/>
        <v>0.1073200409</v>
      </c>
      <c r="C7421" s="39">
        <f t="array" ref="C7421">NPV(B7421,FCFF!$C$9:$I$9)+FCFF!$B$9+FCFF!$I$9*(1+Inputs!$B$6)/(B7421-Inputs!$B$6)/(1+B7421)^7</f>
        <v>-1571.093072</v>
      </c>
    </row>
    <row r="7422" ht="14.25" customHeight="1">
      <c r="A7422" s="7">
        <v>7409.0</v>
      </c>
      <c r="B7422" s="14">
        <f t="shared" si="1"/>
        <v>0.1004759802</v>
      </c>
      <c r="C7422" s="39">
        <f t="array" ref="C7422">NPV(B7422,FCFF!$C$9:$I$9)+FCFF!$B$9+FCFF!$I$9*(1+Inputs!$B$6)/(B7422-Inputs!$B$6)/(1+B7422)^7</f>
        <v>-1397.077633</v>
      </c>
    </row>
    <row r="7423" ht="14.25" customHeight="1">
      <c r="A7423" s="7">
        <v>7410.0</v>
      </c>
      <c r="B7423" s="14">
        <f t="shared" si="1"/>
        <v>0.09735798872</v>
      </c>
      <c r="C7423" s="39">
        <f t="array" ref="C7423">NPV(B7423,FCFF!$C$9:$I$9)+FCFF!$B$9+FCFF!$I$9*(1+Inputs!$B$6)/(B7423-Inputs!$B$6)/(1+B7423)^7</f>
        <v>-1305.941981</v>
      </c>
    </row>
    <row r="7424" ht="14.25" customHeight="1">
      <c r="A7424" s="7">
        <v>7411.0</v>
      </c>
      <c r="B7424" s="14">
        <f t="shared" si="1"/>
        <v>0.1067748872</v>
      </c>
      <c r="C7424" s="39">
        <f t="array" ref="C7424">NPV(B7424,FCFF!$C$9:$I$9)+FCFF!$B$9+FCFF!$I$9*(1+Inputs!$B$6)/(B7424-Inputs!$B$6)/(1+B7424)^7</f>
        <v>-1558.39047</v>
      </c>
    </row>
    <row r="7425" ht="14.25" customHeight="1">
      <c r="A7425" s="7">
        <v>7412.0</v>
      </c>
      <c r="B7425" s="14">
        <f t="shared" si="1"/>
        <v>0.1201749773</v>
      </c>
      <c r="C7425" s="39">
        <f t="array" ref="C7425">NPV(B7425,FCFF!$C$9:$I$9)+FCFF!$B$9+FCFF!$I$9*(1+Inputs!$B$6)/(B7425-Inputs!$B$6)/(1+B7425)^7</f>
        <v>-1824.68685</v>
      </c>
    </row>
    <row r="7426" ht="14.25" customHeight="1">
      <c r="A7426" s="7">
        <v>7413.0</v>
      </c>
      <c r="B7426" s="14">
        <f t="shared" si="1"/>
        <v>0.1234648539</v>
      </c>
      <c r="C7426" s="39">
        <f t="array" ref="C7426">NPV(B7426,FCFF!$C$9:$I$9)+FCFF!$B$9+FCFF!$I$9*(1+Inputs!$B$6)/(B7426-Inputs!$B$6)/(1+B7426)^7</f>
        <v>-1877.857991</v>
      </c>
    </row>
    <row r="7427" ht="14.25" customHeight="1">
      <c r="A7427" s="7">
        <v>7414.0</v>
      </c>
      <c r="B7427" s="14">
        <f t="shared" si="1"/>
        <v>0.123722776</v>
      </c>
      <c r="C7427" s="39">
        <f t="array" ref="C7427">NPV(B7427,FCFF!$C$9:$I$9)+FCFF!$B$9+FCFF!$I$9*(1+Inputs!$B$6)/(B7427-Inputs!$B$6)/(1+B7427)^7</f>
        <v>-1881.858606</v>
      </c>
    </row>
    <row r="7428" ht="14.25" customHeight="1">
      <c r="A7428" s="7">
        <v>7415.0</v>
      </c>
      <c r="B7428" s="14">
        <f t="shared" si="1"/>
        <v>0.1047345536</v>
      </c>
      <c r="C7428" s="39">
        <f t="array" ref="C7428">NPV(B7428,FCFF!$C$9:$I$9)+FCFF!$B$9+FCFF!$I$9*(1+Inputs!$B$6)/(B7428-Inputs!$B$6)/(1+B7428)^7</f>
        <v>-1509.165446</v>
      </c>
    </row>
    <row r="7429" ht="14.25" customHeight="1">
      <c r="A7429" s="7">
        <v>7416.0</v>
      </c>
      <c r="B7429" s="14">
        <f t="shared" si="1"/>
        <v>0.1010837763</v>
      </c>
      <c r="C7429" s="39">
        <f t="array" ref="C7429">NPV(B7429,FCFF!$C$9:$I$9)+FCFF!$B$9+FCFF!$I$9*(1+Inputs!$B$6)/(B7429-Inputs!$B$6)/(1+B7429)^7</f>
        <v>-1413.906722</v>
      </c>
    </row>
    <row r="7430" ht="14.25" customHeight="1">
      <c r="A7430" s="7">
        <v>7417.0</v>
      </c>
      <c r="B7430" s="14">
        <f t="shared" si="1"/>
        <v>0.09655191752</v>
      </c>
      <c r="C7430" s="39">
        <f t="array" ref="C7430">NPV(B7430,FCFF!$C$9:$I$9)+FCFF!$B$9+FCFF!$I$9*(1+Inputs!$B$6)/(B7430-Inputs!$B$6)/(1+B7430)^7</f>
        <v>-1280.990057</v>
      </c>
    </row>
    <row r="7431" ht="14.25" customHeight="1">
      <c r="A7431" s="7">
        <v>7418.0</v>
      </c>
      <c r="B7431" s="14">
        <f t="shared" si="1"/>
        <v>0.1045982699</v>
      </c>
      <c r="C7431" s="39">
        <f t="array" ref="C7431">NPV(B7431,FCFF!$C$9:$I$9)+FCFF!$B$9+FCFF!$I$9*(1+Inputs!$B$6)/(B7431-Inputs!$B$6)/(1+B7431)^7</f>
        <v>-1505.779535</v>
      </c>
    </row>
    <row r="7432" ht="14.25" customHeight="1">
      <c r="A7432" s="7">
        <v>7419.0</v>
      </c>
      <c r="B7432" s="14">
        <f t="shared" si="1"/>
        <v>0.1257689534</v>
      </c>
      <c r="C7432" s="39">
        <f t="array" ref="C7432">NPV(B7432,FCFF!$C$9:$I$9)+FCFF!$B$9+FCFF!$I$9*(1+Inputs!$B$6)/(B7432-Inputs!$B$6)/(1+B7432)^7</f>
        <v>-1912.780491</v>
      </c>
    </row>
    <row r="7433" ht="14.25" customHeight="1">
      <c r="A7433" s="7">
        <v>7420.0</v>
      </c>
      <c r="B7433" s="14">
        <f t="shared" si="1"/>
        <v>0.1020044477</v>
      </c>
      <c r="C7433" s="39">
        <f t="array" ref="C7433">NPV(B7433,FCFF!$C$9:$I$9)+FCFF!$B$9+FCFF!$I$9*(1+Inputs!$B$6)/(B7433-Inputs!$B$6)/(1+B7433)^7</f>
        <v>-1438.852634</v>
      </c>
    </row>
    <row r="7434" ht="14.25" customHeight="1">
      <c r="A7434" s="7">
        <v>7421.0</v>
      </c>
      <c r="B7434" s="14">
        <f t="shared" si="1"/>
        <v>0.1119090115</v>
      </c>
      <c r="C7434" s="39">
        <f t="array" ref="C7434">NPV(B7434,FCFF!$C$9:$I$9)+FCFF!$B$9+FCFF!$I$9*(1+Inputs!$B$6)/(B7434-Inputs!$B$6)/(1+B7434)^7</f>
        <v>-1671.130917</v>
      </c>
    </row>
    <row r="7435" ht="14.25" customHeight="1">
      <c r="A7435" s="7">
        <v>7422.0</v>
      </c>
      <c r="B7435" s="14">
        <f t="shared" si="1"/>
        <v>0.1300460552</v>
      </c>
      <c r="C7435" s="39">
        <f t="array" ref="C7435">NPV(B7435,FCFF!$C$9:$I$9)+FCFF!$B$9+FCFF!$I$9*(1+Inputs!$B$6)/(B7435-Inputs!$B$6)/(1+B7435)^7</f>
        <v>-1973.033059</v>
      </c>
    </row>
    <row r="7436" ht="14.25" customHeight="1">
      <c r="A7436" s="7">
        <v>7423.0</v>
      </c>
      <c r="B7436" s="14">
        <f t="shared" si="1"/>
        <v>0.1289774716</v>
      </c>
      <c r="C7436" s="39">
        <f t="array" ref="C7436">NPV(B7436,FCFF!$C$9:$I$9)+FCFF!$B$9+FCFF!$I$9*(1+Inputs!$B$6)/(B7436-Inputs!$B$6)/(1+B7436)^7</f>
        <v>-1958.506624</v>
      </c>
    </row>
    <row r="7437" ht="14.25" customHeight="1">
      <c r="A7437" s="7">
        <v>7424.0</v>
      </c>
      <c r="B7437" s="14">
        <f t="shared" si="1"/>
        <v>0.1292455503</v>
      </c>
      <c r="C7437" s="39">
        <f t="array" ref="C7437">NPV(B7437,FCFF!$C$9:$I$9)+FCFF!$B$9+FCFF!$I$9*(1+Inputs!$B$6)/(B7437-Inputs!$B$6)/(1+B7437)^7</f>
        <v>-1962.182773</v>
      </c>
    </row>
    <row r="7438" ht="14.25" customHeight="1">
      <c r="A7438" s="7">
        <v>7425.0</v>
      </c>
      <c r="B7438" s="14">
        <f t="shared" si="1"/>
        <v>0.1120997408</v>
      </c>
      <c r="C7438" s="39">
        <f t="array" ref="C7438">NPV(B7438,FCFF!$C$9:$I$9)+FCFF!$B$9+FCFF!$I$9*(1+Inputs!$B$6)/(B7438-Inputs!$B$6)/(1+B7438)^7</f>
        <v>-1675.038683</v>
      </c>
    </row>
    <row r="7439" ht="14.25" customHeight="1">
      <c r="A7439" s="7">
        <v>7426.0</v>
      </c>
      <c r="B7439" s="14">
        <f t="shared" si="1"/>
        <v>0.1322254731</v>
      </c>
      <c r="C7439" s="39">
        <f t="array" ref="C7439">NPV(B7439,FCFF!$C$9:$I$9)+FCFF!$B$9+FCFF!$I$9*(1+Inputs!$B$6)/(B7439-Inputs!$B$6)/(1+B7439)^7</f>
        <v>-2001.639291</v>
      </c>
    </row>
    <row r="7440" ht="14.25" customHeight="1">
      <c r="A7440" s="7">
        <v>7427.0</v>
      </c>
      <c r="B7440" s="14">
        <f t="shared" si="1"/>
        <v>0.1289023182</v>
      </c>
      <c r="C7440" s="39">
        <f t="array" ref="C7440">NPV(B7440,FCFF!$C$9:$I$9)+FCFF!$B$9+FCFF!$I$9*(1+Inputs!$B$6)/(B7440-Inputs!$B$6)/(1+B7440)^7</f>
        <v>-1957.472178</v>
      </c>
    </row>
    <row r="7441" ht="14.25" customHeight="1">
      <c r="A7441" s="7">
        <v>7428.0</v>
      </c>
      <c r="B7441" s="14">
        <f t="shared" si="1"/>
        <v>0.1210327968</v>
      </c>
      <c r="C7441" s="39">
        <f t="array" ref="C7441">NPV(B7441,FCFF!$C$9:$I$9)+FCFF!$B$9+FCFF!$I$9*(1+Inputs!$B$6)/(B7441-Inputs!$B$6)/(1+B7441)^7</f>
        <v>-1838.944784</v>
      </c>
    </row>
    <row r="7442" ht="14.25" customHeight="1">
      <c r="A7442" s="7">
        <v>7429.0</v>
      </c>
      <c r="B7442" s="14">
        <f t="shared" si="1"/>
        <v>0.1225712395</v>
      </c>
      <c r="C7442" s="39">
        <f t="array" ref="C7442">NPV(B7442,FCFF!$C$9:$I$9)+FCFF!$B$9+FCFF!$I$9*(1+Inputs!$B$6)/(B7442-Inputs!$B$6)/(1+B7442)^7</f>
        <v>-1863.813065</v>
      </c>
    </row>
    <row r="7443" ht="14.25" customHeight="1">
      <c r="A7443" s="7">
        <v>7430.0</v>
      </c>
      <c r="B7443" s="14">
        <f t="shared" si="1"/>
        <v>0.1134505806</v>
      </c>
      <c r="C7443" s="39">
        <f t="array" ref="C7443">NPV(B7443,FCFF!$C$9:$I$9)+FCFF!$B$9+FCFF!$I$9*(1+Inputs!$B$6)/(B7443-Inputs!$B$6)/(1+B7443)^7</f>
        <v>-1702.184367</v>
      </c>
    </row>
    <row r="7444" ht="14.25" customHeight="1">
      <c r="A7444" s="7">
        <v>7431.0</v>
      </c>
      <c r="B7444" s="14">
        <f t="shared" si="1"/>
        <v>0.1048303813</v>
      </c>
      <c r="C7444" s="39">
        <f t="array" ref="C7444">NPV(B7444,FCFF!$C$9:$I$9)+FCFF!$B$9+FCFF!$I$9*(1+Inputs!$B$6)/(B7444-Inputs!$B$6)/(1+B7444)^7</f>
        <v>-1511.538717</v>
      </c>
    </row>
    <row r="7445" ht="14.25" customHeight="1">
      <c r="A7445" s="7">
        <v>7432.0</v>
      </c>
      <c r="B7445" s="14">
        <f t="shared" si="1"/>
        <v>0.1144636614</v>
      </c>
      <c r="C7445" s="39">
        <f t="array" ref="C7445">NPV(B7445,FCFF!$C$9:$I$9)+FCFF!$B$9+FCFF!$I$9*(1+Inputs!$B$6)/(B7445-Inputs!$B$6)/(1+B7445)^7</f>
        <v>-1721.949621</v>
      </c>
    </row>
    <row r="7446" ht="14.25" customHeight="1">
      <c r="A7446" s="7">
        <v>7433.0</v>
      </c>
      <c r="B7446" s="14">
        <f t="shared" si="1"/>
        <v>0.1231875718</v>
      </c>
      <c r="C7446" s="39">
        <f t="array" ref="C7446">NPV(B7446,FCFF!$C$9:$I$9)+FCFF!$B$9+FCFF!$I$9*(1+Inputs!$B$6)/(B7446-Inputs!$B$6)/(1+B7446)^7</f>
        <v>-1873.5307</v>
      </c>
    </row>
    <row r="7447" ht="14.25" customHeight="1">
      <c r="A7447" s="7">
        <v>7434.0</v>
      </c>
      <c r="B7447" s="14">
        <f t="shared" si="1"/>
        <v>0.1002006747</v>
      </c>
      <c r="C7447" s="39">
        <f t="array" ref="C7447">NPV(B7447,FCFF!$C$9:$I$9)+FCFF!$B$9+FCFF!$I$9*(1+Inputs!$B$6)/(B7447-Inputs!$B$6)/(1+B7447)^7</f>
        <v>-1389.358109</v>
      </c>
    </row>
    <row r="7448" ht="14.25" customHeight="1">
      <c r="A7448" s="7">
        <v>7435.0</v>
      </c>
      <c r="B7448" s="14">
        <f t="shared" si="1"/>
        <v>0.09633216059</v>
      </c>
      <c r="C7448" s="39">
        <f t="array" ref="C7448">NPV(B7448,FCFF!$C$9:$I$9)+FCFF!$B$9+FCFF!$I$9*(1+Inputs!$B$6)/(B7448-Inputs!$B$6)/(1+B7448)^7</f>
        <v>-1274.08251</v>
      </c>
    </row>
    <row r="7449" ht="14.25" customHeight="1">
      <c r="A7449" s="7">
        <v>7436.0</v>
      </c>
      <c r="B7449" s="14">
        <f t="shared" si="1"/>
        <v>0.09424867931</v>
      </c>
      <c r="C7449" s="39">
        <f t="array" ref="C7449">NPV(B7449,FCFF!$C$9:$I$9)+FCFF!$B$9+FCFF!$I$9*(1+Inputs!$B$6)/(B7449-Inputs!$B$6)/(1+B7449)^7</f>
        <v>-1206.257274</v>
      </c>
    </row>
    <row r="7450" ht="14.25" customHeight="1">
      <c r="A7450" s="7">
        <v>7437.0</v>
      </c>
      <c r="B7450" s="14">
        <f t="shared" si="1"/>
        <v>0.1212913384</v>
      </c>
      <c r="C7450" s="39">
        <f t="array" ref="C7450">NPV(B7450,FCFF!$C$9:$I$9)+FCFF!$B$9+FCFF!$I$9*(1+Inputs!$B$6)/(B7450-Inputs!$B$6)/(1+B7450)^7</f>
        <v>-1843.186303</v>
      </c>
    </row>
    <row r="7451" ht="14.25" customHeight="1">
      <c r="A7451" s="7">
        <v>7438.0</v>
      </c>
      <c r="B7451" s="14">
        <f t="shared" si="1"/>
        <v>0.1297994615</v>
      </c>
      <c r="C7451" s="39">
        <f t="array" ref="C7451">NPV(B7451,FCFF!$C$9:$I$9)+FCFF!$B$9+FCFF!$I$9*(1+Inputs!$B$6)/(B7451-Inputs!$B$6)/(1+B7451)^7</f>
        <v>-1969.710767</v>
      </c>
    </row>
    <row r="7452" ht="14.25" customHeight="1">
      <c r="A7452" s="7">
        <v>7439.0</v>
      </c>
      <c r="B7452" s="14">
        <f t="shared" si="1"/>
        <v>0.1207469844</v>
      </c>
      <c r="C7452" s="39">
        <f t="array" ref="C7452">NPV(B7452,FCFF!$C$9:$I$9)+FCFF!$B$9+FCFF!$I$9*(1+Inputs!$B$6)/(B7452-Inputs!$B$6)/(1+B7452)^7</f>
        <v>-1834.226012</v>
      </c>
    </row>
    <row r="7453" ht="14.25" customHeight="1">
      <c r="A7453" s="7">
        <v>7440.0</v>
      </c>
      <c r="B7453" s="14">
        <f t="shared" si="1"/>
        <v>0.1283334287</v>
      </c>
      <c r="C7453" s="39">
        <f t="array" ref="C7453">NPV(B7453,FCFF!$C$9:$I$9)+FCFF!$B$9+FCFF!$I$9*(1+Inputs!$B$6)/(B7453-Inputs!$B$6)/(1+B7453)^7</f>
        <v>-1949.586214</v>
      </c>
    </row>
    <row r="7454" ht="14.25" customHeight="1">
      <c r="A7454" s="7">
        <v>7441.0</v>
      </c>
      <c r="B7454" s="14">
        <f t="shared" si="1"/>
        <v>0.1217878708</v>
      </c>
      <c r="C7454" s="39">
        <f t="array" ref="C7454">NPV(B7454,FCFF!$C$9:$I$9)+FCFF!$B$9+FCFF!$I$9*(1+Inputs!$B$6)/(B7454-Inputs!$B$6)/(1+B7454)^7</f>
        <v>-1851.261023</v>
      </c>
    </row>
    <row r="7455" ht="14.25" customHeight="1">
      <c r="A7455" s="7">
        <v>7442.0</v>
      </c>
      <c r="B7455" s="14">
        <f t="shared" si="1"/>
        <v>0.1222982702</v>
      </c>
      <c r="C7455" s="39">
        <f t="array" ref="C7455">NPV(B7455,FCFF!$C$9:$I$9)+FCFF!$B$9+FCFF!$I$9*(1+Inputs!$B$6)/(B7455-Inputs!$B$6)/(1+B7455)^7</f>
        <v>-1859.464983</v>
      </c>
    </row>
    <row r="7456" ht="14.25" customHeight="1">
      <c r="A7456" s="7">
        <v>7443.0</v>
      </c>
      <c r="B7456" s="14">
        <f t="shared" si="1"/>
        <v>0.1194565786</v>
      </c>
      <c r="C7456" s="39">
        <f t="array" ref="C7456">NPV(B7456,FCFF!$C$9:$I$9)+FCFF!$B$9+FCFF!$I$9*(1+Inputs!$B$6)/(B7456-Inputs!$B$6)/(1+B7456)^7</f>
        <v>-1812.523253</v>
      </c>
    </row>
    <row r="7457" ht="14.25" customHeight="1">
      <c r="A7457" s="7">
        <v>7444.0</v>
      </c>
      <c r="B7457" s="14">
        <f t="shared" si="1"/>
        <v>0.1044405044</v>
      </c>
      <c r="C7457" s="39">
        <f t="array" ref="C7457">NPV(B7457,FCFF!$C$9:$I$9)+FCFF!$B$9+FCFF!$I$9*(1+Inputs!$B$6)/(B7457-Inputs!$B$6)/(1+B7457)^7</f>
        <v>-1501.844149</v>
      </c>
    </row>
    <row r="7458" ht="14.25" customHeight="1">
      <c r="A7458" s="7">
        <v>7445.0</v>
      </c>
      <c r="B7458" s="14">
        <f t="shared" si="1"/>
        <v>0.1090042177</v>
      </c>
      <c r="C7458" s="39">
        <f t="array" ref="C7458">NPV(B7458,FCFF!$C$9:$I$9)+FCFF!$B$9+FCFF!$I$9*(1+Inputs!$B$6)/(B7458-Inputs!$B$6)/(1+B7458)^7</f>
        <v>-1609.199594</v>
      </c>
    </row>
    <row r="7459" ht="14.25" customHeight="1">
      <c r="A7459" s="7">
        <v>7446.0</v>
      </c>
      <c r="B7459" s="14">
        <f t="shared" si="1"/>
        <v>0.1321690333</v>
      </c>
      <c r="C7459" s="39">
        <f t="array" ref="C7459">NPV(B7459,FCFF!$C$9:$I$9)+FCFF!$B$9+FCFF!$I$9*(1+Inputs!$B$6)/(B7459-Inputs!$B$6)/(1+B7459)^7</f>
        <v>-2000.915238</v>
      </c>
    </row>
    <row r="7460" ht="14.25" customHeight="1">
      <c r="A7460" s="7">
        <v>7447.0</v>
      </c>
      <c r="B7460" s="14">
        <f t="shared" si="1"/>
        <v>0.09717181473</v>
      </c>
      <c r="C7460" s="39">
        <f t="array" ref="C7460">NPV(B7460,FCFF!$C$9:$I$9)+FCFF!$B$9+FCFF!$I$9*(1+Inputs!$B$6)/(B7460-Inputs!$B$6)/(1+B7460)^7</f>
        <v>-1300.232078</v>
      </c>
    </row>
    <row r="7461" ht="14.25" customHeight="1">
      <c r="A7461" s="7">
        <v>7448.0</v>
      </c>
      <c r="B7461" s="14">
        <f t="shared" si="1"/>
        <v>0.1267661026</v>
      </c>
      <c r="C7461" s="39">
        <f t="array" ref="C7461">NPV(B7461,FCFF!$C$9:$I$9)+FCFF!$B$9+FCFF!$I$9*(1+Inputs!$B$6)/(B7461-Inputs!$B$6)/(1+B7461)^7</f>
        <v>-1927.341428</v>
      </c>
    </row>
    <row r="7462" ht="14.25" customHeight="1">
      <c r="A7462" s="7">
        <v>7449.0</v>
      </c>
      <c r="B7462" s="14">
        <f t="shared" si="1"/>
        <v>0.1005829255</v>
      </c>
      <c r="C7462" s="39">
        <f t="array" ref="C7462">NPV(B7462,FCFF!$C$9:$I$9)+FCFF!$B$9+FCFF!$I$9*(1+Inputs!$B$6)/(B7462-Inputs!$B$6)/(1+B7462)^7</f>
        <v>-1400.059998</v>
      </c>
    </row>
    <row r="7463" ht="14.25" customHeight="1">
      <c r="A7463" s="7">
        <v>7450.0</v>
      </c>
      <c r="B7463" s="14">
        <f t="shared" si="1"/>
        <v>0.1327330532</v>
      </c>
      <c r="C7463" s="39">
        <f t="array" ref="C7463">NPV(B7463,FCFF!$C$9:$I$9)+FCFF!$B$9+FCFF!$I$9*(1+Inputs!$B$6)/(B7463-Inputs!$B$6)/(1+B7463)^7</f>
        <v>-2008.111904</v>
      </c>
    </row>
    <row r="7464" ht="14.25" customHeight="1">
      <c r="A7464" s="7">
        <v>7451.0</v>
      </c>
      <c r="B7464" s="14">
        <f t="shared" si="1"/>
        <v>0.1220903198</v>
      </c>
      <c r="C7464" s="39">
        <f t="array" ref="C7464">NPV(B7464,FCFF!$C$9:$I$9)+FCFF!$B$9+FCFF!$I$9*(1+Inputs!$B$6)/(B7464-Inputs!$B$6)/(1+B7464)^7</f>
        <v>-1856.134151</v>
      </c>
    </row>
    <row r="7465" ht="14.25" customHeight="1">
      <c r="A7465" s="7">
        <v>7452.0</v>
      </c>
      <c r="B7465" s="14">
        <f t="shared" si="1"/>
        <v>0.09351114141</v>
      </c>
      <c r="C7465" s="39">
        <f t="array" ref="C7465">NPV(B7465,FCFF!$C$9:$I$9)+FCFF!$B$9+FCFF!$I$9*(1+Inputs!$B$6)/(B7465-Inputs!$B$6)/(1+B7465)^7</f>
        <v>-1181.189498</v>
      </c>
    </row>
    <row r="7466" ht="14.25" customHeight="1">
      <c r="A7466" s="7">
        <v>7453.0</v>
      </c>
      <c r="B7466" s="14">
        <f t="shared" si="1"/>
        <v>0.1254284395</v>
      </c>
      <c r="C7466" s="39">
        <f t="array" ref="C7466">NPV(B7466,FCFF!$C$9:$I$9)+FCFF!$B$9+FCFF!$I$9*(1+Inputs!$B$6)/(B7466-Inputs!$B$6)/(1+B7466)^7</f>
        <v>-1907.733187</v>
      </c>
    </row>
    <row r="7467" ht="14.25" customHeight="1">
      <c r="A7467" s="7">
        <v>7454.0</v>
      </c>
      <c r="B7467" s="14">
        <f t="shared" si="1"/>
        <v>0.1208218856</v>
      </c>
      <c r="C7467" s="39">
        <f t="array" ref="C7467">NPV(B7467,FCFF!$C$9:$I$9)+FCFF!$B$9+FCFF!$I$9*(1+Inputs!$B$6)/(B7467-Inputs!$B$6)/(1+B7467)^7</f>
        <v>-1835.46568</v>
      </c>
    </row>
    <row r="7468" ht="14.25" customHeight="1">
      <c r="A7468" s="7">
        <v>7455.0</v>
      </c>
      <c r="B7468" s="14">
        <f t="shared" si="1"/>
        <v>0.1046654262</v>
      </c>
      <c r="C7468" s="39">
        <f t="array" ref="C7468">NPV(B7468,FCFF!$C$9:$I$9)+FCFF!$B$9+FCFF!$I$9*(1+Inputs!$B$6)/(B7468-Inputs!$B$6)/(1+B7468)^7</f>
        <v>-1507.449578</v>
      </c>
    </row>
    <row r="7469" ht="14.25" customHeight="1">
      <c r="A7469" s="7">
        <v>7456.0</v>
      </c>
      <c r="B7469" s="14">
        <f t="shared" si="1"/>
        <v>0.1136221743</v>
      </c>
      <c r="C7469" s="39">
        <f t="array" ref="C7469">NPV(B7469,FCFF!$C$9:$I$9)+FCFF!$B$9+FCFF!$I$9*(1+Inputs!$B$6)/(B7469-Inputs!$B$6)/(1+B7469)^7</f>
        <v>-1705.567302</v>
      </c>
    </row>
    <row r="7470" ht="14.25" customHeight="1">
      <c r="A7470" s="7">
        <v>7457.0</v>
      </c>
      <c r="B7470" s="14">
        <f t="shared" si="1"/>
        <v>0.09573176446</v>
      </c>
      <c r="C7470" s="39">
        <f t="array" ref="C7470">NPV(B7470,FCFF!$C$9:$I$9)+FCFF!$B$9+FCFF!$I$9*(1+Inputs!$B$6)/(B7470-Inputs!$B$6)/(1+B7470)^7</f>
        <v>-1254.975835</v>
      </c>
    </row>
    <row r="7471" ht="14.25" customHeight="1">
      <c r="A7471" s="7">
        <v>7458.0</v>
      </c>
      <c r="B7471" s="14">
        <f t="shared" si="1"/>
        <v>0.09998700943</v>
      </c>
      <c r="C7471" s="39">
        <f t="array" ref="C7471">NPV(B7471,FCFF!$C$9:$I$9)+FCFF!$B$9+FCFF!$I$9*(1+Inputs!$B$6)/(B7471-Inputs!$B$6)/(1+B7471)^7</f>
        <v>-1383.324814</v>
      </c>
    </row>
    <row r="7472" ht="14.25" customHeight="1">
      <c r="A7472" s="7">
        <v>7459.0</v>
      </c>
      <c r="B7472" s="14">
        <f t="shared" si="1"/>
        <v>0.1088597421</v>
      </c>
      <c r="C7472" s="39">
        <f t="array" ref="C7472">NPV(B7472,FCFF!$C$9:$I$9)+FCFF!$B$9+FCFF!$I$9*(1+Inputs!$B$6)/(B7472-Inputs!$B$6)/(1+B7472)^7</f>
        <v>-1605.996294</v>
      </c>
    </row>
    <row r="7473" ht="14.25" customHeight="1">
      <c r="A7473" s="7">
        <v>7460.0</v>
      </c>
      <c r="B7473" s="14">
        <f t="shared" si="1"/>
        <v>0.1150626412</v>
      </c>
      <c r="C7473" s="39">
        <f t="array" ref="C7473">NPV(B7473,FCFF!$C$9:$I$9)+FCFF!$B$9+FCFF!$I$9*(1+Inputs!$B$6)/(B7473-Inputs!$B$6)/(1+B7473)^7</f>
        <v>-1733.404626</v>
      </c>
    </row>
    <row r="7474" ht="14.25" customHeight="1">
      <c r="A7474" s="7">
        <v>7461.0</v>
      </c>
      <c r="B7474" s="14">
        <f t="shared" si="1"/>
        <v>0.1073568172</v>
      </c>
      <c r="C7474" s="39">
        <f t="array" ref="C7474">NPV(B7474,FCFF!$C$9:$I$9)+FCFF!$B$9+FCFF!$I$9*(1+Inputs!$B$6)/(B7474-Inputs!$B$6)/(1+B7474)^7</f>
        <v>-1571.943385</v>
      </c>
    </row>
    <row r="7475" ht="14.25" customHeight="1">
      <c r="A7475" s="7">
        <v>7462.0</v>
      </c>
      <c r="B7475" s="14">
        <f t="shared" si="1"/>
        <v>0.1276452228</v>
      </c>
      <c r="C7475" s="39">
        <f t="array" ref="C7475">NPV(B7475,FCFF!$C$9:$I$9)+FCFF!$B$9+FCFF!$I$9*(1+Inputs!$B$6)/(B7475-Inputs!$B$6)/(1+B7475)^7</f>
        <v>-1939.913489</v>
      </c>
    </row>
    <row r="7476" ht="14.25" customHeight="1">
      <c r="A7476" s="7">
        <v>7463.0</v>
      </c>
      <c r="B7476" s="14">
        <f t="shared" si="1"/>
        <v>0.1321394514</v>
      </c>
      <c r="C7476" s="39">
        <f t="array" ref="C7476">NPV(B7476,FCFF!$C$9:$I$9)+FCFF!$B$9+FCFF!$I$9*(1+Inputs!$B$6)/(B7476-Inputs!$B$6)/(1+B7476)^7</f>
        <v>-2000.53539</v>
      </c>
    </row>
    <row r="7477" ht="14.25" customHeight="1">
      <c r="A7477" s="7">
        <v>7464.0</v>
      </c>
      <c r="B7477" s="14">
        <f t="shared" si="1"/>
        <v>0.1271303297</v>
      </c>
      <c r="C7477" s="39">
        <f t="array" ref="C7477">NPV(B7477,FCFF!$C$9:$I$9)+FCFF!$B$9+FCFF!$I$9*(1+Inputs!$B$6)/(B7477-Inputs!$B$6)/(1+B7477)^7</f>
        <v>-1932.579899</v>
      </c>
    </row>
    <row r="7478" ht="14.25" customHeight="1">
      <c r="A7478" s="7">
        <v>7465.0</v>
      </c>
      <c r="B7478" s="14">
        <f t="shared" si="1"/>
        <v>0.1133797509</v>
      </c>
      <c r="C7478" s="39">
        <f t="array" ref="C7478">NPV(B7478,FCFF!$C$9:$I$9)+FCFF!$B$9+FCFF!$I$9*(1+Inputs!$B$6)/(B7478-Inputs!$B$6)/(1+B7478)^7</f>
        <v>-1700.783745</v>
      </c>
    </row>
    <row r="7479" ht="14.25" customHeight="1">
      <c r="A7479" s="7">
        <v>7466.0</v>
      </c>
      <c r="B7479" s="14">
        <f t="shared" si="1"/>
        <v>0.09486706029</v>
      </c>
      <c r="C7479" s="39">
        <f t="array" ref="C7479">NPV(B7479,FCFF!$C$9:$I$9)+FCFF!$B$9+FCFF!$I$9*(1+Inputs!$B$6)/(B7479-Inputs!$B$6)/(1+B7479)^7</f>
        <v>-1226.839657</v>
      </c>
    </row>
    <row r="7480" ht="14.25" customHeight="1">
      <c r="A7480" s="7">
        <v>7467.0</v>
      </c>
      <c r="B7480" s="14">
        <f t="shared" si="1"/>
        <v>0.0990982715</v>
      </c>
      <c r="C7480" s="39">
        <f t="array" ref="C7480">NPV(B7480,FCFF!$C$9:$I$9)+FCFF!$B$9+FCFF!$I$9*(1+Inputs!$B$6)/(B7480-Inputs!$B$6)/(1+B7480)^7</f>
        <v>-1357.826648</v>
      </c>
    </row>
    <row r="7481" ht="14.25" customHeight="1">
      <c r="A7481" s="7">
        <v>7468.0</v>
      </c>
      <c r="B7481" s="14">
        <f t="shared" si="1"/>
        <v>0.1257822345</v>
      </c>
      <c r="C7481" s="39">
        <f t="array" ref="C7481">NPV(B7481,FCFF!$C$9:$I$9)+FCFF!$B$9+FCFF!$I$9*(1+Inputs!$B$6)/(B7481-Inputs!$B$6)/(1+B7481)^7</f>
        <v>-1912.976571</v>
      </c>
    </row>
    <row r="7482" ht="14.25" customHeight="1">
      <c r="A7482" s="7">
        <v>7469.0</v>
      </c>
      <c r="B7482" s="14">
        <f t="shared" si="1"/>
        <v>0.1323303083</v>
      </c>
      <c r="C7482" s="39">
        <f t="array" ref="C7482">NPV(B7482,FCFF!$C$9:$I$9)+FCFF!$B$9+FCFF!$I$9*(1+Inputs!$B$6)/(B7482-Inputs!$B$6)/(1+B7482)^7</f>
        <v>-2002.981884</v>
      </c>
    </row>
    <row r="7483" ht="14.25" customHeight="1">
      <c r="A7483" s="7">
        <v>7470.0</v>
      </c>
      <c r="B7483" s="14">
        <f t="shared" si="1"/>
        <v>0.1270858081</v>
      </c>
      <c r="C7483" s="39">
        <f t="array" ref="C7483">NPV(B7483,FCFF!$C$9:$I$9)+FCFF!$B$9+FCFF!$I$9*(1+Inputs!$B$6)/(B7483-Inputs!$B$6)/(1+B7483)^7</f>
        <v>-1931.941842</v>
      </c>
    </row>
    <row r="7484" ht="14.25" customHeight="1">
      <c r="A7484" s="7">
        <v>7471.0</v>
      </c>
      <c r="B7484" s="14">
        <f t="shared" si="1"/>
        <v>0.1284827664</v>
      </c>
      <c r="C7484" s="39">
        <f t="array" ref="C7484">NPV(B7484,FCFF!$C$9:$I$9)+FCFF!$B$9+FCFF!$I$9*(1+Inputs!$B$6)/(B7484-Inputs!$B$6)/(1+B7484)^7</f>
        <v>-1951.665876</v>
      </c>
    </row>
    <row r="7485" ht="14.25" customHeight="1">
      <c r="A7485" s="7">
        <v>7472.0</v>
      </c>
      <c r="B7485" s="14">
        <f t="shared" si="1"/>
        <v>0.09362329485</v>
      </c>
      <c r="C7485" s="39">
        <f t="array" ref="C7485">NPV(B7485,FCFF!$C$9:$I$9)+FCFF!$B$9+FCFF!$I$9*(1+Inputs!$B$6)/(B7485-Inputs!$B$6)/(1+B7485)^7</f>
        <v>-1185.038511</v>
      </c>
    </row>
    <row r="7486" ht="14.25" customHeight="1">
      <c r="A7486" s="7">
        <v>7473.0</v>
      </c>
      <c r="B7486" s="14">
        <f t="shared" si="1"/>
        <v>0.0956920941</v>
      </c>
      <c r="C7486" s="39">
        <f t="array" ref="C7486">NPV(B7486,FCFF!$C$9:$I$9)+FCFF!$B$9+FCFF!$I$9*(1+Inputs!$B$6)/(B7486-Inputs!$B$6)/(1+B7486)^7</f>
        <v>-1253.701141</v>
      </c>
    </row>
    <row r="7487" ht="14.25" customHeight="1">
      <c r="A7487" s="7">
        <v>7474.0</v>
      </c>
      <c r="B7487" s="14">
        <f t="shared" si="1"/>
        <v>0.1298250187</v>
      </c>
      <c r="C7487" s="39">
        <f t="array" ref="C7487">NPV(B7487,FCFF!$C$9:$I$9)+FCFF!$B$9+FCFF!$I$9*(1+Inputs!$B$6)/(B7487-Inputs!$B$6)/(1+B7487)^7</f>
        <v>-1970.05592</v>
      </c>
    </row>
    <row r="7488" ht="14.25" customHeight="1">
      <c r="A7488" s="7">
        <v>7475.0</v>
      </c>
      <c r="B7488" s="14">
        <f t="shared" si="1"/>
        <v>0.1145235951</v>
      </c>
      <c r="C7488" s="39">
        <f t="array" ref="C7488">NPV(B7488,FCFF!$C$9:$I$9)+FCFF!$B$9+FCFF!$I$9*(1+Inputs!$B$6)/(B7488-Inputs!$B$6)/(1+B7488)^7</f>
        <v>-1723.103444</v>
      </c>
    </row>
    <row r="7489" ht="14.25" customHeight="1">
      <c r="A7489" s="7">
        <v>7476.0</v>
      </c>
      <c r="B7489" s="14">
        <f t="shared" si="1"/>
        <v>0.1051608399</v>
      </c>
      <c r="C7489" s="39">
        <f t="array" ref="C7489">NPV(B7489,FCFF!$C$9:$I$9)+FCFF!$B$9+FCFF!$I$9*(1+Inputs!$B$6)/(B7489-Inputs!$B$6)/(1+B7489)^7</f>
        <v>-1519.675554</v>
      </c>
    </row>
    <row r="7490" ht="14.25" customHeight="1">
      <c r="A7490" s="7">
        <v>7477.0</v>
      </c>
      <c r="B7490" s="14">
        <f t="shared" si="1"/>
        <v>0.1084764652</v>
      </c>
      <c r="C7490" s="39">
        <f t="array" ref="C7490">NPV(B7490,FCFF!$C$9:$I$9)+FCFF!$B$9+FCFF!$I$9*(1+Inputs!$B$6)/(B7490-Inputs!$B$6)/(1+B7490)^7</f>
        <v>-1597.439467</v>
      </c>
    </row>
    <row r="7491" ht="14.25" customHeight="1">
      <c r="A7491" s="7">
        <v>7478.0</v>
      </c>
      <c r="B7491" s="14">
        <f t="shared" si="1"/>
        <v>0.0956127438</v>
      </c>
      <c r="C7491" s="39">
        <f t="array" ref="C7491">NPV(B7491,FCFF!$C$9:$I$9)+FCFF!$B$9+FCFF!$I$9*(1+Inputs!$B$6)/(B7491-Inputs!$B$6)/(1+B7491)^7</f>
        <v>-1251.146843</v>
      </c>
    </row>
    <row r="7492" ht="14.25" customHeight="1">
      <c r="A7492" s="7">
        <v>7479.0</v>
      </c>
      <c r="B7492" s="14">
        <f t="shared" si="1"/>
        <v>0.1108600181</v>
      </c>
      <c r="C7492" s="39">
        <f t="array" ref="C7492">NPV(B7492,FCFF!$C$9:$I$9)+FCFF!$B$9+FCFF!$I$9*(1+Inputs!$B$6)/(B7492-Inputs!$B$6)/(1+B7492)^7</f>
        <v>-1649.296767</v>
      </c>
    </row>
    <row r="7493" ht="14.25" customHeight="1">
      <c r="A7493" s="7">
        <v>7480.0</v>
      </c>
      <c r="B7493" s="14">
        <f t="shared" si="1"/>
        <v>0.1231218297</v>
      </c>
      <c r="C7493" s="39">
        <f t="array" ref="C7493">NPV(B7493,FCFF!$C$9:$I$9)+FCFF!$B$9+FCFF!$I$9*(1+Inputs!$B$6)/(B7493-Inputs!$B$6)/(1+B7493)^7</f>
        <v>-1872.500689</v>
      </c>
    </row>
    <row r="7494" ht="14.25" customHeight="1">
      <c r="A7494" s="7">
        <v>7481.0</v>
      </c>
      <c r="B7494" s="14">
        <f t="shared" si="1"/>
        <v>0.132192543</v>
      </c>
      <c r="C7494" s="39">
        <f t="array" ref="C7494">NPV(B7494,FCFF!$C$9:$I$9)+FCFF!$B$9+FCFF!$I$9*(1+Inputs!$B$6)/(B7494-Inputs!$B$6)/(1+B7494)^7</f>
        <v>-2001.216944</v>
      </c>
    </row>
    <row r="7495" ht="14.25" customHeight="1">
      <c r="A7495" s="7">
        <v>7482.0</v>
      </c>
      <c r="B7495" s="14">
        <f t="shared" si="1"/>
        <v>0.09657099954</v>
      </c>
      <c r="C7495" s="39">
        <f t="array" ref="C7495">NPV(B7495,FCFF!$C$9:$I$9)+FCFF!$B$9+FCFF!$I$9*(1+Inputs!$B$6)/(B7495-Inputs!$B$6)/(1+B7495)^7</f>
        <v>-1281.58771</v>
      </c>
    </row>
    <row r="7496" ht="14.25" customHeight="1">
      <c r="A7496" s="7">
        <v>7483.0</v>
      </c>
      <c r="B7496" s="14">
        <f t="shared" si="1"/>
        <v>0.1189778417</v>
      </c>
      <c r="C7496" s="39">
        <f t="array" ref="C7496">NPV(B7496,FCFF!$C$9:$I$9)+FCFF!$B$9+FCFF!$I$9*(1+Inputs!$B$6)/(B7496-Inputs!$B$6)/(1+B7496)^7</f>
        <v>-1804.302121</v>
      </c>
    </row>
    <row r="7497" ht="14.25" customHeight="1">
      <c r="A7497" s="7">
        <v>7484.0</v>
      </c>
      <c r="B7497" s="14">
        <f t="shared" si="1"/>
        <v>0.1030753541</v>
      </c>
      <c r="C7497" s="39">
        <f t="array" ref="C7497">NPV(B7497,FCFF!$C$9:$I$9)+FCFF!$B$9+FCFF!$I$9*(1+Inputs!$B$6)/(B7497-Inputs!$B$6)/(1+B7497)^7</f>
        <v>-1467.06912</v>
      </c>
    </row>
    <row r="7498" ht="14.25" customHeight="1">
      <c r="A7498" s="7">
        <v>7485.0</v>
      </c>
      <c r="B7498" s="14">
        <f t="shared" si="1"/>
        <v>0.1012936811</v>
      </c>
      <c r="C7498" s="39">
        <f t="array" ref="C7498">NPV(B7498,FCFF!$C$9:$I$9)+FCFF!$B$9+FCFF!$I$9*(1+Inputs!$B$6)/(B7498-Inputs!$B$6)/(1+B7498)^7</f>
        <v>-1419.651455</v>
      </c>
    </row>
    <row r="7499" ht="14.25" customHeight="1">
      <c r="A7499" s="7">
        <v>7486.0</v>
      </c>
      <c r="B7499" s="14">
        <f t="shared" si="1"/>
        <v>0.1317393227</v>
      </c>
      <c r="C7499" s="39">
        <f t="array" ref="C7499">NPV(B7499,FCFF!$C$9:$I$9)+FCFF!$B$9+FCFF!$I$9*(1+Inputs!$B$6)/(B7499-Inputs!$B$6)/(1+B7499)^7</f>
        <v>-1995.373845</v>
      </c>
    </row>
    <row r="7500" ht="14.25" customHeight="1">
      <c r="A7500" s="7">
        <v>7487.0</v>
      </c>
      <c r="B7500" s="14">
        <f t="shared" si="1"/>
        <v>0.1029637762</v>
      </c>
      <c r="C7500" s="39">
        <f t="array" ref="C7500">NPV(B7500,FCFF!$C$9:$I$9)+FCFF!$B$9+FCFF!$I$9*(1+Inputs!$B$6)/(B7500-Inputs!$B$6)/(1+B7500)^7</f>
        <v>-1464.168417</v>
      </c>
    </row>
    <row r="7501" ht="14.25" customHeight="1">
      <c r="A7501" s="7">
        <v>7488.0</v>
      </c>
      <c r="B7501" s="14">
        <f t="shared" si="1"/>
        <v>0.1112981139</v>
      </c>
      <c r="C7501" s="39">
        <f t="array" ref="C7501">NPV(B7501,FCFF!$C$9:$I$9)+FCFF!$B$9+FCFF!$I$9*(1+Inputs!$B$6)/(B7501-Inputs!$B$6)/(1+B7501)^7</f>
        <v>-1658.486465</v>
      </c>
    </row>
    <row r="7502" ht="14.25" customHeight="1">
      <c r="A7502" s="7">
        <v>7489.0</v>
      </c>
      <c r="B7502" s="14">
        <f t="shared" si="1"/>
        <v>0.1321885048</v>
      </c>
      <c r="C7502" s="39">
        <f t="array" ref="C7502">NPV(B7502,FCFF!$C$9:$I$9)+FCFF!$B$9+FCFF!$I$9*(1+Inputs!$B$6)/(B7502-Inputs!$B$6)/(1+B7502)^7</f>
        <v>-2001.165132</v>
      </c>
    </row>
    <row r="7503" ht="14.25" customHeight="1">
      <c r="A7503" s="7">
        <v>7490.0</v>
      </c>
      <c r="B7503" s="14">
        <f t="shared" si="1"/>
        <v>0.09901153721</v>
      </c>
      <c r="C7503" s="39">
        <f t="array" ref="C7503">NPV(B7503,FCFF!$C$9:$I$9)+FCFF!$B$9+FCFF!$I$9*(1+Inputs!$B$6)/(B7503-Inputs!$B$6)/(1+B7503)^7</f>
        <v>-1355.30287</v>
      </c>
    </row>
    <row r="7504" ht="14.25" customHeight="1">
      <c r="A7504" s="7">
        <v>7491.0</v>
      </c>
      <c r="B7504" s="14">
        <f t="shared" si="1"/>
        <v>0.09851199957</v>
      </c>
      <c r="C7504" s="39">
        <f t="array" ref="C7504">NPV(B7504,FCFF!$C$9:$I$9)+FCFF!$B$9+FCFF!$I$9*(1+Inputs!$B$6)/(B7504-Inputs!$B$6)/(1+B7504)^7</f>
        <v>-1340.642596</v>
      </c>
    </row>
    <row r="7505" ht="14.25" customHeight="1">
      <c r="A7505" s="7">
        <v>7492.0</v>
      </c>
      <c r="B7505" s="14">
        <f t="shared" si="1"/>
        <v>0.1047659479</v>
      </c>
      <c r="C7505" s="39">
        <f t="array" ref="C7505">NPV(B7505,FCFF!$C$9:$I$9)+FCFF!$B$9+FCFF!$I$9*(1+Inputs!$B$6)/(B7505-Inputs!$B$6)/(1+B7505)^7</f>
        <v>-1509.94364</v>
      </c>
    </row>
    <row r="7506" ht="14.25" customHeight="1">
      <c r="A7506" s="7">
        <v>7493.0</v>
      </c>
      <c r="B7506" s="14">
        <f t="shared" si="1"/>
        <v>0.09816249226</v>
      </c>
      <c r="C7506" s="39">
        <f t="array" ref="C7506">NPV(B7506,FCFF!$C$9:$I$9)+FCFF!$B$9+FCFF!$I$9*(1+Inputs!$B$6)/(B7506-Inputs!$B$6)/(1+B7506)^7</f>
        <v>-1330.257252</v>
      </c>
    </row>
    <row r="7507" ht="14.25" customHeight="1">
      <c r="A7507" s="7">
        <v>7494.0</v>
      </c>
      <c r="B7507" s="14">
        <f t="shared" si="1"/>
        <v>0.118635226</v>
      </c>
      <c r="C7507" s="39">
        <f t="array" ref="C7507">NPV(B7507,FCFF!$C$9:$I$9)+FCFF!$B$9+FCFF!$I$9*(1+Inputs!$B$6)/(B7507-Inputs!$B$6)/(1+B7507)^7</f>
        <v>-1798.360936</v>
      </c>
    </row>
    <row r="7508" ht="14.25" customHeight="1">
      <c r="A7508" s="7">
        <v>7495.0</v>
      </c>
      <c r="B7508" s="14">
        <f t="shared" si="1"/>
        <v>0.1165015312</v>
      </c>
      <c r="C7508" s="39">
        <f t="array" ref="C7508">NPV(B7508,FCFF!$C$9:$I$9)+FCFF!$B$9+FCFF!$I$9*(1+Inputs!$B$6)/(B7508-Inputs!$B$6)/(1+B7508)^7</f>
        <v>-1760.244164</v>
      </c>
    </row>
    <row r="7509" ht="14.25" customHeight="1">
      <c r="A7509" s="7">
        <v>7496.0</v>
      </c>
      <c r="B7509" s="14">
        <f t="shared" si="1"/>
        <v>0.122349776</v>
      </c>
      <c r="C7509" s="39">
        <f t="array" ref="C7509">NPV(B7509,FCFF!$C$9:$I$9)+FCFF!$B$9+FCFF!$I$9*(1+Inputs!$B$6)/(B7509-Inputs!$B$6)/(1+B7509)^7</f>
        <v>-1860.287506</v>
      </c>
    </row>
    <row r="7510" ht="14.25" customHeight="1">
      <c r="A7510" s="7">
        <v>7497.0</v>
      </c>
      <c r="B7510" s="14">
        <f t="shared" si="1"/>
        <v>0.1040638357</v>
      </c>
      <c r="C7510" s="39">
        <f t="array" ref="C7510">NPV(B7510,FCFF!$C$9:$I$9)+FCFF!$B$9+FCFF!$I$9*(1+Inputs!$B$6)/(B7510-Inputs!$B$6)/(1+B7510)^7</f>
        <v>-1492.379301</v>
      </c>
    </row>
    <row r="7511" ht="14.25" customHeight="1">
      <c r="A7511" s="7">
        <v>7498.0</v>
      </c>
      <c r="B7511" s="14">
        <f t="shared" si="1"/>
        <v>0.1285436603</v>
      </c>
      <c r="C7511" s="39">
        <f t="array" ref="C7511">NPV(B7511,FCFF!$C$9:$I$9)+FCFF!$B$9+FCFF!$I$9*(1+Inputs!$B$6)/(B7511-Inputs!$B$6)/(1+B7511)^7</f>
        <v>-1952.511922</v>
      </c>
    </row>
    <row r="7512" ht="14.25" customHeight="1">
      <c r="A7512" s="7">
        <v>7499.0</v>
      </c>
      <c r="B7512" s="14">
        <f t="shared" si="1"/>
        <v>0.1200958256</v>
      </c>
      <c r="C7512" s="39">
        <f t="array" ref="C7512">NPV(B7512,FCFF!$C$9:$I$9)+FCFF!$B$9+FCFF!$I$9*(1+Inputs!$B$6)/(B7512-Inputs!$B$6)/(1+B7512)^7</f>
        <v>-1823.356754</v>
      </c>
    </row>
    <row r="7513" ht="14.25" customHeight="1">
      <c r="A7513" s="7">
        <v>7500.0</v>
      </c>
      <c r="B7513" s="14">
        <f t="shared" si="1"/>
        <v>0.1327396401</v>
      </c>
      <c r="C7513" s="39">
        <f t="array" ref="C7513">NPV(B7513,FCFF!$C$9:$I$9)+FCFF!$B$9+FCFF!$I$9*(1+Inputs!$B$6)/(B7513-Inputs!$B$6)/(1+B7513)^7</f>
        <v>-2008.195441</v>
      </c>
    </row>
    <row r="7514" ht="14.25" customHeight="1">
      <c r="A7514" s="7">
        <v>7501.0</v>
      </c>
      <c r="B7514" s="14">
        <f t="shared" si="1"/>
        <v>0.1013651744</v>
      </c>
      <c r="C7514" s="39">
        <f t="array" ref="C7514">NPV(B7514,FCFF!$C$9:$I$9)+FCFF!$B$9+FCFF!$I$9*(1+Inputs!$B$6)/(B7514-Inputs!$B$6)/(1+B7514)^7</f>
        <v>-1421.600313</v>
      </c>
    </row>
    <row r="7515" ht="14.25" customHeight="1">
      <c r="A7515" s="7">
        <v>7502.0</v>
      </c>
      <c r="B7515" s="14">
        <f t="shared" si="1"/>
        <v>0.1013602893</v>
      </c>
      <c r="C7515" s="39">
        <f t="array" ref="C7515">NPV(B7515,FCFF!$C$9:$I$9)+FCFF!$B$9+FCFF!$I$9*(1+Inputs!$B$6)/(B7515-Inputs!$B$6)/(1+B7515)^7</f>
        <v>-1421.467275</v>
      </c>
    </row>
    <row r="7516" ht="14.25" customHeight="1">
      <c r="A7516" s="7">
        <v>7503.0</v>
      </c>
      <c r="B7516" s="14">
        <f t="shared" si="1"/>
        <v>0.1191988221</v>
      </c>
      <c r="C7516" s="39">
        <f t="array" ref="C7516">NPV(B7516,FCFF!$C$9:$I$9)+FCFF!$B$9+FCFF!$I$9*(1+Inputs!$B$6)/(B7516-Inputs!$B$6)/(1+B7516)^7</f>
        <v>-1808.108505</v>
      </c>
    </row>
    <row r="7517" ht="14.25" customHeight="1">
      <c r="A7517" s="7">
        <v>7504.0</v>
      </c>
      <c r="B7517" s="14">
        <f t="shared" si="1"/>
        <v>0.1173158249</v>
      </c>
      <c r="C7517" s="39">
        <f t="array" ref="C7517">NPV(B7517,FCFF!$C$9:$I$9)+FCFF!$B$9+FCFF!$I$9*(1+Inputs!$B$6)/(B7517-Inputs!$B$6)/(1+B7517)^7</f>
        <v>-1775.022185</v>
      </c>
    </row>
    <row r="7518" ht="14.25" customHeight="1">
      <c r="A7518" s="7">
        <v>7505.0</v>
      </c>
      <c r="B7518" s="14">
        <f t="shared" si="1"/>
        <v>0.1172205635</v>
      </c>
      <c r="C7518" s="39">
        <f t="array" ref="C7518">NPV(B7518,FCFF!$C$9:$I$9)+FCFF!$B$9+FCFF!$I$9*(1+Inputs!$B$6)/(B7518-Inputs!$B$6)/(1+B7518)^7</f>
        <v>-1773.308331</v>
      </c>
    </row>
    <row r="7519" ht="14.25" customHeight="1">
      <c r="A7519" s="7">
        <v>7506.0</v>
      </c>
      <c r="B7519" s="14">
        <f t="shared" si="1"/>
        <v>0.1187361755</v>
      </c>
      <c r="C7519" s="39">
        <f t="array" ref="C7519">NPV(B7519,FCFF!$C$9:$I$9)+FCFF!$B$9+FCFF!$I$9*(1+Inputs!$B$6)/(B7519-Inputs!$B$6)/(1+B7519)^7</f>
        <v>-1800.116501</v>
      </c>
    </row>
    <row r="7520" ht="14.25" customHeight="1">
      <c r="A7520" s="7">
        <v>7507.0</v>
      </c>
      <c r="B7520" s="14">
        <f t="shared" si="1"/>
        <v>0.09723448943</v>
      </c>
      <c r="C7520" s="39">
        <f t="array" ref="C7520">NPV(B7520,FCFF!$C$9:$I$9)+FCFF!$B$9+FCFF!$I$9*(1+Inputs!$B$6)/(B7520-Inputs!$B$6)/(1+B7520)^7</f>
        <v>-1302.157821</v>
      </c>
    </row>
    <row r="7521" ht="14.25" customHeight="1">
      <c r="A7521" s="7">
        <v>7508.0</v>
      </c>
      <c r="B7521" s="14">
        <f t="shared" si="1"/>
        <v>0.09513139174</v>
      </c>
      <c r="C7521" s="39">
        <f t="array" ref="C7521">NPV(B7521,FCFF!$C$9:$I$9)+FCFF!$B$9+FCFF!$I$9*(1+Inputs!$B$6)/(B7521-Inputs!$B$6)/(1+B7521)^7</f>
        <v>-1235.519398</v>
      </c>
    </row>
    <row r="7522" ht="14.25" customHeight="1">
      <c r="A7522" s="7">
        <v>7509.0</v>
      </c>
      <c r="B7522" s="14">
        <f t="shared" si="1"/>
        <v>0.1303948967</v>
      </c>
      <c r="C7522" s="39">
        <f t="array" ref="C7522">NPV(B7522,FCFF!$C$9:$I$9)+FCFF!$B$9+FCFF!$I$9*(1+Inputs!$B$6)/(B7522-Inputs!$B$6)/(1+B7522)^7</f>
        <v>-1977.702659</v>
      </c>
    </row>
    <row r="7523" ht="14.25" customHeight="1">
      <c r="A7523" s="7">
        <v>7510.0</v>
      </c>
      <c r="B7523" s="14">
        <f t="shared" si="1"/>
        <v>0.1207511098</v>
      </c>
      <c r="C7523" s="39">
        <f t="array" ref="C7523">NPV(B7523,FCFF!$C$9:$I$9)+FCFF!$B$9+FCFF!$I$9*(1+Inputs!$B$6)/(B7523-Inputs!$B$6)/(1+B7523)^7</f>
        <v>-1834.294346</v>
      </c>
    </row>
    <row r="7524" ht="14.25" customHeight="1">
      <c r="A7524" s="7">
        <v>7511.0</v>
      </c>
      <c r="B7524" s="14">
        <f t="shared" si="1"/>
        <v>0.102599715</v>
      </c>
      <c r="C7524" s="39">
        <f t="array" ref="C7524">NPV(B7524,FCFF!$C$9:$I$9)+FCFF!$B$9+FCFF!$I$9*(1+Inputs!$B$6)/(B7524-Inputs!$B$6)/(1+B7524)^7</f>
        <v>-1454.64099</v>
      </c>
    </row>
    <row r="7525" ht="14.25" customHeight="1">
      <c r="A7525" s="7">
        <v>7512.0</v>
      </c>
      <c r="B7525" s="14">
        <f t="shared" si="1"/>
        <v>0.1223657129</v>
      </c>
      <c r="C7525" s="39">
        <f t="array" ref="C7525">NPV(B7525,FCFF!$C$9:$I$9)+FCFF!$B$9+FCFF!$I$9*(1+Inputs!$B$6)/(B7525-Inputs!$B$6)/(1+B7525)^7</f>
        <v>-1860.541812</v>
      </c>
    </row>
    <row r="7526" ht="14.25" customHeight="1">
      <c r="A7526" s="7">
        <v>7513.0</v>
      </c>
      <c r="B7526" s="14">
        <f t="shared" si="1"/>
        <v>0.1124507781</v>
      </c>
      <c r="C7526" s="39">
        <f t="array" ref="C7526">NPV(B7526,FCFF!$C$9:$I$9)+FCFF!$B$9+FCFF!$I$9*(1+Inputs!$B$6)/(B7526-Inputs!$B$6)/(1+B7526)^7</f>
        <v>-1682.181862</v>
      </c>
    </row>
    <row r="7527" ht="14.25" customHeight="1">
      <c r="A7527" s="7">
        <v>7514.0</v>
      </c>
      <c r="B7527" s="14">
        <f t="shared" si="1"/>
        <v>0.1064294055</v>
      </c>
      <c r="C7527" s="39">
        <f t="array" ref="C7527">NPV(B7527,FCFF!$C$9:$I$9)+FCFF!$B$9+FCFF!$I$9*(1+Inputs!$B$6)/(B7527-Inputs!$B$6)/(1+B7527)^7</f>
        <v>-1550.244301</v>
      </c>
    </row>
    <row r="7528" ht="14.25" customHeight="1">
      <c r="A7528" s="7">
        <v>7515.0</v>
      </c>
      <c r="B7528" s="14">
        <f t="shared" si="1"/>
        <v>0.1207732109</v>
      </c>
      <c r="C7528" s="39">
        <f t="array" ref="C7528">NPV(B7528,FCFF!$C$9:$I$9)+FCFF!$B$9+FCFF!$I$9*(1+Inputs!$B$6)/(B7528-Inputs!$B$6)/(1+B7528)^7</f>
        <v>-1834.660325</v>
      </c>
    </row>
    <row r="7529" ht="14.25" customHeight="1">
      <c r="A7529" s="7">
        <v>7516.0</v>
      </c>
      <c r="B7529" s="14">
        <f t="shared" si="1"/>
        <v>0.1000539642</v>
      </c>
      <c r="C7529" s="39">
        <f t="array" ref="C7529">NPV(B7529,FCFF!$C$9:$I$9)+FCFF!$B$9+FCFF!$I$9*(1+Inputs!$B$6)/(B7529-Inputs!$B$6)/(1+B7529)^7</f>
        <v>-1385.219412</v>
      </c>
    </row>
    <row r="7530" ht="14.25" customHeight="1">
      <c r="A7530" s="7">
        <v>7517.0</v>
      </c>
      <c r="B7530" s="14">
        <f t="shared" si="1"/>
        <v>0.1243356706</v>
      </c>
      <c r="C7530" s="39">
        <f t="array" ref="C7530">NPV(B7530,FCFF!$C$9:$I$9)+FCFF!$B$9+FCFF!$I$9*(1+Inputs!$B$6)/(B7530-Inputs!$B$6)/(1+B7530)^7</f>
        <v>-1891.271415</v>
      </c>
    </row>
    <row r="7531" ht="14.25" customHeight="1">
      <c r="A7531" s="7">
        <v>7518.0</v>
      </c>
      <c r="B7531" s="14">
        <f t="shared" si="1"/>
        <v>0.09599173351</v>
      </c>
      <c r="C7531" s="39">
        <f t="array" ref="C7531">NPV(B7531,FCFF!$C$9:$I$9)+FCFF!$B$9+FCFF!$I$9*(1+Inputs!$B$6)/(B7531-Inputs!$B$6)/(1+B7531)^7</f>
        <v>-1263.29145</v>
      </c>
    </row>
    <row r="7532" ht="14.25" customHeight="1">
      <c r="A7532" s="7">
        <v>7519.0</v>
      </c>
      <c r="B7532" s="14">
        <f t="shared" si="1"/>
        <v>0.1329459048</v>
      </c>
      <c r="C7532" s="39">
        <f t="array" ref="C7532">NPV(B7532,FCFF!$C$9:$I$9)+FCFF!$B$9+FCFF!$I$9*(1+Inputs!$B$6)/(B7532-Inputs!$B$6)/(1+B7532)^7</f>
        <v>-2010.805426</v>
      </c>
    </row>
    <row r="7533" ht="14.25" customHeight="1">
      <c r="A7533" s="7">
        <v>7520.0</v>
      </c>
      <c r="B7533" s="14">
        <f t="shared" si="1"/>
        <v>0.1015928044</v>
      </c>
      <c r="C7533" s="39">
        <f t="array" ref="C7533">NPV(B7533,FCFF!$C$9:$I$9)+FCFF!$B$9+FCFF!$I$9*(1+Inputs!$B$6)/(B7533-Inputs!$B$6)/(1+B7533)^7</f>
        <v>-1427.77916</v>
      </c>
    </row>
    <row r="7534" ht="14.25" customHeight="1">
      <c r="A7534" s="7">
        <v>7521.0</v>
      </c>
      <c r="B7534" s="14">
        <f t="shared" si="1"/>
        <v>0.09651995562</v>
      </c>
      <c r="C7534" s="39">
        <f t="array" ref="C7534">NPV(B7534,FCFF!$C$9:$I$9)+FCFF!$B$9+FCFF!$I$9*(1+Inputs!$B$6)/(B7534-Inputs!$B$6)/(1+B7534)^7</f>
        <v>-1279.988237</v>
      </c>
    </row>
    <row r="7535" ht="14.25" customHeight="1">
      <c r="A7535" s="7">
        <v>7522.0</v>
      </c>
      <c r="B7535" s="14">
        <f t="shared" si="1"/>
        <v>0.116284633</v>
      </c>
      <c r="C7535" s="39">
        <f t="array" ref="C7535">NPV(B7535,FCFF!$C$9:$I$9)+FCFF!$B$9+FCFF!$I$9*(1+Inputs!$B$6)/(B7535-Inputs!$B$6)/(1+B7535)^7</f>
        <v>-1756.258421</v>
      </c>
    </row>
    <row r="7536" ht="14.25" customHeight="1">
      <c r="A7536" s="7">
        <v>7523.0</v>
      </c>
      <c r="B7536" s="14">
        <f t="shared" si="1"/>
        <v>0.1031711274</v>
      </c>
      <c r="C7536" s="39">
        <f t="array" ref="C7536">NPV(B7536,FCFF!$C$9:$I$9)+FCFF!$B$9+FCFF!$I$9*(1+Inputs!$B$6)/(B7536-Inputs!$B$6)/(1+B7536)^7</f>
        <v>-1469.551793</v>
      </c>
    </row>
    <row r="7537" ht="14.25" customHeight="1">
      <c r="A7537" s="7">
        <v>7524.0</v>
      </c>
      <c r="B7537" s="14">
        <f t="shared" si="1"/>
        <v>0.1254678018</v>
      </c>
      <c r="C7537" s="39">
        <f t="array" ref="C7537">NPV(B7537,FCFF!$C$9:$I$9)+FCFF!$B$9+FCFF!$I$9*(1+Inputs!$B$6)/(B7537-Inputs!$B$6)/(1+B7537)^7</f>
        <v>-1908.318614</v>
      </c>
    </row>
    <row r="7538" ht="14.25" customHeight="1">
      <c r="A7538" s="7">
        <v>7525.0</v>
      </c>
      <c r="B7538" s="14">
        <f t="shared" si="1"/>
        <v>0.1050943533</v>
      </c>
      <c r="C7538" s="39">
        <f t="array" ref="C7538">NPV(B7538,FCFF!$C$9:$I$9)+FCFF!$B$9+FCFF!$I$9*(1+Inputs!$B$6)/(B7538-Inputs!$B$6)/(1+B7538)^7</f>
        <v>-1518.044334</v>
      </c>
    </row>
    <row r="7539" ht="14.25" customHeight="1">
      <c r="A7539" s="7">
        <v>7526.0</v>
      </c>
      <c r="B7539" s="14">
        <f t="shared" si="1"/>
        <v>0.1178996699</v>
      </c>
      <c r="C7539" s="39">
        <f t="array" ref="C7539">NPV(B7539,FCFF!$C$9:$I$9)+FCFF!$B$9+FCFF!$I$9*(1+Inputs!$B$6)/(B7539-Inputs!$B$6)/(1+B7539)^7</f>
        <v>-1785.440801</v>
      </c>
    </row>
    <row r="7540" ht="14.25" customHeight="1">
      <c r="A7540" s="7">
        <v>7527.0</v>
      </c>
      <c r="B7540" s="14">
        <f t="shared" si="1"/>
        <v>0.1184156704</v>
      </c>
      <c r="C7540" s="39">
        <f t="array" ref="C7540">NPV(B7540,FCFF!$C$9:$I$9)+FCFF!$B$9+FCFF!$I$9*(1+Inputs!$B$6)/(B7540-Inputs!$B$6)/(1+B7540)^7</f>
        <v>-1794.528145</v>
      </c>
    </row>
    <row r="7541" ht="14.25" customHeight="1">
      <c r="A7541" s="7">
        <v>7528.0</v>
      </c>
      <c r="B7541" s="14">
        <f t="shared" si="1"/>
        <v>0.128843484</v>
      </c>
      <c r="C7541" s="39">
        <f t="array" ref="C7541">NPV(B7541,FCFF!$C$9:$I$9)+FCFF!$B$9+FCFF!$I$9*(1+Inputs!$B$6)/(B7541-Inputs!$B$6)/(1+B7541)^7</f>
        <v>-1956.661169</v>
      </c>
    </row>
    <row r="7542" ht="14.25" customHeight="1">
      <c r="A7542" s="7">
        <v>7529.0</v>
      </c>
      <c r="B7542" s="14">
        <f t="shared" si="1"/>
        <v>0.1067429538</v>
      </c>
      <c r="C7542" s="39">
        <f t="array" ref="C7542">NPV(B7542,FCFF!$C$9:$I$9)+FCFF!$B$9+FCFF!$I$9*(1+Inputs!$B$6)/(B7542-Inputs!$B$6)/(1+B7542)^7</f>
        <v>-1557.640656</v>
      </c>
    </row>
    <row r="7543" ht="14.25" customHeight="1">
      <c r="A7543" s="7">
        <v>7530.0</v>
      </c>
      <c r="B7543" s="14">
        <f t="shared" si="1"/>
        <v>0.1158145082</v>
      </c>
      <c r="C7543" s="39">
        <f t="array" ref="C7543">NPV(B7543,FCFF!$C$9:$I$9)+FCFF!$B$9+FCFF!$I$9*(1+Inputs!$B$6)/(B7543-Inputs!$B$6)/(1+B7543)^7</f>
        <v>-1747.546803</v>
      </c>
    </row>
    <row r="7544" ht="14.25" customHeight="1">
      <c r="A7544" s="7">
        <v>7531.0</v>
      </c>
      <c r="B7544" s="14">
        <f t="shared" si="1"/>
        <v>0.09452566004</v>
      </c>
      <c r="C7544" s="39">
        <f t="array" ref="C7544">NPV(B7544,FCFF!$C$9:$I$9)+FCFF!$B$9+FCFF!$I$9*(1+Inputs!$B$6)/(B7544-Inputs!$B$6)/(1+B7544)^7</f>
        <v>-1215.524771</v>
      </c>
    </row>
    <row r="7545" ht="14.25" customHeight="1">
      <c r="A7545" s="7">
        <v>7532.0</v>
      </c>
      <c r="B7545" s="14">
        <f t="shared" si="1"/>
        <v>0.1041021803</v>
      </c>
      <c r="C7545" s="39">
        <f t="array" ref="C7545">NPV(B7545,FCFF!$C$9:$I$9)+FCFF!$B$9+FCFF!$I$9*(1+Inputs!$B$6)/(B7545-Inputs!$B$6)/(1+B7545)^7</f>
        <v>-1493.347291</v>
      </c>
    </row>
    <row r="7546" ht="14.25" customHeight="1">
      <c r="A7546" s="7">
        <v>7533.0</v>
      </c>
      <c r="B7546" s="14">
        <f t="shared" si="1"/>
        <v>0.1322659499</v>
      </c>
      <c r="C7546" s="39">
        <f t="array" ref="C7546">NPV(B7546,FCFF!$C$9:$I$9)+FCFF!$B$9+FCFF!$I$9*(1+Inputs!$B$6)/(B7546-Inputs!$B$6)/(1+B7546)^7</f>
        <v>-2002.15802</v>
      </c>
    </row>
    <row r="7547" ht="14.25" customHeight="1">
      <c r="A7547" s="7">
        <v>7534.0</v>
      </c>
      <c r="B7547" s="14">
        <f t="shared" si="1"/>
        <v>0.1249584977</v>
      </c>
      <c r="C7547" s="39">
        <f t="array" ref="C7547">NPV(B7547,FCFF!$C$9:$I$9)+FCFF!$B$9+FCFF!$I$9*(1+Inputs!$B$6)/(B7547-Inputs!$B$6)/(1+B7547)^7</f>
        <v>-1900.703614</v>
      </c>
    </row>
    <row r="7548" ht="14.25" customHeight="1">
      <c r="A7548" s="7">
        <v>7535.0</v>
      </c>
      <c r="B7548" s="14">
        <f t="shared" si="1"/>
        <v>0.1160039524</v>
      </c>
      <c r="C7548" s="39">
        <f t="array" ref="C7548">NPV(B7548,FCFF!$C$9:$I$9)+FCFF!$B$9+FCFF!$I$9*(1+Inputs!$B$6)/(B7548-Inputs!$B$6)/(1+B7548)^7</f>
        <v>-1751.069298</v>
      </c>
    </row>
    <row r="7549" ht="14.25" customHeight="1">
      <c r="A7549" s="7">
        <v>7536.0</v>
      </c>
      <c r="B7549" s="14">
        <f t="shared" si="1"/>
        <v>0.1031131606</v>
      </c>
      <c r="C7549" s="39">
        <f t="array" ref="C7549">NPV(B7549,FCFF!$C$9:$I$9)+FCFF!$B$9+FCFF!$I$9*(1+Inputs!$B$6)/(B7549-Inputs!$B$6)/(1+B7549)^7</f>
        <v>-1468.049944</v>
      </c>
    </row>
    <row r="7550" ht="14.25" customHeight="1">
      <c r="A7550" s="7">
        <v>7537.0</v>
      </c>
      <c r="B7550" s="14">
        <f t="shared" si="1"/>
        <v>0.1013339329</v>
      </c>
      <c r="C7550" s="39">
        <f t="array" ref="C7550">NPV(B7550,FCFF!$C$9:$I$9)+FCFF!$B$9+FCFF!$I$9*(1+Inputs!$B$6)/(B7550-Inputs!$B$6)/(1+B7550)^7</f>
        <v>-1420.749178</v>
      </c>
    </row>
    <row r="7551" ht="14.25" customHeight="1">
      <c r="A7551" s="7">
        <v>7538.0</v>
      </c>
      <c r="B7551" s="14">
        <f t="shared" si="1"/>
        <v>0.1179256568</v>
      </c>
      <c r="C7551" s="39">
        <f t="array" ref="C7551">NPV(B7551,FCFF!$C$9:$I$9)+FCFF!$B$9+FCFF!$I$9*(1+Inputs!$B$6)/(B7551-Inputs!$B$6)/(1+B7551)^7</f>
        <v>-1785.901148</v>
      </c>
    </row>
    <row r="7552" ht="14.25" customHeight="1">
      <c r="A7552" s="7">
        <v>7539.0</v>
      </c>
      <c r="B7552" s="14">
        <f t="shared" si="1"/>
        <v>0.1186286076</v>
      </c>
      <c r="C7552" s="39">
        <f t="array" ref="C7552">NPV(B7552,FCFF!$C$9:$I$9)+FCFF!$B$9+FCFF!$I$9*(1+Inputs!$B$6)/(B7552-Inputs!$B$6)/(1+B7552)^7</f>
        <v>-1798.245691</v>
      </c>
    </row>
    <row r="7553" ht="14.25" customHeight="1">
      <c r="A7553" s="7">
        <v>7540.0</v>
      </c>
      <c r="B7553" s="14">
        <f t="shared" si="1"/>
        <v>0.1329588774</v>
      </c>
      <c r="C7553" s="39">
        <f t="array" ref="C7553">NPV(B7553,FCFF!$C$9:$I$9)+FCFF!$B$9+FCFF!$I$9*(1+Inputs!$B$6)/(B7553-Inputs!$B$6)/(1+B7553)^7</f>
        <v>-2010.969194</v>
      </c>
    </row>
    <row r="7554" ht="14.25" customHeight="1">
      <c r="A7554" s="7">
        <v>7541.0</v>
      </c>
      <c r="B7554" s="14">
        <f t="shared" si="1"/>
        <v>0.11041347</v>
      </c>
      <c r="C7554" s="39">
        <f t="array" ref="C7554">NPV(B7554,FCFF!$C$9:$I$9)+FCFF!$B$9+FCFF!$I$9*(1+Inputs!$B$6)/(B7554-Inputs!$B$6)/(1+B7554)^7</f>
        <v>-1639.823101</v>
      </c>
    </row>
    <row r="7555" ht="14.25" customHeight="1">
      <c r="A7555" s="7">
        <v>7542.0</v>
      </c>
      <c r="B7555" s="14">
        <f t="shared" si="1"/>
        <v>0.1041282914</v>
      </c>
      <c r="C7555" s="39">
        <f t="array" ref="C7555">NPV(B7555,FCFF!$C$9:$I$9)+FCFF!$B$9+FCFF!$I$9*(1+Inputs!$B$6)/(B7555-Inputs!$B$6)/(1+B7555)^7</f>
        <v>-1494.00587</v>
      </c>
    </row>
    <row r="7556" ht="14.25" customHeight="1">
      <c r="A7556" s="7">
        <v>7543.0</v>
      </c>
      <c r="B7556" s="14">
        <f t="shared" si="1"/>
        <v>0.1313247863</v>
      </c>
      <c r="C7556" s="39">
        <f t="array" ref="C7556">NPV(B7556,FCFF!$C$9:$I$9)+FCFF!$B$9+FCFF!$I$9*(1+Inputs!$B$6)/(B7556-Inputs!$B$6)/(1+B7556)^7</f>
        <v>-1989.979574</v>
      </c>
    </row>
    <row r="7557" ht="14.25" customHeight="1">
      <c r="A7557" s="7">
        <v>7544.0</v>
      </c>
      <c r="B7557" s="14">
        <f t="shared" si="1"/>
        <v>0.1020404166</v>
      </c>
      <c r="C7557" s="39">
        <f t="array" ref="C7557">NPV(B7557,FCFF!$C$9:$I$9)+FCFF!$B$9+FCFF!$I$9*(1+Inputs!$B$6)/(B7557-Inputs!$B$6)/(1+B7557)^7</f>
        <v>-1439.814142</v>
      </c>
    </row>
    <row r="7558" ht="14.25" customHeight="1">
      <c r="A7558" s="7">
        <v>7545.0</v>
      </c>
      <c r="B7558" s="14">
        <f t="shared" si="1"/>
        <v>0.1013114558</v>
      </c>
      <c r="C7558" s="39">
        <f t="array" ref="C7558">NPV(B7558,FCFF!$C$9:$I$9)+FCFF!$B$9+FCFF!$I$9*(1+Inputs!$B$6)/(B7558-Inputs!$B$6)/(1+B7558)^7</f>
        <v>-1420.136351</v>
      </c>
    </row>
    <row r="7559" ht="14.25" customHeight="1">
      <c r="A7559" s="7">
        <v>7546.0</v>
      </c>
      <c r="B7559" s="14">
        <f t="shared" si="1"/>
        <v>0.1180047449</v>
      </c>
      <c r="C7559" s="39">
        <f t="array" ref="C7559">NPV(B7559,FCFF!$C$9:$I$9)+FCFF!$B$9+FCFF!$I$9*(1+Inputs!$B$6)/(B7559-Inputs!$B$6)/(1+B7559)^7</f>
        <v>-1787.300395</v>
      </c>
    </row>
    <row r="7560" ht="14.25" customHeight="1">
      <c r="A7560" s="7">
        <v>7547.0</v>
      </c>
      <c r="B7560" s="14">
        <f t="shared" si="1"/>
        <v>0.1073352374</v>
      </c>
      <c r="C7560" s="39">
        <f t="array" ref="C7560">NPV(B7560,FCFF!$C$9:$I$9)+FCFF!$B$9+FCFF!$I$9*(1+Inputs!$B$6)/(B7560-Inputs!$B$6)/(1+B7560)^7</f>
        <v>-1571.444533</v>
      </c>
    </row>
    <row r="7561" ht="14.25" customHeight="1">
      <c r="A7561" s="7">
        <v>7548.0</v>
      </c>
      <c r="B7561" s="14">
        <f t="shared" si="1"/>
        <v>0.1269296131</v>
      </c>
      <c r="C7561" s="39">
        <f t="array" ref="C7561">NPV(B7561,FCFF!$C$9:$I$9)+FCFF!$B$9+FCFF!$I$9*(1+Inputs!$B$6)/(B7561-Inputs!$B$6)/(1+B7561)^7</f>
        <v>-1929.698352</v>
      </c>
    </row>
    <row r="7562" ht="14.25" customHeight="1">
      <c r="A7562" s="7">
        <v>7549.0</v>
      </c>
      <c r="B7562" s="14">
        <f t="shared" si="1"/>
        <v>0.1195435781</v>
      </c>
      <c r="C7562" s="39">
        <f t="array" ref="C7562">NPV(B7562,FCFF!$C$9:$I$9)+FCFF!$B$9+FCFF!$I$9*(1+Inputs!$B$6)/(B7562-Inputs!$B$6)/(1+B7562)^7</f>
        <v>-1814.00728</v>
      </c>
    </row>
    <row r="7563" ht="14.25" customHeight="1">
      <c r="A7563" s="7">
        <v>7550.0</v>
      </c>
      <c r="B7563" s="14">
        <f t="shared" si="1"/>
        <v>0.1284651414</v>
      </c>
      <c r="C7563" s="39">
        <f t="array" ref="C7563">NPV(B7563,FCFF!$C$9:$I$9)+FCFF!$B$9+FCFF!$I$9*(1+Inputs!$B$6)/(B7563-Inputs!$B$6)/(1+B7563)^7</f>
        <v>-1951.420787</v>
      </c>
    </row>
    <row r="7564" ht="14.25" customHeight="1">
      <c r="A7564" s="7">
        <v>7551.0</v>
      </c>
      <c r="B7564" s="14">
        <f t="shared" si="1"/>
        <v>0.09461735735</v>
      </c>
      <c r="C7564" s="39">
        <f t="array" ref="C7564">NPV(B7564,FCFF!$C$9:$I$9)+FCFF!$B$9+FCFF!$I$9*(1+Inputs!$B$6)/(B7564-Inputs!$B$6)/(1+B7564)^7</f>
        <v>-1218.57551</v>
      </c>
    </row>
    <row r="7565" ht="14.25" customHeight="1">
      <c r="A7565" s="7">
        <v>7552.0</v>
      </c>
      <c r="B7565" s="14">
        <f t="shared" si="1"/>
        <v>0.118030548</v>
      </c>
      <c r="C7565" s="39">
        <f t="array" ref="C7565">NPV(B7565,FCFF!$C$9:$I$9)+FCFF!$B$9+FCFF!$I$9*(1+Inputs!$B$6)/(B7565-Inputs!$B$6)/(1+B7565)^7</f>
        <v>-1787.756338</v>
      </c>
    </row>
    <row r="7566" ht="14.25" customHeight="1">
      <c r="A7566" s="7">
        <v>7553.0</v>
      </c>
      <c r="B7566" s="14">
        <f t="shared" si="1"/>
        <v>0.1197400104</v>
      </c>
      <c r="C7566" s="39">
        <f t="array" ref="C7566">NPV(B7566,FCFF!$C$9:$I$9)+FCFF!$B$9+FCFF!$I$9*(1+Inputs!$B$6)/(B7566-Inputs!$B$6)/(1+B7566)^7</f>
        <v>-1817.346806</v>
      </c>
    </row>
    <row r="7567" ht="14.25" customHeight="1">
      <c r="A7567" s="7">
        <v>7554.0</v>
      </c>
      <c r="B7567" s="14">
        <f t="shared" si="1"/>
        <v>0.1225792579</v>
      </c>
      <c r="C7567" s="39">
        <f t="array" ref="C7567">NPV(B7567,FCFF!$C$9:$I$9)+FCFF!$B$9+FCFF!$I$9*(1+Inputs!$B$6)/(B7567-Inputs!$B$6)/(1+B7567)^7</f>
        <v>-1863.940377</v>
      </c>
    </row>
    <row r="7568" ht="14.25" customHeight="1">
      <c r="A7568" s="7">
        <v>7555.0</v>
      </c>
      <c r="B7568" s="14">
        <f t="shared" si="1"/>
        <v>0.1215276091</v>
      </c>
      <c r="C7568" s="39">
        <f t="array" ref="C7568">NPV(B7568,FCFF!$C$9:$I$9)+FCFF!$B$9+FCFF!$I$9*(1+Inputs!$B$6)/(B7568-Inputs!$B$6)/(1+B7568)^7</f>
        <v>-1847.040201</v>
      </c>
    </row>
    <row r="7569" ht="14.25" customHeight="1">
      <c r="A7569" s="7">
        <v>7556.0</v>
      </c>
      <c r="B7569" s="14">
        <f t="shared" si="1"/>
        <v>0.1260585072</v>
      </c>
      <c r="C7569" s="39">
        <f t="array" ref="C7569">NPV(B7569,FCFF!$C$9:$I$9)+FCFF!$B$9+FCFF!$I$9*(1+Inputs!$B$6)/(B7569-Inputs!$B$6)/(1+B7569)^7</f>
        <v>-1917.042208</v>
      </c>
    </row>
    <row r="7570" ht="14.25" customHeight="1">
      <c r="A7570" s="7">
        <v>7557.0</v>
      </c>
      <c r="B7570" s="14">
        <f t="shared" si="1"/>
        <v>0.1095593017</v>
      </c>
      <c r="C7570" s="39">
        <f t="array" ref="C7570">NPV(B7570,FCFF!$C$9:$I$9)+FCFF!$B$9+FCFF!$I$9*(1+Inputs!$B$6)/(B7570-Inputs!$B$6)/(1+B7570)^7</f>
        <v>-1621.395375</v>
      </c>
    </row>
    <row r="7571" ht="14.25" customHeight="1">
      <c r="A7571" s="7">
        <v>7558.0</v>
      </c>
      <c r="B7571" s="14">
        <f t="shared" si="1"/>
        <v>0.1135809951</v>
      </c>
      <c r="C7571" s="39">
        <f t="array" ref="C7571">NPV(B7571,FCFF!$C$9:$I$9)+FCFF!$B$9+FCFF!$I$9*(1+Inputs!$B$6)/(B7571-Inputs!$B$6)/(1+B7571)^7</f>
        <v>-1704.756782</v>
      </c>
    </row>
    <row r="7572" ht="14.25" customHeight="1">
      <c r="A7572" s="7">
        <v>7559.0</v>
      </c>
      <c r="B7572" s="14">
        <f t="shared" si="1"/>
        <v>0.1062369084</v>
      </c>
      <c r="C7572" s="39">
        <f t="array" ref="C7572">NPV(B7572,FCFF!$C$9:$I$9)+FCFF!$B$9+FCFF!$I$9*(1+Inputs!$B$6)/(B7572-Inputs!$B$6)/(1+B7572)^7</f>
        <v>-1545.672596</v>
      </c>
    </row>
    <row r="7573" ht="14.25" customHeight="1">
      <c r="A7573" s="7">
        <v>7560.0</v>
      </c>
      <c r="B7573" s="14">
        <f t="shared" si="1"/>
        <v>0.1315397539</v>
      </c>
      <c r="C7573" s="39">
        <f t="array" ref="C7573">NPV(B7573,FCFF!$C$9:$I$9)+FCFF!$B$9+FCFF!$I$9*(1+Inputs!$B$6)/(B7573-Inputs!$B$6)/(1+B7573)^7</f>
        <v>-1992.782889</v>
      </c>
    </row>
    <row r="7574" ht="14.25" customHeight="1">
      <c r="A7574" s="7">
        <v>7561.0</v>
      </c>
      <c r="B7574" s="14">
        <f t="shared" si="1"/>
        <v>0.1040892082</v>
      </c>
      <c r="C7574" s="39">
        <f t="array" ref="C7574">NPV(B7574,FCFF!$C$9:$I$9)+FCFF!$B$9+FCFF!$I$9*(1+Inputs!$B$6)/(B7574-Inputs!$B$6)/(1+B7574)^7</f>
        <v>-1493.019931</v>
      </c>
    </row>
    <row r="7575" ht="14.25" customHeight="1">
      <c r="A7575" s="7">
        <v>7562.0</v>
      </c>
      <c r="B7575" s="14">
        <f t="shared" si="1"/>
        <v>0.09658422604</v>
      </c>
      <c r="C7575" s="39">
        <f t="array" ref="C7575">NPV(B7575,FCFF!$C$9:$I$9)+FCFF!$B$9+FCFF!$I$9*(1+Inputs!$B$6)/(B7575-Inputs!$B$6)/(1+B7575)^7</f>
        <v>-1282.001767</v>
      </c>
    </row>
    <row r="7576" ht="14.25" customHeight="1">
      <c r="A7576" s="7">
        <v>7563.0</v>
      </c>
      <c r="B7576" s="14">
        <f t="shared" si="1"/>
        <v>0.09695338834</v>
      </c>
      <c r="C7576" s="39">
        <f t="array" ref="C7576">NPV(B7576,FCFF!$C$9:$I$9)+FCFF!$B$9+FCFF!$I$9*(1+Inputs!$B$6)/(B7576-Inputs!$B$6)/(1+B7576)^7</f>
        <v>-1293.492562</v>
      </c>
    </row>
    <row r="7577" ht="14.25" customHeight="1">
      <c r="A7577" s="7">
        <v>7564.0</v>
      </c>
      <c r="B7577" s="14">
        <f t="shared" si="1"/>
        <v>0.1159808069</v>
      </c>
      <c r="C7577" s="39">
        <f t="array" ref="C7577">NPV(B7577,FCFF!$C$9:$I$9)+FCFF!$B$9+FCFF!$I$9*(1+Inputs!$B$6)/(B7577-Inputs!$B$6)/(1+B7577)^7</f>
        <v>-1750.639807</v>
      </c>
    </row>
    <row r="7578" ht="14.25" customHeight="1">
      <c r="A7578" s="7">
        <v>7565.0</v>
      </c>
      <c r="B7578" s="14">
        <f t="shared" si="1"/>
        <v>0.1294710386</v>
      </c>
      <c r="C7578" s="39">
        <f t="array" ref="C7578">NPV(B7578,FCFF!$C$9:$I$9)+FCFF!$B$9+FCFF!$I$9*(1+Inputs!$B$6)/(B7578-Inputs!$B$6)/(1+B7578)^7</f>
        <v>-1965.258264</v>
      </c>
    </row>
    <row r="7579" ht="14.25" customHeight="1">
      <c r="A7579" s="7">
        <v>7566.0</v>
      </c>
      <c r="B7579" s="14">
        <f t="shared" si="1"/>
        <v>0.1049750914</v>
      </c>
      <c r="C7579" s="39">
        <f t="array" ref="C7579">NPV(B7579,FCFF!$C$9:$I$9)+FCFF!$B$9+FCFF!$I$9*(1+Inputs!$B$6)/(B7579-Inputs!$B$6)/(1+B7579)^7</f>
        <v>-1515.110897</v>
      </c>
    </row>
    <row r="7580" ht="14.25" customHeight="1">
      <c r="A7580" s="7">
        <v>7567.0</v>
      </c>
      <c r="B7580" s="14">
        <f t="shared" si="1"/>
        <v>0.09491177205</v>
      </c>
      <c r="C7580" s="39">
        <f t="array" ref="C7580">NPV(B7580,FCFF!$C$9:$I$9)+FCFF!$B$9+FCFF!$I$9*(1+Inputs!$B$6)/(B7580-Inputs!$B$6)/(1+B7580)^7</f>
        <v>-1228.312771</v>
      </c>
    </row>
    <row r="7581" ht="14.25" customHeight="1">
      <c r="A7581" s="7">
        <v>7568.0</v>
      </c>
      <c r="B7581" s="14">
        <f t="shared" si="1"/>
        <v>0.1260512169</v>
      </c>
      <c r="C7581" s="39">
        <f t="array" ref="C7581">NPV(B7581,FCFF!$C$9:$I$9)+FCFF!$B$9+FCFF!$I$9*(1+Inputs!$B$6)/(B7581-Inputs!$B$6)/(1+B7581)^7</f>
        <v>-1916.935247</v>
      </c>
    </row>
    <row r="7582" ht="14.25" customHeight="1">
      <c r="A7582" s="7">
        <v>7569.0</v>
      </c>
      <c r="B7582" s="14">
        <f t="shared" si="1"/>
        <v>0.1274919116</v>
      </c>
      <c r="C7582" s="39">
        <f t="array" ref="C7582">NPV(B7582,FCFF!$C$9:$I$9)+FCFF!$B$9+FCFF!$I$9*(1+Inputs!$B$6)/(B7582-Inputs!$B$6)/(1+B7582)^7</f>
        <v>-1937.738619</v>
      </c>
    </row>
    <row r="7583" ht="14.25" customHeight="1">
      <c r="A7583" s="7">
        <v>7570.0</v>
      </c>
      <c r="B7583" s="14">
        <f t="shared" si="1"/>
        <v>0.1062661702</v>
      </c>
      <c r="C7583" s="39">
        <f t="array" ref="C7583">NPV(B7583,FCFF!$C$9:$I$9)+FCFF!$B$9+FCFF!$I$9*(1+Inputs!$B$6)/(B7583-Inputs!$B$6)/(1+B7583)^7</f>
        <v>-1546.369069</v>
      </c>
    </row>
    <row r="7584" ht="14.25" customHeight="1">
      <c r="A7584" s="7">
        <v>7571.0</v>
      </c>
      <c r="B7584" s="14">
        <f t="shared" si="1"/>
        <v>0.1232213997</v>
      </c>
      <c r="C7584" s="39">
        <f t="array" ref="C7584">NPV(B7584,FCFF!$C$9:$I$9)+FCFF!$B$9+FCFF!$I$9*(1+Inputs!$B$6)/(B7584-Inputs!$B$6)/(1+B7584)^7</f>
        <v>-1874.060093</v>
      </c>
    </row>
    <row r="7585" ht="14.25" customHeight="1">
      <c r="A7585" s="7">
        <v>7572.0</v>
      </c>
      <c r="B7585" s="14">
        <f t="shared" si="1"/>
        <v>0.1110691383</v>
      </c>
      <c r="C7585" s="39">
        <f t="array" ref="C7585">NPV(B7585,FCFF!$C$9:$I$9)+FCFF!$B$9+FCFF!$I$9*(1+Inputs!$B$6)/(B7585-Inputs!$B$6)/(1+B7585)^7</f>
        <v>-1653.696198</v>
      </c>
    </row>
    <row r="7586" ht="14.25" customHeight="1">
      <c r="A7586" s="7">
        <v>7573.0</v>
      </c>
      <c r="B7586" s="14">
        <f t="shared" si="1"/>
        <v>0.1121471093</v>
      </c>
      <c r="C7586" s="39">
        <f t="array" ref="C7586">NPV(B7586,FCFF!$C$9:$I$9)+FCFF!$B$9+FCFF!$I$9*(1+Inputs!$B$6)/(B7586-Inputs!$B$6)/(1+B7586)^7</f>
        <v>-1676.006274</v>
      </c>
    </row>
    <row r="7587" ht="14.25" customHeight="1">
      <c r="A7587" s="7">
        <v>7574.0</v>
      </c>
      <c r="B7587" s="14">
        <f t="shared" si="1"/>
        <v>0.1182682148</v>
      </c>
      <c r="C7587" s="39">
        <f t="array" ref="C7587">NPV(B7587,FCFF!$C$9:$I$9)+FCFF!$B$9+FCFF!$I$9*(1+Inputs!$B$6)/(B7587-Inputs!$B$6)/(1+B7587)^7</f>
        <v>-1791.942715</v>
      </c>
    </row>
    <row r="7588" ht="14.25" customHeight="1">
      <c r="A7588" s="7">
        <v>7575.0</v>
      </c>
      <c r="B7588" s="14">
        <f t="shared" si="1"/>
        <v>0.1220477558</v>
      </c>
      <c r="C7588" s="39">
        <f t="array" ref="C7588">NPV(B7588,FCFF!$C$9:$I$9)+FCFF!$B$9+FCFF!$I$9*(1+Inputs!$B$6)/(B7588-Inputs!$B$6)/(1+B7588)^7</f>
        <v>-1855.45041</v>
      </c>
    </row>
    <row r="7589" ht="14.25" customHeight="1">
      <c r="A7589" s="7">
        <v>7576.0</v>
      </c>
      <c r="B7589" s="14">
        <f t="shared" si="1"/>
        <v>0.09927433212</v>
      </c>
      <c r="C7589" s="39">
        <f t="array" ref="C7589">NPV(B7589,FCFF!$C$9:$I$9)+FCFF!$B$9+FCFF!$I$9*(1+Inputs!$B$6)/(B7589-Inputs!$B$6)/(1+B7589)^7</f>
        <v>-1362.930111</v>
      </c>
    </row>
    <row r="7590" ht="14.25" customHeight="1">
      <c r="A7590" s="7">
        <v>7577.0</v>
      </c>
      <c r="B7590" s="14">
        <f t="shared" si="1"/>
        <v>0.114682536</v>
      </c>
      <c r="C7590" s="39">
        <f t="array" ref="C7590">NPV(B7590,FCFF!$C$9:$I$9)+FCFF!$B$9+FCFF!$I$9*(1+Inputs!$B$6)/(B7590-Inputs!$B$6)/(1+B7590)^7</f>
        <v>-1726.155055</v>
      </c>
    </row>
    <row r="7591" ht="14.25" customHeight="1">
      <c r="A7591" s="7">
        <v>7578.0</v>
      </c>
      <c r="B7591" s="14">
        <f t="shared" si="1"/>
        <v>0.1047554896</v>
      </c>
      <c r="C7591" s="39">
        <f t="array" ref="C7591">NPV(B7591,FCFF!$C$9:$I$9)+FCFF!$B$9+FCFF!$I$9*(1+Inputs!$B$6)/(B7591-Inputs!$B$6)/(1+B7591)^7</f>
        <v>-1509.684476</v>
      </c>
    </row>
    <row r="7592" ht="14.25" customHeight="1">
      <c r="A7592" s="7">
        <v>7579.0</v>
      </c>
      <c r="B7592" s="14">
        <f t="shared" si="1"/>
        <v>0.1142351673</v>
      </c>
      <c r="C7592" s="39">
        <f t="array" ref="C7592">NPV(B7592,FCFF!$C$9:$I$9)+FCFF!$B$9+FCFF!$I$9*(1+Inputs!$B$6)/(B7592-Inputs!$B$6)/(1+B7592)^7</f>
        <v>-1717.535004</v>
      </c>
    </row>
    <row r="7593" ht="14.25" customHeight="1">
      <c r="A7593" s="7">
        <v>7580.0</v>
      </c>
      <c r="B7593" s="14">
        <f t="shared" si="1"/>
        <v>0.09981851759</v>
      </c>
      <c r="C7593" s="39">
        <f t="array" ref="C7593">NPV(B7593,FCFF!$C$9:$I$9)+FCFF!$B$9+FCFF!$I$9*(1+Inputs!$B$6)/(B7593-Inputs!$B$6)/(1+B7593)^7</f>
        <v>-1378.540875</v>
      </c>
    </row>
    <row r="7594" ht="14.25" customHeight="1">
      <c r="A7594" s="7">
        <v>7581.0</v>
      </c>
      <c r="B7594" s="14">
        <f t="shared" si="1"/>
        <v>0.125385119</v>
      </c>
      <c r="C7594" s="39">
        <f t="array" ref="C7594">NPV(B7594,FCFF!$C$9:$I$9)+FCFF!$B$9+FCFF!$I$9*(1+Inputs!$B$6)/(B7594-Inputs!$B$6)/(1+B7594)^7</f>
        <v>-1907.08829</v>
      </c>
    </row>
    <row r="7595" ht="14.25" customHeight="1">
      <c r="A7595" s="7">
        <v>7582.0</v>
      </c>
      <c r="B7595" s="14">
        <f t="shared" si="1"/>
        <v>0.1243710424</v>
      </c>
      <c r="C7595" s="39">
        <f t="array" ref="C7595">NPV(B7595,FCFF!$C$9:$I$9)+FCFF!$B$9+FCFF!$I$9*(1+Inputs!$B$6)/(B7595-Inputs!$B$6)/(1+B7595)^7</f>
        <v>-1891.810662</v>
      </c>
    </row>
    <row r="7596" ht="14.25" customHeight="1">
      <c r="A7596" s="7">
        <v>7583.0</v>
      </c>
      <c r="B7596" s="14">
        <f t="shared" si="1"/>
        <v>0.0953611482</v>
      </c>
      <c r="C7596" s="39">
        <f t="array" ref="C7596">NPV(B7596,FCFF!$C$9:$I$9)+FCFF!$B$9+FCFF!$I$9*(1+Inputs!$B$6)/(B7596-Inputs!$B$6)/(1+B7596)^7</f>
        <v>-1243.007154</v>
      </c>
    </row>
    <row r="7597" ht="14.25" customHeight="1">
      <c r="A7597" s="7">
        <v>7584.0</v>
      </c>
      <c r="B7597" s="14">
        <f t="shared" si="1"/>
        <v>0.09509832428</v>
      </c>
      <c r="C7597" s="39">
        <f t="array" ref="C7597">NPV(B7597,FCFF!$C$9:$I$9)+FCFF!$B$9+FCFF!$I$9*(1+Inputs!$B$6)/(B7597-Inputs!$B$6)/(1+B7597)^7</f>
        <v>-1234.437407</v>
      </c>
    </row>
    <row r="7598" ht="14.25" customHeight="1">
      <c r="A7598" s="7">
        <v>7585.0</v>
      </c>
      <c r="B7598" s="14">
        <f t="shared" si="1"/>
        <v>0.1183967704</v>
      </c>
      <c r="C7598" s="39">
        <f t="array" ref="C7598">NPV(B7598,FCFF!$C$9:$I$9)+FCFF!$B$9+FCFF!$I$9*(1+Inputs!$B$6)/(B7598-Inputs!$B$6)/(1+B7598)^7</f>
        <v>-1794.197268</v>
      </c>
    </row>
    <row r="7599" ht="14.25" customHeight="1">
      <c r="A7599" s="7">
        <v>7586.0</v>
      </c>
      <c r="B7599" s="14">
        <f t="shared" si="1"/>
        <v>0.09733856786</v>
      </c>
      <c r="C7599" s="39">
        <f t="array" ref="C7599">NPV(B7599,FCFF!$C$9:$I$9)+FCFF!$B$9+FCFF!$I$9*(1+Inputs!$B$6)/(B7599-Inputs!$B$6)/(1+B7599)^7</f>
        <v>-1305.347823</v>
      </c>
    </row>
    <row r="7600" ht="14.25" customHeight="1">
      <c r="A7600" s="7">
        <v>7587.0</v>
      </c>
      <c r="B7600" s="14">
        <f t="shared" si="1"/>
        <v>0.09834569002</v>
      </c>
      <c r="C7600" s="39">
        <f t="array" ref="C7600">NPV(B7600,FCFF!$C$9:$I$9)+FCFF!$B$9+FCFF!$I$9*(1+Inputs!$B$6)/(B7600-Inputs!$B$6)/(1+B7600)^7</f>
        <v>-1335.714108</v>
      </c>
    </row>
    <row r="7601" ht="14.25" customHeight="1">
      <c r="A7601" s="7">
        <v>7588.0</v>
      </c>
      <c r="B7601" s="14">
        <f t="shared" si="1"/>
        <v>0.1020013949</v>
      </c>
      <c r="C7601" s="39">
        <f t="array" ref="C7601">NPV(B7601,FCFF!$C$9:$I$9)+FCFF!$B$9+FCFF!$I$9*(1+Inputs!$B$6)/(B7601-Inputs!$B$6)/(1+B7601)^7</f>
        <v>-1438.770983</v>
      </c>
    </row>
    <row r="7602" ht="14.25" customHeight="1">
      <c r="A7602" s="7">
        <v>7589.0</v>
      </c>
      <c r="B7602" s="14">
        <f t="shared" si="1"/>
        <v>0.1300853655</v>
      </c>
      <c r="C7602" s="39">
        <f t="array" ref="C7602">NPV(B7602,FCFF!$C$9:$I$9)+FCFF!$B$9+FCFF!$I$9*(1+Inputs!$B$6)/(B7602-Inputs!$B$6)/(1+B7602)^7</f>
        <v>-1973.561034</v>
      </c>
    </row>
    <row r="7603" ht="14.25" customHeight="1">
      <c r="A7603" s="7">
        <v>7590.0</v>
      </c>
      <c r="B7603" s="14">
        <f t="shared" si="1"/>
        <v>0.1016178175</v>
      </c>
      <c r="C7603" s="39">
        <f t="array" ref="C7603">NPV(B7603,FCFF!$C$9:$I$9)+FCFF!$B$9+FCFF!$I$9*(1+Inputs!$B$6)/(B7603-Inputs!$B$6)/(1+B7603)^7</f>
        <v>-1428.455702</v>
      </c>
    </row>
    <row r="7604" ht="14.25" customHeight="1">
      <c r="A7604" s="7">
        <v>7591.0</v>
      </c>
      <c r="B7604" s="14">
        <f t="shared" si="1"/>
        <v>0.1051215844</v>
      </c>
      <c r="C7604" s="39">
        <f t="array" ref="C7604">NPV(B7604,FCFF!$C$9:$I$9)+FCFF!$B$9+FCFF!$I$9*(1+Inputs!$B$6)/(B7604-Inputs!$B$6)/(1+B7604)^7</f>
        <v>-1518.712794</v>
      </c>
    </row>
    <row r="7605" ht="14.25" customHeight="1">
      <c r="A7605" s="7">
        <v>7592.0</v>
      </c>
      <c r="B7605" s="14">
        <f t="shared" si="1"/>
        <v>0.1308315165</v>
      </c>
      <c r="C7605" s="39">
        <f t="array" ref="C7605">NPV(B7605,FCFF!$C$9:$I$9)+FCFF!$B$9+FCFF!$I$9*(1+Inputs!$B$6)/(B7605-Inputs!$B$6)/(1+B7605)^7</f>
        <v>-1983.497821</v>
      </c>
    </row>
    <row r="7606" ht="14.25" customHeight="1">
      <c r="A7606" s="7">
        <v>7593.0</v>
      </c>
      <c r="B7606" s="14">
        <f t="shared" si="1"/>
        <v>0.1320139897</v>
      </c>
      <c r="C7606" s="39">
        <f t="array" ref="C7606">NPV(B7606,FCFF!$C$9:$I$9)+FCFF!$B$9+FCFF!$I$9*(1+Inputs!$B$6)/(B7606-Inputs!$B$6)/(1+B7606)^7</f>
        <v>-1998.921722</v>
      </c>
    </row>
    <row r="7607" ht="14.25" customHeight="1">
      <c r="A7607" s="7">
        <v>7594.0</v>
      </c>
      <c r="B7607" s="14">
        <f t="shared" si="1"/>
        <v>0.1134608344</v>
      </c>
      <c r="C7607" s="39">
        <f t="array" ref="C7607">NPV(B7607,FCFF!$C$9:$I$9)+FCFF!$B$9+FCFF!$I$9*(1+Inputs!$B$6)/(B7607-Inputs!$B$6)/(1+B7607)^7</f>
        <v>-1702.386926</v>
      </c>
    </row>
    <row r="7608" ht="14.25" customHeight="1">
      <c r="A7608" s="7">
        <v>7595.0</v>
      </c>
      <c r="B7608" s="14">
        <f t="shared" si="1"/>
        <v>0.1265047149</v>
      </c>
      <c r="C7608" s="39">
        <f t="array" ref="C7608">NPV(B7608,FCFF!$C$9:$I$9)+FCFF!$B$9+FCFF!$I$9*(1+Inputs!$B$6)/(B7608-Inputs!$B$6)/(1+B7608)^7</f>
        <v>-1923.55579</v>
      </c>
    </row>
    <row r="7609" ht="14.25" customHeight="1">
      <c r="A7609" s="7">
        <v>7596.0</v>
      </c>
      <c r="B7609" s="14">
        <f t="shared" si="1"/>
        <v>0.1171239558</v>
      </c>
      <c r="C7609" s="39">
        <f t="array" ref="C7609">NPV(B7609,FCFF!$C$9:$I$9)+FCFF!$B$9+FCFF!$I$9*(1+Inputs!$B$6)/(B7609-Inputs!$B$6)/(1+B7609)^7</f>
        <v>-1771.566233</v>
      </c>
    </row>
    <row r="7610" ht="14.25" customHeight="1">
      <c r="A7610" s="7">
        <v>7597.0</v>
      </c>
      <c r="B7610" s="14">
        <f t="shared" si="1"/>
        <v>0.09630754549</v>
      </c>
      <c r="C7610" s="39">
        <f t="array" ref="C7610">NPV(B7610,FCFF!$C$9:$I$9)+FCFF!$B$9+FCFF!$I$9*(1+Inputs!$B$6)/(B7610-Inputs!$B$6)/(1+B7610)^7</f>
        <v>-1273.305948</v>
      </c>
    </row>
    <row r="7611" ht="14.25" customHeight="1">
      <c r="A7611" s="7">
        <v>7598.0</v>
      </c>
      <c r="B7611" s="14">
        <f t="shared" si="1"/>
        <v>0.126896606</v>
      </c>
      <c r="C7611" s="39">
        <f t="array" ref="C7611">NPV(B7611,FCFF!$C$9:$I$9)+FCFF!$B$9+FCFF!$I$9*(1+Inputs!$B$6)/(B7611-Inputs!$B$6)/(1+B7611)^7</f>
        <v>-1929.22326</v>
      </c>
    </row>
    <row r="7612" ht="14.25" customHeight="1">
      <c r="A7612" s="7">
        <v>7599.0</v>
      </c>
      <c r="B7612" s="14">
        <f t="shared" si="1"/>
        <v>0.1262860267</v>
      </c>
      <c r="C7612" s="39">
        <f t="array" ref="C7612">NPV(B7612,FCFF!$C$9:$I$9)+FCFF!$B$9+FCFF!$I$9*(1+Inputs!$B$6)/(B7612-Inputs!$B$6)/(1+B7612)^7</f>
        <v>-1920.371569</v>
      </c>
    </row>
    <row r="7613" ht="14.25" customHeight="1">
      <c r="A7613" s="7">
        <v>7600.0</v>
      </c>
      <c r="B7613" s="14">
        <f t="shared" si="1"/>
        <v>0.1042574897</v>
      </c>
      <c r="C7613" s="39">
        <f t="array" ref="C7613">NPV(B7613,FCFF!$C$9:$I$9)+FCFF!$B$9+FCFF!$I$9*(1+Inputs!$B$6)/(B7613-Inputs!$B$6)/(1+B7613)^7</f>
        <v>-1497.2576</v>
      </c>
    </row>
    <row r="7614" ht="14.25" customHeight="1">
      <c r="A7614" s="7">
        <v>7601.0</v>
      </c>
      <c r="B7614" s="14">
        <f t="shared" si="1"/>
        <v>0.1142235747</v>
      </c>
      <c r="C7614" s="39">
        <f t="array" ref="C7614">NPV(B7614,FCFF!$C$9:$I$9)+FCFF!$B$9+FCFF!$I$9*(1+Inputs!$B$6)/(B7614-Inputs!$B$6)/(1+B7614)^7</f>
        <v>-1717.310363</v>
      </c>
    </row>
    <row r="7615" ht="14.25" customHeight="1">
      <c r="A7615" s="7">
        <v>7602.0</v>
      </c>
      <c r="B7615" s="14">
        <f t="shared" si="1"/>
        <v>0.1024920256</v>
      </c>
      <c r="C7615" s="39">
        <f t="array" ref="C7615">NPV(B7615,FCFF!$C$9:$I$9)+FCFF!$B$9+FCFF!$I$9*(1+Inputs!$B$6)/(B7615-Inputs!$B$6)/(1+B7615)^7</f>
        <v>-1451.804186</v>
      </c>
    </row>
    <row r="7616" ht="14.25" customHeight="1">
      <c r="A7616" s="7">
        <v>7603.0</v>
      </c>
      <c r="B7616" s="14">
        <f t="shared" si="1"/>
        <v>0.1266997349</v>
      </c>
      <c r="C7616" s="39">
        <f t="array" ref="C7616">NPV(B7616,FCFF!$C$9:$I$9)+FCFF!$B$9+FCFF!$I$9*(1+Inputs!$B$6)/(B7616-Inputs!$B$6)/(1+B7616)^7</f>
        <v>-1926.382321</v>
      </c>
    </row>
    <row r="7617" ht="14.25" customHeight="1">
      <c r="A7617" s="7">
        <v>7604.0</v>
      </c>
      <c r="B7617" s="14">
        <f t="shared" si="1"/>
        <v>0.1137149493</v>
      </c>
      <c r="C7617" s="39">
        <f t="array" ref="C7617">NPV(B7617,FCFF!$C$9:$I$9)+FCFF!$B$9+FCFF!$I$9*(1+Inputs!$B$6)/(B7617-Inputs!$B$6)/(1+B7617)^7</f>
        <v>-1707.390322</v>
      </c>
    </row>
    <row r="7618" ht="14.25" customHeight="1">
      <c r="A7618" s="7">
        <v>7605.0</v>
      </c>
      <c r="B7618" s="14">
        <f t="shared" si="1"/>
        <v>0.09799201953</v>
      </c>
      <c r="C7618" s="39">
        <f t="array" ref="C7618">NPV(B7618,FCFF!$C$9:$I$9)+FCFF!$B$9+FCFF!$I$9*(1+Inputs!$B$6)/(B7618-Inputs!$B$6)/(1+B7618)^7</f>
        <v>-1325.152977</v>
      </c>
    </row>
    <row r="7619" ht="14.25" customHeight="1">
      <c r="A7619" s="7">
        <v>7606.0</v>
      </c>
      <c r="B7619" s="14">
        <f t="shared" si="1"/>
        <v>0.1278073843</v>
      </c>
      <c r="C7619" s="39">
        <f t="array" ref="C7619">NPV(B7619,FCFF!$C$9:$I$9)+FCFF!$B$9+FCFF!$I$9*(1+Inputs!$B$6)/(B7619-Inputs!$B$6)/(1+B7619)^7</f>
        <v>-1942.205903</v>
      </c>
    </row>
    <row r="7620" ht="14.25" customHeight="1">
      <c r="A7620" s="7">
        <v>7607.0</v>
      </c>
      <c r="B7620" s="14">
        <f t="shared" si="1"/>
        <v>0.1198051054</v>
      </c>
      <c r="C7620" s="39">
        <f t="array" ref="C7620">NPV(B7620,FCFF!$C$9:$I$9)+FCFF!$B$9+FCFF!$I$9*(1+Inputs!$B$6)/(B7620-Inputs!$B$6)/(1+B7620)^7</f>
        <v>-1818.450071</v>
      </c>
    </row>
    <row r="7621" ht="14.25" customHeight="1">
      <c r="A7621" s="7">
        <v>7608.0</v>
      </c>
      <c r="B7621" s="14">
        <f t="shared" si="1"/>
        <v>0.09503938316</v>
      </c>
      <c r="C7621" s="39">
        <f t="array" ref="C7621">NPV(B7621,FCFF!$C$9:$I$9)+FCFF!$B$9+FCFF!$I$9*(1+Inputs!$B$6)/(B7621-Inputs!$B$6)/(1+B7621)^7</f>
        <v>-1232.506102</v>
      </c>
    </row>
    <row r="7622" ht="14.25" customHeight="1">
      <c r="A7622" s="7">
        <v>7609.0</v>
      </c>
      <c r="B7622" s="14">
        <f t="shared" si="1"/>
        <v>0.111496419</v>
      </c>
      <c r="C7622" s="39">
        <f t="array" ref="C7622">NPV(B7622,FCFF!$C$9:$I$9)+FCFF!$B$9+FCFF!$I$9*(1+Inputs!$B$6)/(B7622-Inputs!$B$6)/(1+B7622)^7</f>
        <v>-1662.61256</v>
      </c>
    </row>
    <row r="7623" ht="14.25" customHeight="1">
      <c r="A7623" s="7">
        <v>7610.0</v>
      </c>
      <c r="B7623" s="14">
        <f t="shared" si="1"/>
        <v>0.1202849126</v>
      </c>
      <c r="C7623" s="39">
        <f t="array" ref="C7623">NPV(B7623,FCFF!$C$9:$I$9)+FCFF!$B$9+FCFF!$I$9*(1+Inputs!$B$6)/(B7623-Inputs!$B$6)/(1+B7623)^7</f>
        <v>-1826.530147</v>
      </c>
    </row>
    <row r="7624" ht="14.25" customHeight="1">
      <c r="A7624" s="7">
        <v>7611.0</v>
      </c>
      <c r="B7624" s="14">
        <f t="shared" si="1"/>
        <v>0.1229519885</v>
      </c>
      <c r="C7624" s="39">
        <f t="array" ref="C7624">NPV(B7624,FCFF!$C$9:$I$9)+FCFF!$B$9+FCFF!$I$9*(1+Inputs!$B$6)/(B7624-Inputs!$B$6)/(1+B7624)^7</f>
        <v>-1869.832512</v>
      </c>
    </row>
    <row r="7625" ht="14.25" customHeight="1">
      <c r="A7625" s="7">
        <v>7612.0</v>
      </c>
      <c r="B7625" s="14">
        <f t="shared" si="1"/>
        <v>0.09897828257</v>
      </c>
      <c r="C7625" s="39">
        <f t="array" ref="C7625">NPV(B7625,FCFF!$C$9:$I$9)+FCFF!$B$9+FCFF!$I$9*(1+Inputs!$B$6)/(B7625-Inputs!$B$6)/(1+B7625)^7</f>
        <v>-1354.333543</v>
      </c>
    </row>
    <row r="7626" ht="14.25" customHeight="1">
      <c r="A7626" s="7">
        <v>7613.0</v>
      </c>
      <c r="B7626" s="14">
        <f t="shared" si="1"/>
        <v>0.09712686724</v>
      </c>
      <c r="C7626" s="39">
        <f t="array" ref="C7626">NPV(B7626,FCFF!$C$9:$I$9)+FCFF!$B$9+FCFF!$I$9*(1+Inputs!$B$6)/(B7626-Inputs!$B$6)/(1+B7626)^7</f>
        <v>-1298.848809</v>
      </c>
    </row>
    <row r="7627" ht="14.25" customHeight="1">
      <c r="A7627" s="7">
        <v>7614.0</v>
      </c>
      <c r="B7627" s="14">
        <f t="shared" si="1"/>
        <v>0.1278792126</v>
      </c>
      <c r="C7627" s="39">
        <f t="array" ref="C7627">NPV(B7627,FCFF!$C$9:$I$9)+FCFF!$B$9+FCFF!$I$9*(1+Inputs!$B$6)/(B7627-Inputs!$B$6)/(1+B7627)^7</f>
        <v>-1943.218692</v>
      </c>
    </row>
    <row r="7628" ht="14.25" customHeight="1">
      <c r="A7628" s="7">
        <v>7615.0</v>
      </c>
      <c r="B7628" s="14">
        <f t="shared" si="1"/>
        <v>0.09638307887</v>
      </c>
      <c r="C7628" s="39">
        <f t="array" ref="C7628">NPV(B7628,FCFF!$C$9:$I$9)+FCFF!$B$9+FCFF!$I$9*(1+Inputs!$B$6)/(B7628-Inputs!$B$6)/(1+B7628)^7</f>
        <v>-1275.687066</v>
      </c>
    </row>
    <row r="7629" ht="14.25" customHeight="1">
      <c r="A7629" s="7">
        <v>7616.0</v>
      </c>
      <c r="B7629" s="14">
        <f t="shared" si="1"/>
        <v>0.1250036003</v>
      </c>
      <c r="C7629" s="39">
        <f t="array" ref="C7629">NPV(B7629,FCFF!$C$9:$I$9)+FCFF!$B$9+FCFF!$I$9*(1+Inputs!$B$6)/(B7629-Inputs!$B$6)/(1+B7629)^7</f>
        <v>-1901.381511</v>
      </c>
    </row>
    <row r="7630" ht="14.25" customHeight="1">
      <c r="A7630" s="7">
        <v>7617.0</v>
      </c>
      <c r="B7630" s="14">
        <f t="shared" si="1"/>
        <v>0.09414286189</v>
      </c>
      <c r="C7630" s="39">
        <f t="array" ref="C7630">NPV(B7630,FCFF!$C$9:$I$9)+FCFF!$B$9+FCFF!$I$9*(1+Inputs!$B$6)/(B7630-Inputs!$B$6)/(1+B7630)^7</f>
        <v>-1202.695785</v>
      </c>
    </row>
    <row r="7631" ht="14.25" customHeight="1">
      <c r="A7631" s="7">
        <v>7618.0</v>
      </c>
      <c r="B7631" s="14">
        <f t="shared" si="1"/>
        <v>0.1035587312</v>
      </c>
      <c r="C7631" s="39">
        <f t="array" ref="C7631">NPV(B7631,FCFF!$C$9:$I$9)+FCFF!$B$9+FCFF!$I$9*(1+Inputs!$B$6)/(B7631-Inputs!$B$6)/(1+B7631)^7</f>
        <v>-1479.532384</v>
      </c>
    </row>
    <row r="7632" ht="14.25" customHeight="1">
      <c r="A7632" s="7">
        <v>7619.0</v>
      </c>
      <c r="B7632" s="14">
        <f t="shared" si="1"/>
        <v>0.1271586893</v>
      </c>
      <c r="C7632" s="39">
        <f t="array" ref="C7632">NPV(B7632,FCFF!$C$9:$I$9)+FCFF!$B$9+FCFF!$I$9*(1+Inputs!$B$6)/(B7632-Inputs!$B$6)/(1+B7632)^7</f>
        <v>-1932.986004</v>
      </c>
    </row>
    <row r="7633" ht="14.25" customHeight="1">
      <c r="A7633" s="7">
        <v>7620.0</v>
      </c>
      <c r="B7633" s="14">
        <f t="shared" si="1"/>
        <v>0.1183406376</v>
      </c>
      <c r="C7633" s="39">
        <f t="array" ref="C7633">NPV(B7633,FCFF!$C$9:$I$9)+FCFF!$B$9+FCFF!$I$9*(1+Inputs!$B$6)/(B7633-Inputs!$B$6)/(1+B7633)^7</f>
        <v>-1793.213685</v>
      </c>
    </row>
    <row r="7634" ht="14.25" customHeight="1">
      <c r="A7634" s="7">
        <v>7621.0</v>
      </c>
      <c r="B7634" s="14">
        <f t="shared" si="1"/>
        <v>0.09814200414</v>
      </c>
      <c r="C7634" s="39">
        <f t="array" ref="C7634">NPV(B7634,FCFF!$C$9:$I$9)+FCFF!$B$9+FCFF!$I$9*(1+Inputs!$B$6)/(B7634-Inputs!$B$6)/(1+B7634)^7</f>
        <v>-1329.645152</v>
      </c>
    </row>
    <row r="7635" ht="14.25" customHeight="1">
      <c r="A7635" s="7">
        <v>7622.0</v>
      </c>
      <c r="B7635" s="14">
        <f t="shared" si="1"/>
        <v>0.1068777342</v>
      </c>
      <c r="C7635" s="39">
        <f t="array" ref="C7635">NPV(B7635,FCFF!$C$9:$I$9)+FCFF!$B$9+FCFF!$I$9*(1+Inputs!$B$6)/(B7635-Inputs!$B$6)/(1+B7635)^7</f>
        <v>-1560.801035</v>
      </c>
    </row>
    <row r="7636" ht="14.25" customHeight="1">
      <c r="A7636" s="7">
        <v>7623.0</v>
      </c>
      <c r="B7636" s="14">
        <f t="shared" si="1"/>
        <v>0.1159726494</v>
      </c>
      <c r="C7636" s="39">
        <f t="array" ref="C7636">NPV(B7636,FCFF!$C$9:$I$9)+FCFF!$B$9+FCFF!$I$9*(1+Inputs!$B$6)/(B7636-Inputs!$B$6)/(1+B7636)^7</f>
        <v>-1750.488378</v>
      </c>
    </row>
    <row r="7637" ht="14.25" customHeight="1">
      <c r="A7637" s="7">
        <v>7624.0</v>
      </c>
      <c r="B7637" s="14">
        <f t="shared" si="1"/>
        <v>0.1318341473</v>
      </c>
      <c r="C7637" s="39">
        <f t="array" ref="C7637">NPV(B7637,FCFF!$C$9:$I$9)+FCFF!$B$9+FCFF!$I$9*(1+Inputs!$B$6)/(B7637-Inputs!$B$6)/(1+B7637)^7</f>
        <v>-1996.601054</v>
      </c>
    </row>
    <row r="7638" ht="14.25" customHeight="1">
      <c r="A7638" s="7">
        <v>7625.0</v>
      </c>
      <c r="B7638" s="14">
        <f t="shared" si="1"/>
        <v>0.1317382918</v>
      </c>
      <c r="C7638" s="39">
        <f t="array" ref="C7638">NPV(B7638,FCFF!$C$9:$I$9)+FCFF!$B$9+FCFF!$I$9*(1+Inputs!$B$6)/(B7638-Inputs!$B$6)/(1+B7638)^7</f>
        <v>-1995.360491</v>
      </c>
    </row>
    <row r="7639" ht="14.25" customHeight="1">
      <c r="A7639" s="7">
        <v>7626.0</v>
      </c>
      <c r="B7639" s="14">
        <f t="shared" si="1"/>
        <v>0.09913856601</v>
      </c>
      <c r="C7639" s="39">
        <f t="array" ref="C7639">NPV(B7639,FCFF!$C$9:$I$9)+FCFF!$B$9+FCFF!$I$9*(1+Inputs!$B$6)/(B7639-Inputs!$B$6)/(1+B7639)^7</f>
        <v>-1358.996967</v>
      </c>
    </row>
    <row r="7640" ht="14.25" customHeight="1">
      <c r="A7640" s="7">
        <v>7627.0</v>
      </c>
      <c r="B7640" s="14">
        <f t="shared" si="1"/>
        <v>0.1020607423</v>
      </c>
      <c r="C7640" s="39">
        <f t="array" ref="C7640">NPV(B7640,FCFF!$C$9:$I$9)+FCFF!$B$9+FCFF!$I$9*(1+Inputs!$B$6)/(B7640-Inputs!$B$6)/(1+B7640)^7</f>
        <v>-1440.35705</v>
      </c>
    </row>
    <row r="7641" ht="14.25" customHeight="1">
      <c r="A7641" s="7">
        <v>7628.0</v>
      </c>
      <c r="B7641" s="14">
        <f t="shared" si="1"/>
        <v>0.1244253535</v>
      </c>
      <c r="C7641" s="39">
        <f t="array" ref="C7641">NPV(B7641,FCFF!$C$9:$I$9)+FCFF!$B$9+FCFF!$I$9*(1+Inputs!$B$6)/(B7641-Inputs!$B$6)/(1+B7641)^7</f>
        <v>-1892.6378</v>
      </c>
    </row>
    <row r="7642" ht="14.25" customHeight="1">
      <c r="A7642" s="7">
        <v>7629.0</v>
      </c>
      <c r="B7642" s="14">
        <f t="shared" si="1"/>
        <v>0.1233115911</v>
      </c>
      <c r="C7642" s="39">
        <f t="array" ref="C7642">NPV(B7642,FCFF!$C$9:$I$9)+FCFF!$B$9+FCFF!$I$9*(1+Inputs!$B$6)/(B7642-Inputs!$B$6)/(1+B7642)^7</f>
        <v>-1875.46955</v>
      </c>
    </row>
    <row r="7643" ht="14.25" customHeight="1">
      <c r="A7643" s="7">
        <v>7630.0</v>
      </c>
      <c r="B7643" s="14">
        <f t="shared" si="1"/>
        <v>0.1282342632</v>
      </c>
      <c r="C7643" s="39">
        <f t="array" ref="C7643">NPV(B7643,FCFF!$C$9:$I$9)+FCFF!$B$9+FCFF!$I$9*(1+Inputs!$B$6)/(B7643-Inputs!$B$6)/(1+B7643)^7</f>
        <v>-1948.201469</v>
      </c>
    </row>
    <row r="7644" ht="14.25" customHeight="1">
      <c r="A7644" s="7">
        <v>7631.0</v>
      </c>
      <c r="B7644" s="14">
        <f t="shared" si="1"/>
        <v>0.1262858993</v>
      </c>
      <c r="C7644" s="39">
        <f t="array" ref="C7644">NPV(B7644,FCFF!$C$9:$I$9)+FCFF!$B$9+FCFF!$I$9*(1+Inputs!$B$6)/(B7644-Inputs!$B$6)/(1+B7644)^7</f>
        <v>-1920.369709</v>
      </c>
    </row>
    <row r="7645" ht="14.25" customHeight="1">
      <c r="A7645" s="7">
        <v>7632.0</v>
      </c>
      <c r="B7645" s="14">
        <f t="shared" si="1"/>
        <v>0.1207088709</v>
      </c>
      <c r="C7645" s="39">
        <f t="array" ref="C7645">NPV(B7645,FCFF!$C$9:$I$9)+FCFF!$B$9+FCFF!$I$9*(1+Inputs!$B$6)/(B7645-Inputs!$B$6)/(1+B7645)^7</f>
        <v>-1833.594372</v>
      </c>
    </row>
    <row r="7646" ht="14.25" customHeight="1">
      <c r="A7646" s="7">
        <v>7633.0</v>
      </c>
      <c r="B7646" s="14">
        <f t="shared" si="1"/>
        <v>0.1036976738</v>
      </c>
      <c r="C7646" s="39">
        <f t="array" ref="C7646">NPV(B7646,FCFF!$C$9:$I$9)+FCFF!$B$9+FCFF!$I$9*(1+Inputs!$B$6)/(B7646-Inputs!$B$6)/(1+B7646)^7</f>
        <v>-1483.084122</v>
      </c>
    </row>
    <row r="7647" ht="14.25" customHeight="1">
      <c r="A7647" s="7">
        <v>7634.0</v>
      </c>
      <c r="B7647" s="14">
        <f t="shared" si="1"/>
        <v>0.1050819491</v>
      </c>
      <c r="C7647" s="39">
        <f t="array" ref="C7647">NPV(B7647,FCFF!$C$9:$I$9)+FCFF!$B$9+FCFF!$I$9*(1+Inputs!$B$6)/(B7647-Inputs!$B$6)/(1+B7647)^7</f>
        <v>-1517.739675</v>
      </c>
    </row>
    <row r="7648" ht="14.25" customHeight="1">
      <c r="A7648" s="7">
        <v>7635.0</v>
      </c>
      <c r="B7648" s="14">
        <f t="shared" si="1"/>
        <v>0.1236172092</v>
      </c>
      <c r="C7648" s="39">
        <f t="array" ref="C7648">NPV(B7648,FCFF!$C$9:$I$9)+FCFF!$B$9+FCFF!$I$9*(1+Inputs!$B$6)/(B7648-Inputs!$B$6)/(1+B7648)^7</f>
        <v>-1880.224012</v>
      </c>
    </row>
    <row r="7649" ht="14.25" customHeight="1">
      <c r="A7649" s="7">
        <v>7636.0</v>
      </c>
      <c r="B7649" s="14">
        <f t="shared" si="1"/>
        <v>0.1049838324</v>
      </c>
      <c r="C7649" s="39">
        <f t="array" ref="C7649">NPV(B7649,FCFF!$C$9:$I$9)+FCFF!$B$9+FCFF!$I$9*(1+Inputs!$B$6)/(B7649-Inputs!$B$6)/(1+B7649)^7</f>
        <v>-1515.326219</v>
      </c>
    </row>
    <row r="7650" ht="14.25" customHeight="1">
      <c r="A7650" s="7">
        <v>7637.0</v>
      </c>
      <c r="B7650" s="14">
        <f t="shared" si="1"/>
        <v>0.1099459982</v>
      </c>
      <c r="C7650" s="39">
        <f t="array" ref="C7650">NPV(B7650,FCFF!$C$9:$I$9)+FCFF!$B$9+FCFF!$I$9*(1+Inputs!$B$6)/(B7650-Inputs!$B$6)/(1+B7650)^7</f>
        <v>-1629.788294</v>
      </c>
    </row>
    <row r="7651" ht="14.25" customHeight="1">
      <c r="A7651" s="7">
        <v>7638.0</v>
      </c>
      <c r="B7651" s="14">
        <f t="shared" si="1"/>
        <v>0.1156276983</v>
      </c>
      <c r="C7651" s="39">
        <f t="array" ref="C7651">NPV(B7651,FCFF!$C$9:$I$9)+FCFF!$B$9+FCFF!$I$9*(1+Inputs!$B$6)/(B7651-Inputs!$B$6)/(1+B7651)^7</f>
        <v>-1744.057296</v>
      </c>
    </row>
    <row r="7652" ht="14.25" customHeight="1">
      <c r="A7652" s="7">
        <v>7639.0</v>
      </c>
      <c r="B7652" s="14">
        <f t="shared" si="1"/>
        <v>0.1136025844</v>
      </c>
      <c r="C7652" s="39">
        <f t="array" ref="C7652">NPV(B7652,FCFF!$C$9:$I$9)+FCFF!$B$9+FCFF!$I$9*(1+Inputs!$B$6)/(B7652-Inputs!$B$6)/(1+B7652)^7</f>
        <v>-1705.181822</v>
      </c>
    </row>
    <row r="7653" ht="14.25" customHeight="1">
      <c r="A7653" s="7">
        <v>7640.0</v>
      </c>
      <c r="B7653" s="14">
        <f t="shared" si="1"/>
        <v>0.108408846</v>
      </c>
      <c r="C7653" s="39">
        <f t="array" ref="C7653">NPV(B7653,FCFF!$C$9:$I$9)+FCFF!$B$9+FCFF!$I$9*(1+Inputs!$B$6)/(B7653-Inputs!$B$6)/(1+B7653)^7</f>
        <v>-1595.920905</v>
      </c>
    </row>
    <row r="7654" ht="14.25" customHeight="1">
      <c r="A7654" s="7">
        <v>7641.0</v>
      </c>
      <c r="B7654" s="14">
        <f t="shared" si="1"/>
        <v>0.1107802663</v>
      </c>
      <c r="C7654" s="39">
        <f t="array" ref="C7654">NPV(B7654,FCFF!$C$9:$I$9)+FCFF!$B$9+FCFF!$I$9*(1+Inputs!$B$6)/(B7654-Inputs!$B$6)/(1+B7654)^7</f>
        <v>-1647.612755</v>
      </c>
    </row>
    <row r="7655" ht="14.25" customHeight="1">
      <c r="A7655" s="7">
        <v>7642.0</v>
      </c>
      <c r="B7655" s="14">
        <f t="shared" si="1"/>
        <v>0.13072391</v>
      </c>
      <c r="C7655" s="39">
        <f t="array" ref="C7655">NPV(B7655,FCFF!$C$9:$I$9)+FCFF!$B$9+FCFF!$I$9*(1+Inputs!$B$6)/(B7655-Inputs!$B$6)/(1+B7655)^7</f>
        <v>-1982.074654</v>
      </c>
    </row>
    <row r="7656" ht="14.25" customHeight="1">
      <c r="A7656" s="7">
        <v>7643.0</v>
      </c>
      <c r="B7656" s="14">
        <f t="shared" si="1"/>
        <v>0.1210677504</v>
      </c>
      <c r="C7656" s="39">
        <f t="array" ref="C7656">NPV(B7656,FCFF!$C$9:$I$9)+FCFF!$B$9+FCFF!$I$9*(1+Inputs!$B$6)/(B7656-Inputs!$B$6)/(1+B7656)^7</f>
        <v>-1839.519713</v>
      </c>
    </row>
    <row r="7657" ht="14.25" customHeight="1">
      <c r="A7657" s="7">
        <v>7644.0</v>
      </c>
      <c r="B7657" s="14">
        <f t="shared" si="1"/>
        <v>0.1093157128</v>
      </c>
      <c r="C7657" s="39">
        <f t="array" ref="C7657">NPV(B7657,FCFF!$C$9:$I$9)+FCFF!$B$9+FCFF!$I$9*(1+Inputs!$B$6)/(B7657-Inputs!$B$6)/(1+B7657)^7</f>
        <v>-1616.065138</v>
      </c>
    </row>
    <row r="7658" ht="14.25" customHeight="1">
      <c r="A7658" s="7">
        <v>7645.0</v>
      </c>
      <c r="B7658" s="14">
        <f t="shared" si="1"/>
        <v>0.1201545676</v>
      </c>
      <c r="C7658" s="39">
        <f t="array" ref="C7658">NPV(B7658,FCFF!$C$9:$I$9)+FCFF!$B$9+FCFF!$I$9*(1+Inputs!$B$6)/(B7658-Inputs!$B$6)/(1+B7658)^7</f>
        <v>-1824.344115</v>
      </c>
    </row>
    <row r="7659" ht="14.25" customHeight="1">
      <c r="A7659" s="7">
        <v>7646.0</v>
      </c>
      <c r="B7659" s="14">
        <f t="shared" si="1"/>
        <v>0.1107505251</v>
      </c>
      <c r="C7659" s="39">
        <f t="array" ref="C7659">NPV(B7659,FCFF!$C$9:$I$9)+FCFF!$B$9+FCFF!$I$9*(1+Inputs!$B$6)/(B7659-Inputs!$B$6)/(1+B7659)^7</f>
        <v>-1646.983867</v>
      </c>
    </row>
    <row r="7660" ht="14.25" customHeight="1">
      <c r="A7660" s="7">
        <v>7647.0</v>
      </c>
      <c r="B7660" s="14">
        <f t="shared" si="1"/>
        <v>0.1291570455</v>
      </c>
      <c r="C7660" s="39">
        <f t="array" ref="C7660">NPV(B7660,FCFF!$C$9:$I$9)+FCFF!$B$9+FCFF!$I$9*(1+Inputs!$B$6)/(B7660-Inputs!$B$6)/(1+B7660)^7</f>
        <v>-1960.971491</v>
      </c>
    </row>
    <row r="7661" ht="14.25" customHeight="1">
      <c r="A7661" s="7">
        <v>7648.0</v>
      </c>
      <c r="B7661" s="14">
        <f t="shared" si="1"/>
        <v>0.1244321467</v>
      </c>
      <c r="C7661" s="39">
        <f t="array" ref="C7661">NPV(B7661,FCFF!$C$9:$I$9)+FCFF!$B$9+FCFF!$I$9*(1+Inputs!$B$6)/(B7661-Inputs!$B$6)/(1+B7661)^7</f>
        <v>-1892.741186</v>
      </c>
    </row>
    <row r="7662" ht="14.25" customHeight="1">
      <c r="A7662" s="7">
        <v>7649.0</v>
      </c>
      <c r="B7662" s="14">
        <f t="shared" si="1"/>
        <v>0.1233057455</v>
      </c>
      <c r="C7662" s="39">
        <f t="array" ref="C7662">NPV(B7662,FCFF!$C$9:$I$9)+FCFF!$B$9+FCFF!$I$9*(1+Inputs!$B$6)/(B7662-Inputs!$B$6)/(1+B7662)^7</f>
        <v>-1875.378288</v>
      </c>
    </row>
    <row r="7663" ht="14.25" customHeight="1">
      <c r="A7663" s="7">
        <v>7650.0</v>
      </c>
      <c r="B7663" s="14">
        <f t="shared" si="1"/>
        <v>0.132671734</v>
      </c>
      <c r="C7663" s="39">
        <f t="array" ref="C7663">NPV(B7663,FCFF!$C$9:$I$9)+FCFF!$B$9+FCFF!$I$9*(1+Inputs!$B$6)/(B7663-Inputs!$B$6)/(1+B7663)^7</f>
        <v>-2007.333679</v>
      </c>
    </row>
    <row r="7664" ht="14.25" customHeight="1">
      <c r="A7664" s="7">
        <v>7651.0</v>
      </c>
      <c r="B7664" s="14">
        <f t="shared" si="1"/>
        <v>0.1029643101</v>
      </c>
      <c r="C7664" s="39">
        <f t="array" ref="C7664">NPV(B7664,FCFF!$C$9:$I$9)+FCFF!$B$9+FCFF!$I$9*(1+Inputs!$B$6)/(B7664-Inputs!$B$6)/(1+B7664)^7</f>
        <v>-1464.182318</v>
      </c>
    </row>
    <row r="7665" ht="14.25" customHeight="1">
      <c r="A7665" s="7">
        <v>7652.0</v>
      </c>
      <c r="B7665" s="14">
        <f t="shared" si="1"/>
        <v>0.1027090604</v>
      </c>
      <c r="C7665" s="39">
        <f t="array" ref="C7665">NPV(B7665,FCFF!$C$9:$I$9)+FCFF!$B$9+FCFF!$I$9*(1+Inputs!$B$6)/(B7665-Inputs!$B$6)/(1+B7665)^7</f>
        <v>-1457.512706</v>
      </c>
    </row>
    <row r="7666" ht="14.25" customHeight="1">
      <c r="A7666" s="7">
        <v>7653.0</v>
      </c>
      <c r="B7666" s="14">
        <f t="shared" si="1"/>
        <v>0.1039604316</v>
      </c>
      <c r="C7666" s="39">
        <f t="array" ref="C7666">NPV(B7666,FCFF!$C$9:$I$9)+FCFF!$B$9+FCFF!$I$9*(1+Inputs!$B$6)/(B7666-Inputs!$B$6)/(1+B7666)^7</f>
        <v>-1489.763824</v>
      </c>
    </row>
    <row r="7667" ht="14.25" customHeight="1">
      <c r="A7667" s="7">
        <v>7654.0</v>
      </c>
      <c r="B7667" s="14">
        <f t="shared" si="1"/>
        <v>0.0942901447</v>
      </c>
      <c r="C7667" s="39">
        <f t="array" ref="C7667">NPV(B7667,FCFF!$C$9:$I$9)+FCFF!$B$9+FCFF!$I$9*(1+Inputs!$B$6)/(B7667-Inputs!$B$6)/(1+B7667)^7</f>
        <v>-1207.649703</v>
      </c>
    </row>
    <row r="7668" ht="14.25" customHeight="1">
      <c r="A7668" s="7">
        <v>7655.0</v>
      </c>
      <c r="B7668" s="14">
        <f t="shared" si="1"/>
        <v>0.1243849799</v>
      </c>
      <c r="C7668" s="39">
        <f t="array" ref="C7668">NPV(B7668,FCFF!$C$9:$I$9)+FCFF!$B$9+FCFF!$I$9*(1+Inputs!$B$6)/(B7668-Inputs!$B$6)/(1+B7668)^7</f>
        <v>-1892.023021</v>
      </c>
    </row>
    <row r="7669" ht="14.25" customHeight="1">
      <c r="A7669" s="7">
        <v>7656.0</v>
      </c>
      <c r="B7669" s="14">
        <f t="shared" si="1"/>
        <v>0.1036432726</v>
      </c>
      <c r="C7669" s="39">
        <f t="array" ref="C7669">NPV(B7669,FCFF!$C$9:$I$9)+FCFF!$B$9+FCFF!$I$9*(1+Inputs!$B$6)/(B7669-Inputs!$B$6)/(1+B7669)^7</f>
        <v>-1481.695106</v>
      </c>
    </row>
    <row r="7670" ht="14.25" customHeight="1">
      <c r="A7670" s="7">
        <v>7657.0</v>
      </c>
      <c r="B7670" s="14">
        <f t="shared" si="1"/>
        <v>0.1318630176</v>
      </c>
      <c r="C7670" s="39">
        <f t="array" ref="C7670">NPV(B7670,FCFF!$C$9:$I$9)+FCFF!$B$9+FCFF!$I$9*(1+Inputs!$B$6)/(B7670-Inputs!$B$6)/(1+B7670)^7</f>
        <v>-1996.974196</v>
      </c>
    </row>
    <row r="7671" ht="14.25" customHeight="1">
      <c r="A7671" s="7">
        <v>7658.0</v>
      </c>
      <c r="B7671" s="14">
        <f t="shared" si="1"/>
        <v>0.09378067798</v>
      </c>
      <c r="C7671" s="39">
        <f t="array" ref="C7671">NPV(B7671,FCFF!$C$9:$I$9)+FCFF!$B$9+FCFF!$I$9*(1+Inputs!$B$6)/(B7671-Inputs!$B$6)/(1+B7671)^7</f>
        <v>-1190.417182</v>
      </c>
    </row>
    <row r="7672" ht="14.25" customHeight="1">
      <c r="A7672" s="7">
        <v>7659.0</v>
      </c>
      <c r="B7672" s="14">
        <f t="shared" si="1"/>
        <v>0.1074532902</v>
      </c>
      <c r="C7672" s="39">
        <f t="array" ref="C7672">NPV(B7672,FCFF!$C$9:$I$9)+FCFF!$B$9+FCFF!$I$9*(1+Inputs!$B$6)/(B7672-Inputs!$B$6)/(1+B7672)^7</f>
        <v>-1574.170026</v>
      </c>
    </row>
    <row r="7673" ht="14.25" customHeight="1">
      <c r="A7673" s="7">
        <v>7660.0</v>
      </c>
      <c r="B7673" s="14">
        <f t="shared" si="1"/>
        <v>0.1084318361</v>
      </c>
      <c r="C7673" s="39">
        <f t="array" ref="C7673">NPV(B7673,FCFF!$C$9:$I$9)+FCFF!$B$9+FCFF!$I$9*(1+Inputs!$B$6)/(B7673-Inputs!$B$6)/(1+B7673)^7</f>
        <v>-1596.43751</v>
      </c>
    </row>
    <row r="7674" ht="14.25" customHeight="1">
      <c r="A7674" s="7">
        <v>7661.0</v>
      </c>
      <c r="B7674" s="14">
        <f t="shared" si="1"/>
        <v>0.1065486241</v>
      </c>
      <c r="C7674" s="39">
        <f t="array" ref="C7674">NPV(B7674,FCFF!$C$9:$I$9)+FCFF!$B$9+FCFF!$I$9*(1+Inputs!$B$6)/(B7674-Inputs!$B$6)/(1+B7674)^7</f>
        <v>-1553.063882</v>
      </c>
    </row>
    <row r="7675" ht="14.25" customHeight="1">
      <c r="A7675" s="7">
        <v>7662.0</v>
      </c>
      <c r="B7675" s="14">
        <f t="shared" si="1"/>
        <v>0.1021567877</v>
      </c>
      <c r="C7675" s="39">
        <f t="array" ref="C7675">NPV(B7675,FCFF!$C$9:$I$9)+FCFF!$B$9+FCFF!$I$9*(1+Inputs!$B$6)/(B7675-Inputs!$B$6)/(1+B7675)^7</f>
        <v>-1442.918281</v>
      </c>
    </row>
    <row r="7676" ht="14.25" customHeight="1">
      <c r="A7676" s="7">
        <v>7663.0</v>
      </c>
      <c r="B7676" s="14">
        <f t="shared" si="1"/>
        <v>0.09831132854</v>
      </c>
      <c r="C7676" s="39">
        <f t="array" ref="C7676">NPV(B7676,FCFF!$C$9:$I$9)+FCFF!$B$9+FCFF!$I$9*(1+Inputs!$B$6)/(B7676-Inputs!$B$6)/(1+B7676)^7</f>
        <v>-1334.692828</v>
      </c>
    </row>
    <row r="7677" ht="14.25" customHeight="1">
      <c r="A7677" s="7">
        <v>7664.0</v>
      </c>
      <c r="B7677" s="14">
        <f t="shared" si="1"/>
        <v>0.1149894629</v>
      </c>
      <c r="C7677" s="39">
        <f t="array" ref="C7677">NPV(B7677,FCFF!$C$9:$I$9)+FCFF!$B$9+FCFF!$I$9*(1+Inputs!$B$6)/(B7677-Inputs!$B$6)/(1+B7677)^7</f>
        <v>-1732.014199</v>
      </c>
    </row>
    <row r="7678" ht="14.25" customHeight="1">
      <c r="A7678" s="7">
        <v>7665.0</v>
      </c>
      <c r="B7678" s="14">
        <f t="shared" si="1"/>
        <v>0.116292956</v>
      </c>
      <c r="C7678" s="39">
        <f t="array" ref="C7678">NPV(B7678,FCFF!$C$9:$I$9)+FCFF!$B$9+FCFF!$I$9*(1+Inputs!$B$6)/(B7678-Inputs!$B$6)/(1+B7678)^7</f>
        <v>-1756.411754</v>
      </c>
    </row>
    <row r="7679" ht="14.25" customHeight="1">
      <c r="A7679" s="7">
        <v>7666.0</v>
      </c>
      <c r="B7679" s="14">
        <f t="shared" si="1"/>
        <v>0.1221418938</v>
      </c>
      <c r="C7679" s="39">
        <f t="array" ref="C7679">NPV(B7679,FCFF!$C$9:$I$9)+FCFF!$B$9+FCFF!$I$9*(1+Inputs!$B$6)/(B7679-Inputs!$B$6)/(1+B7679)^7</f>
        <v>-1856.961727</v>
      </c>
    </row>
    <row r="7680" ht="14.25" customHeight="1">
      <c r="A7680" s="7">
        <v>7667.0</v>
      </c>
      <c r="B7680" s="14">
        <f t="shared" si="1"/>
        <v>0.1250894638</v>
      </c>
      <c r="C7680" s="39">
        <f t="array" ref="C7680">NPV(B7680,FCFF!$C$9:$I$9)+FCFF!$B$9+FCFF!$I$9*(1+Inputs!$B$6)/(B7680-Inputs!$B$6)/(1+B7680)^7</f>
        <v>-1902.670144</v>
      </c>
    </row>
    <row r="7681" ht="14.25" customHeight="1">
      <c r="A7681" s="7">
        <v>7668.0</v>
      </c>
      <c r="B7681" s="14">
        <f t="shared" si="1"/>
        <v>0.1068058711</v>
      </c>
      <c r="C7681" s="39">
        <f t="array" ref="C7681">NPV(B7681,FCFF!$C$9:$I$9)+FCFF!$B$9+FCFF!$I$9*(1+Inputs!$B$6)/(B7681-Inputs!$B$6)/(1+B7681)^7</f>
        <v>-1559.117377</v>
      </c>
    </row>
    <row r="7682" ht="14.25" customHeight="1">
      <c r="A7682" s="7">
        <v>7669.0</v>
      </c>
      <c r="B7682" s="14">
        <f t="shared" si="1"/>
        <v>0.1004287495</v>
      </c>
      <c r="C7682" s="39">
        <f t="array" ref="C7682">NPV(B7682,FCFF!$C$9:$I$9)+FCFF!$B$9+FCFF!$I$9*(1+Inputs!$B$6)/(B7682-Inputs!$B$6)/(1+B7682)^7</f>
        <v>-1395.757613</v>
      </c>
    </row>
    <row r="7683" ht="14.25" customHeight="1">
      <c r="A7683" s="7">
        <v>7670.0</v>
      </c>
      <c r="B7683" s="14">
        <f t="shared" si="1"/>
        <v>0.09898925693</v>
      </c>
      <c r="C7683" s="39">
        <f t="array" ref="C7683">NPV(B7683,FCFF!$C$9:$I$9)+FCFF!$B$9+FCFF!$I$9*(1+Inputs!$B$6)/(B7683-Inputs!$B$6)/(1+B7683)^7</f>
        <v>-1354.653534</v>
      </c>
    </row>
    <row r="7684" ht="14.25" customHeight="1">
      <c r="A7684" s="7">
        <v>7671.0</v>
      </c>
      <c r="B7684" s="14">
        <f t="shared" si="1"/>
        <v>0.1103605244</v>
      </c>
      <c r="C7684" s="39">
        <f t="array" ref="C7684">NPV(B7684,FCFF!$C$9:$I$9)+FCFF!$B$9+FCFF!$I$9*(1+Inputs!$B$6)/(B7684-Inputs!$B$6)/(1+B7684)^7</f>
        <v>-1638.692623</v>
      </c>
    </row>
    <row r="7685" ht="14.25" customHeight="1">
      <c r="A7685" s="7">
        <v>7672.0</v>
      </c>
      <c r="B7685" s="14">
        <f t="shared" si="1"/>
        <v>0.1008151562</v>
      </c>
      <c r="C7685" s="39">
        <f t="array" ref="C7685">NPV(B7685,FCFF!$C$9:$I$9)+FCFF!$B$9+FCFF!$I$9*(1+Inputs!$B$6)/(B7685-Inputs!$B$6)/(1+B7685)^7</f>
        <v>-1406.504907</v>
      </c>
    </row>
    <row r="7686" ht="14.25" customHeight="1">
      <c r="A7686" s="7">
        <v>7673.0</v>
      </c>
      <c r="B7686" s="14">
        <f t="shared" si="1"/>
        <v>0.1187263065</v>
      </c>
      <c r="C7686" s="39">
        <f t="array" ref="C7686">NPV(B7686,FCFF!$C$9:$I$9)+FCFF!$B$9+FCFF!$I$9*(1+Inputs!$B$6)/(B7686-Inputs!$B$6)/(1+B7686)^7</f>
        <v>-1799.94506</v>
      </c>
    </row>
    <row r="7687" ht="14.25" customHeight="1">
      <c r="A7687" s="7">
        <v>7674.0</v>
      </c>
      <c r="B7687" s="14">
        <f t="shared" si="1"/>
        <v>0.09711380562</v>
      </c>
      <c r="C7687" s="39">
        <f t="array" ref="C7687">NPV(B7687,FCFF!$C$9:$I$9)+FCFF!$B$9+FCFF!$I$9*(1+Inputs!$B$6)/(B7687-Inputs!$B$6)/(1+B7687)^7</f>
        <v>-1298.446487</v>
      </c>
    </row>
    <row r="7688" ht="14.25" customHeight="1">
      <c r="A7688" s="7">
        <v>7675.0</v>
      </c>
      <c r="B7688" s="14">
        <f t="shared" si="1"/>
        <v>0.13246287</v>
      </c>
      <c r="C7688" s="39">
        <f t="array" ref="C7688">NPV(B7688,FCFF!$C$9:$I$9)+FCFF!$B$9+FCFF!$I$9*(1+Inputs!$B$6)/(B7688-Inputs!$B$6)/(1+B7688)^7</f>
        <v>-2004.675269</v>
      </c>
    </row>
    <row r="7689" ht="14.25" customHeight="1">
      <c r="A7689" s="7">
        <v>7676.0</v>
      </c>
      <c r="B7689" s="14">
        <f t="shared" si="1"/>
        <v>0.1308946261</v>
      </c>
      <c r="C7689" s="39">
        <f t="array" ref="C7689">NPV(B7689,FCFF!$C$9:$I$9)+FCFF!$B$9+FCFF!$I$9*(1+Inputs!$B$6)/(B7689-Inputs!$B$6)/(1+B7689)^7</f>
        <v>-1984.330953</v>
      </c>
    </row>
    <row r="7690" ht="14.25" customHeight="1">
      <c r="A7690" s="7">
        <v>7677.0</v>
      </c>
      <c r="B7690" s="14">
        <f t="shared" si="1"/>
        <v>0.1132934502</v>
      </c>
      <c r="C7690" s="39">
        <f t="array" ref="C7690">NPV(B7690,FCFF!$C$9:$I$9)+FCFF!$B$9+FCFF!$I$9*(1+Inputs!$B$6)/(B7690-Inputs!$B$6)/(1+B7690)^7</f>
        <v>-1699.07384</v>
      </c>
    </row>
    <row r="7691" ht="14.25" customHeight="1">
      <c r="A7691" s="7">
        <v>7678.0</v>
      </c>
      <c r="B7691" s="14">
        <f t="shared" si="1"/>
        <v>0.1209697586</v>
      </c>
      <c r="C7691" s="39">
        <f t="array" ref="C7691">NPV(B7691,FCFF!$C$9:$I$9)+FCFF!$B$9+FCFF!$I$9*(1+Inputs!$B$6)/(B7691-Inputs!$B$6)/(1+B7691)^7</f>
        <v>-1837.906726</v>
      </c>
    </row>
    <row r="7692" ht="14.25" customHeight="1">
      <c r="A7692" s="7">
        <v>7679.0</v>
      </c>
      <c r="B7692" s="14">
        <f t="shared" si="1"/>
        <v>0.1218703548</v>
      </c>
      <c r="C7692" s="39">
        <f t="array" ref="C7692">NPV(B7692,FCFF!$C$9:$I$9)+FCFF!$B$9+FCFF!$I$9*(1+Inputs!$B$6)/(B7692-Inputs!$B$6)/(1+B7692)^7</f>
        <v>-1852.593409</v>
      </c>
    </row>
    <row r="7693" ht="14.25" customHeight="1">
      <c r="A7693" s="7">
        <v>7680.0</v>
      </c>
      <c r="B7693" s="14">
        <f t="shared" si="1"/>
        <v>0.1113058484</v>
      </c>
      <c r="C7693" s="39">
        <f t="array" ref="C7693">NPV(B7693,FCFF!$C$9:$I$9)+FCFF!$B$9+FCFF!$I$9*(1+Inputs!$B$6)/(B7693-Inputs!$B$6)/(1+B7693)^7</f>
        <v>-1658.647786</v>
      </c>
    </row>
    <row r="7694" ht="14.25" customHeight="1">
      <c r="A7694" s="7">
        <v>7681.0</v>
      </c>
      <c r="B7694" s="14">
        <f t="shared" si="1"/>
        <v>0.1164580275</v>
      </c>
      <c r="C7694" s="39">
        <f t="array" ref="C7694">NPV(B7694,FCFF!$C$9:$I$9)+FCFF!$B$9+FCFF!$I$9*(1+Inputs!$B$6)/(B7694-Inputs!$B$6)/(1+B7694)^7</f>
        <v>-1759.446417</v>
      </c>
    </row>
    <row r="7695" ht="14.25" customHeight="1">
      <c r="A7695" s="7">
        <v>7682.0</v>
      </c>
      <c r="B7695" s="14">
        <f t="shared" si="1"/>
        <v>0.1194281997</v>
      </c>
      <c r="C7695" s="39">
        <f t="array" ref="C7695">NPV(B7695,FCFF!$C$9:$I$9)+FCFF!$B$9+FCFF!$I$9*(1+Inputs!$B$6)/(B7695-Inputs!$B$6)/(1+B7695)^7</f>
        <v>-1812.038509</v>
      </c>
    </row>
    <row r="7696" ht="14.25" customHeight="1">
      <c r="A7696" s="7">
        <v>7683.0</v>
      </c>
      <c r="B7696" s="14">
        <f t="shared" si="1"/>
        <v>0.1049199563</v>
      </c>
      <c r="C7696" s="39">
        <f t="array" ref="C7696">NPV(B7696,FCFF!$C$9:$I$9)+FCFF!$B$9+FCFF!$I$9*(1+Inputs!$B$6)/(B7696-Inputs!$B$6)/(1+B7696)^7</f>
        <v>-1513.751541</v>
      </c>
    </row>
    <row r="7697" ht="14.25" customHeight="1">
      <c r="A7697" s="7">
        <v>7684.0</v>
      </c>
      <c r="B7697" s="14">
        <f t="shared" si="1"/>
        <v>0.1283359563</v>
      </c>
      <c r="C7697" s="39">
        <f t="array" ref="C7697">NPV(B7697,FCFF!$C$9:$I$9)+FCFF!$B$9+FCFF!$I$9*(1+Inputs!$B$6)/(B7697-Inputs!$B$6)/(1+B7697)^7</f>
        <v>-1949.62147</v>
      </c>
    </row>
    <row r="7698" ht="14.25" customHeight="1">
      <c r="A7698" s="7">
        <v>7685.0</v>
      </c>
      <c r="B7698" s="14">
        <f t="shared" si="1"/>
        <v>0.1323539203</v>
      </c>
      <c r="C7698" s="39">
        <f t="array" ref="C7698">NPV(B7698,FCFF!$C$9:$I$9)+FCFF!$B$9+FCFF!$I$9*(1+Inputs!$B$6)/(B7698-Inputs!$B$6)/(1+B7698)^7</f>
        <v>-2003.283861</v>
      </c>
    </row>
    <row r="7699" ht="14.25" customHeight="1">
      <c r="A7699" s="7">
        <v>7686.0</v>
      </c>
      <c r="B7699" s="14">
        <f t="shared" si="1"/>
        <v>0.1299790572</v>
      </c>
      <c r="C7699" s="39">
        <f t="array" ref="C7699">NPV(B7699,FCFF!$C$9:$I$9)+FCFF!$B$9+FCFF!$I$9*(1+Inputs!$B$6)/(B7699-Inputs!$B$6)/(1+B7699)^7</f>
        <v>-1972.132171</v>
      </c>
    </row>
    <row r="7700" ht="14.25" customHeight="1">
      <c r="A7700" s="7">
        <v>7687.0</v>
      </c>
      <c r="B7700" s="14">
        <f t="shared" si="1"/>
        <v>0.1195906899</v>
      </c>
      <c r="C7700" s="39">
        <f t="array" ref="C7700">NPV(B7700,FCFF!$C$9:$I$9)+FCFF!$B$9+FCFF!$I$9*(1+Inputs!$B$6)/(B7700-Inputs!$B$6)/(1+B7700)^7</f>
        <v>-1814.809636</v>
      </c>
    </row>
    <row r="7701" ht="14.25" customHeight="1">
      <c r="A7701" s="7">
        <v>7688.0</v>
      </c>
      <c r="B7701" s="14">
        <f t="shared" si="1"/>
        <v>0.1085925915</v>
      </c>
      <c r="C7701" s="39">
        <f t="array" ref="C7701">NPV(B7701,FCFF!$C$9:$I$9)+FCFF!$B$9+FCFF!$I$9*(1+Inputs!$B$6)/(B7701-Inputs!$B$6)/(1+B7701)^7</f>
        <v>-1600.041108</v>
      </c>
    </row>
    <row r="7702" ht="14.25" customHeight="1">
      <c r="A7702" s="7">
        <v>7689.0</v>
      </c>
      <c r="B7702" s="14">
        <f t="shared" si="1"/>
        <v>0.1204393015</v>
      </c>
      <c r="C7702" s="39">
        <f t="array" ref="C7702">NPV(B7702,FCFF!$C$9:$I$9)+FCFF!$B$9+FCFF!$I$9*(1+Inputs!$B$6)/(B7702-Inputs!$B$6)/(1+B7702)^7</f>
        <v>-1829.110788</v>
      </c>
    </row>
    <row r="7703" ht="14.25" customHeight="1">
      <c r="A7703" s="7">
        <v>7690.0</v>
      </c>
      <c r="B7703" s="14">
        <f t="shared" si="1"/>
        <v>0.1124022671</v>
      </c>
      <c r="C7703" s="39">
        <f t="array" ref="C7703">NPV(B7703,FCFF!$C$9:$I$9)+FCFF!$B$9+FCFF!$I$9*(1+Inputs!$B$6)/(B7703-Inputs!$B$6)/(1+B7703)^7</f>
        <v>-1681.198487</v>
      </c>
    </row>
    <row r="7704" ht="14.25" customHeight="1">
      <c r="A7704" s="7">
        <v>7691.0</v>
      </c>
      <c r="B7704" s="14">
        <f t="shared" si="1"/>
        <v>0.1266602048</v>
      </c>
      <c r="C7704" s="39">
        <f t="array" ref="C7704">NPV(B7704,FCFF!$C$9:$I$9)+FCFF!$B$9+FCFF!$I$9*(1+Inputs!$B$6)/(B7704-Inputs!$B$6)/(1+B7704)^7</f>
        <v>-1925.810382</v>
      </c>
    </row>
    <row r="7705" ht="14.25" customHeight="1">
      <c r="A7705" s="7">
        <v>7692.0</v>
      </c>
      <c r="B7705" s="14">
        <f t="shared" si="1"/>
        <v>0.128851157</v>
      </c>
      <c r="C7705" s="39">
        <f t="array" ref="C7705">NPV(B7705,FCFF!$C$9:$I$9)+FCFF!$B$9+FCFF!$I$9*(1+Inputs!$B$6)/(B7705-Inputs!$B$6)/(1+B7705)^7</f>
        <v>-1956.766998</v>
      </c>
    </row>
    <row r="7706" ht="14.25" customHeight="1">
      <c r="A7706" s="7">
        <v>7693.0</v>
      </c>
      <c r="B7706" s="14">
        <f t="shared" si="1"/>
        <v>0.1159337315</v>
      </c>
      <c r="C7706" s="39">
        <f t="array" ref="C7706">NPV(B7706,FCFF!$C$9:$I$9)+FCFF!$B$9+FCFF!$I$9*(1+Inputs!$B$6)/(B7706-Inputs!$B$6)/(1+B7706)^7</f>
        <v>-1749.765522</v>
      </c>
    </row>
    <row r="7707" ht="14.25" customHeight="1">
      <c r="A7707" s="7">
        <v>7694.0</v>
      </c>
      <c r="B7707" s="14">
        <f t="shared" si="1"/>
        <v>0.1111232169</v>
      </c>
      <c r="C7707" s="39">
        <f t="array" ref="C7707">NPV(B7707,FCFF!$C$9:$I$9)+FCFF!$B$9+FCFF!$I$9*(1+Inputs!$B$6)/(B7707-Inputs!$B$6)/(1+B7707)^7</f>
        <v>-1654.830071</v>
      </c>
    </row>
    <row r="7708" ht="14.25" customHeight="1">
      <c r="A7708" s="7">
        <v>7695.0</v>
      </c>
      <c r="B7708" s="14">
        <f t="shared" si="1"/>
        <v>0.1044483175</v>
      </c>
      <c r="C7708" s="39">
        <f t="array" ref="C7708">NPV(B7708,FCFF!$C$9:$I$9)+FCFF!$B$9+FCFF!$I$9*(1+Inputs!$B$6)/(B7708-Inputs!$B$6)/(1+B7708)^7</f>
        <v>-1502.039443</v>
      </c>
    </row>
    <row r="7709" ht="14.25" customHeight="1">
      <c r="A7709" s="7">
        <v>7696.0</v>
      </c>
      <c r="B7709" s="14">
        <f t="shared" si="1"/>
        <v>0.1050483858</v>
      </c>
      <c r="C7709" s="39">
        <f t="array" ref="C7709">NPV(B7709,FCFF!$C$9:$I$9)+FCFF!$B$9+FCFF!$I$9*(1+Inputs!$B$6)/(B7709-Inputs!$B$6)/(1+B7709)^7</f>
        <v>-1516.914814</v>
      </c>
    </row>
    <row r="7710" ht="14.25" customHeight="1">
      <c r="A7710" s="7">
        <v>7697.0</v>
      </c>
      <c r="B7710" s="14">
        <f t="shared" si="1"/>
        <v>0.0951684706</v>
      </c>
      <c r="C7710" s="39">
        <f t="array" ref="C7710">NPV(B7710,FCFF!$C$9:$I$9)+FCFF!$B$9+FCFF!$I$9*(1+Inputs!$B$6)/(B7710-Inputs!$B$6)/(1+B7710)^7</f>
        <v>-1236.731347</v>
      </c>
    </row>
    <row r="7711" ht="14.25" customHeight="1">
      <c r="A7711" s="7">
        <v>7698.0</v>
      </c>
      <c r="B7711" s="14">
        <f t="shared" si="1"/>
        <v>0.1312878531</v>
      </c>
      <c r="C7711" s="39">
        <f t="array" ref="C7711">NPV(B7711,FCFF!$C$9:$I$9)+FCFF!$B$9+FCFF!$I$9*(1+Inputs!$B$6)/(B7711-Inputs!$B$6)/(1+B7711)^7</f>
        <v>-1989.496637</v>
      </c>
    </row>
    <row r="7712" ht="14.25" customHeight="1">
      <c r="A7712" s="7">
        <v>7699.0</v>
      </c>
      <c r="B7712" s="14">
        <f t="shared" si="1"/>
        <v>0.1264894924</v>
      </c>
      <c r="C7712" s="39">
        <f t="array" ref="C7712">NPV(B7712,FCFF!$C$9:$I$9)+FCFF!$B$9+FCFF!$I$9*(1+Inputs!$B$6)/(B7712-Inputs!$B$6)/(1+B7712)^7</f>
        <v>-1923.334645</v>
      </c>
    </row>
    <row r="7713" ht="14.25" customHeight="1">
      <c r="A7713" s="7">
        <v>7700.0</v>
      </c>
      <c r="B7713" s="14">
        <f t="shared" si="1"/>
        <v>0.1069615202</v>
      </c>
      <c r="C7713" s="39">
        <f t="array" ref="C7713">NPV(B7713,FCFF!$C$9:$I$9)+FCFF!$B$9+FCFF!$I$9*(1+Inputs!$B$6)/(B7713-Inputs!$B$6)/(1+B7713)^7</f>
        <v>-1562.75996</v>
      </c>
    </row>
    <row r="7714" ht="14.25" customHeight="1">
      <c r="A7714" s="7">
        <v>7701.0</v>
      </c>
      <c r="B7714" s="14">
        <f t="shared" si="1"/>
        <v>0.09310219555</v>
      </c>
      <c r="C7714" s="39">
        <f t="array" ref="C7714">NPV(B7714,FCFF!$C$9:$I$9)+FCFF!$B$9+FCFF!$I$9*(1+Inputs!$B$6)/(B7714-Inputs!$B$6)/(1+B7714)^7</f>
        <v>-1167.040214</v>
      </c>
    </row>
    <row r="7715" ht="14.25" customHeight="1">
      <c r="A7715" s="7">
        <v>7702.0</v>
      </c>
      <c r="B7715" s="14">
        <f t="shared" si="1"/>
        <v>0.1156631794</v>
      </c>
      <c r="C7715" s="39">
        <f t="array" ref="C7715">NPV(B7715,FCFF!$C$9:$I$9)+FCFF!$B$9+FCFF!$I$9*(1+Inputs!$B$6)/(B7715-Inputs!$B$6)/(1+B7715)^7</f>
        <v>-1744.721291</v>
      </c>
    </row>
    <row r="7716" ht="14.25" customHeight="1">
      <c r="A7716" s="7">
        <v>7703.0</v>
      </c>
      <c r="B7716" s="14">
        <f t="shared" si="1"/>
        <v>0.0988591493</v>
      </c>
      <c r="C7716" s="39">
        <f t="array" ref="C7716">NPV(B7716,FCFF!$C$9:$I$9)+FCFF!$B$9+FCFF!$I$9*(1+Inputs!$B$6)/(B7716-Inputs!$B$6)/(1+B7716)^7</f>
        <v>-1350.853259</v>
      </c>
    </row>
    <row r="7717" ht="14.25" customHeight="1">
      <c r="A7717" s="7">
        <v>7704.0</v>
      </c>
      <c r="B7717" s="14">
        <f t="shared" si="1"/>
        <v>0.1303077235</v>
      </c>
      <c r="C7717" s="39">
        <f t="array" ref="C7717">NPV(B7717,FCFF!$C$9:$I$9)+FCFF!$B$9+FCFF!$I$9*(1+Inputs!$B$6)/(B7717-Inputs!$B$6)/(1+B7717)^7</f>
        <v>-1976.539061</v>
      </c>
    </row>
    <row r="7718" ht="14.25" customHeight="1">
      <c r="A7718" s="7">
        <v>7705.0</v>
      </c>
      <c r="B7718" s="14">
        <f t="shared" si="1"/>
        <v>0.1057621514</v>
      </c>
      <c r="C7718" s="39">
        <f t="array" ref="C7718">NPV(B7718,FCFF!$C$9:$I$9)+FCFF!$B$9+FCFF!$I$9*(1+Inputs!$B$6)/(B7718-Inputs!$B$6)/(1+B7718)^7</f>
        <v>-1534.295801</v>
      </c>
    </row>
    <row r="7719" ht="14.25" customHeight="1">
      <c r="A7719" s="7">
        <v>7706.0</v>
      </c>
      <c r="B7719" s="14">
        <f t="shared" si="1"/>
        <v>0.1077891674</v>
      </c>
      <c r="C7719" s="39">
        <f t="array" ref="C7719">NPV(B7719,FCFF!$C$9:$I$9)+FCFF!$B$9+FCFF!$I$9*(1+Inputs!$B$6)/(B7719-Inputs!$B$6)/(1+B7719)^7</f>
        <v>-1581.878007</v>
      </c>
    </row>
    <row r="7720" ht="14.25" customHeight="1">
      <c r="A7720" s="7">
        <v>7707.0</v>
      </c>
      <c r="B7720" s="14">
        <f t="shared" si="1"/>
        <v>0.09751144765</v>
      </c>
      <c r="C7720" s="39">
        <f t="array" ref="C7720">NPV(B7720,FCFF!$C$9:$I$9)+FCFF!$B$9+FCFF!$I$9*(1+Inputs!$B$6)/(B7720-Inputs!$B$6)/(1+B7720)^7</f>
        <v>-1310.624858</v>
      </c>
    </row>
    <row r="7721" ht="14.25" customHeight="1">
      <c r="A7721" s="7">
        <v>7708.0</v>
      </c>
      <c r="B7721" s="14">
        <f t="shared" si="1"/>
        <v>0.09944366736</v>
      </c>
      <c r="C7721" s="39">
        <f t="array" ref="C7721">NPV(B7721,FCFF!$C$9:$I$9)+FCFF!$B$9+FCFF!$I$9*(1+Inputs!$B$6)/(B7721-Inputs!$B$6)/(1+B7721)^7</f>
        <v>-1367.8141</v>
      </c>
    </row>
    <row r="7722" ht="14.25" customHeight="1">
      <c r="A7722" s="7">
        <v>7709.0</v>
      </c>
      <c r="B7722" s="14">
        <f t="shared" si="1"/>
        <v>0.1021285379</v>
      </c>
      <c r="C7722" s="39">
        <f t="array" ref="C7722">NPV(B7722,FCFF!$C$9:$I$9)+FCFF!$B$9+FCFF!$I$9*(1+Inputs!$B$6)/(B7722-Inputs!$B$6)/(1+B7722)^7</f>
        <v>-1442.165664</v>
      </c>
    </row>
    <row r="7723" ht="14.25" customHeight="1">
      <c r="A7723" s="7">
        <v>7710.0</v>
      </c>
      <c r="B7723" s="14">
        <f t="shared" si="1"/>
        <v>0.1213784125</v>
      </c>
      <c r="C7723" s="39">
        <f t="array" ref="C7723">NPV(B7723,FCFF!$C$9:$I$9)+FCFF!$B$9+FCFF!$I$9*(1+Inputs!$B$6)/(B7723-Inputs!$B$6)/(1+B7723)^7</f>
        <v>-1844.609065</v>
      </c>
    </row>
    <row r="7724" ht="14.25" customHeight="1">
      <c r="A7724" s="7">
        <v>7711.0</v>
      </c>
      <c r="B7724" s="14">
        <f t="shared" si="1"/>
        <v>0.09586903543</v>
      </c>
      <c r="C7724" s="39">
        <f t="array" ref="C7724">NPV(B7724,FCFF!$C$9:$I$9)+FCFF!$B$9+FCFF!$I$9*(1+Inputs!$B$6)/(B7724-Inputs!$B$6)/(1+B7724)^7</f>
        <v>-1259.374856</v>
      </c>
    </row>
    <row r="7725" ht="14.25" customHeight="1">
      <c r="A7725" s="7">
        <v>7712.0</v>
      </c>
      <c r="B7725" s="14">
        <f t="shared" si="1"/>
        <v>0.1315405167</v>
      </c>
      <c r="C7725" s="39">
        <f t="array" ref="C7725">NPV(B7725,FCFF!$C$9:$I$9)+FCFF!$B$9+FCFF!$I$9*(1+Inputs!$B$6)/(B7725-Inputs!$B$6)/(1+B7725)^7</f>
        <v>-1992.792813</v>
      </c>
    </row>
    <row r="7726" ht="14.25" customHeight="1">
      <c r="A7726" s="7">
        <v>7713.0</v>
      </c>
      <c r="B7726" s="14">
        <f t="shared" si="1"/>
        <v>0.1079877782</v>
      </c>
      <c r="C7726" s="39">
        <f t="array" ref="C7726">NPV(B7726,FCFF!$C$9:$I$9)+FCFF!$B$9+FCFF!$I$9*(1+Inputs!$B$6)/(B7726-Inputs!$B$6)/(1+B7726)^7</f>
        <v>-1586.403815</v>
      </c>
    </row>
    <row r="7727" ht="14.25" customHeight="1">
      <c r="A7727" s="7">
        <v>7714.0</v>
      </c>
      <c r="B7727" s="14">
        <f t="shared" si="1"/>
        <v>0.1267801963</v>
      </c>
      <c r="C7727" s="39">
        <f t="array" ref="C7727">NPV(B7727,FCFF!$C$9:$I$9)+FCFF!$B$9+FCFF!$I$9*(1+Inputs!$B$6)/(B7727-Inputs!$B$6)/(1+B7727)^7</f>
        <v>-1927.544919</v>
      </c>
    </row>
    <row r="7728" ht="14.25" customHeight="1">
      <c r="A7728" s="7">
        <v>7715.0</v>
      </c>
      <c r="B7728" s="14">
        <f t="shared" si="1"/>
        <v>0.1090380431</v>
      </c>
      <c r="C7728" s="39">
        <f t="array" ref="C7728">NPV(B7728,FCFF!$C$9:$I$9)+FCFF!$B$9+FCFF!$I$9*(1+Inputs!$B$6)/(B7728-Inputs!$B$6)/(1+B7728)^7</f>
        <v>-1609.947827</v>
      </c>
    </row>
    <row r="7729" ht="14.25" customHeight="1">
      <c r="A7729" s="7">
        <v>7716.0</v>
      </c>
      <c r="B7729" s="14">
        <f t="shared" si="1"/>
        <v>0.1070548959</v>
      </c>
      <c r="C7729" s="39">
        <f t="array" ref="C7729">NPV(B7729,FCFF!$C$9:$I$9)+FCFF!$B$9+FCFF!$I$9*(1+Inputs!$B$6)/(B7729-Inputs!$B$6)/(1+B7729)^7</f>
        <v>-1564.937951</v>
      </c>
    </row>
    <row r="7730" ht="14.25" customHeight="1">
      <c r="A7730" s="7">
        <v>7717.0</v>
      </c>
      <c r="B7730" s="14">
        <f t="shared" si="1"/>
        <v>0.128538119</v>
      </c>
      <c r="C7730" s="39">
        <f t="array" ref="C7730">NPV(B7730,FCFF!$C$9:$I$9)+FCFF!$B$9+FCFF!$I$9*(1+Inputs!$B$6)/(B7730-Inputs!$B$6)/(1+B7730)^7</f>
        <v>-1952.434979</v>
      </c>
    </row>
    <row r="7731" ht="14.25" customHeight="1">
      <c r="A7731" s="7">
        <v>7718.0</v>
      </c>
      <c r="B7731" s="14">
        <f t="shared" si="1"/>
        <v>0.1123959013</v>
      </c>
      <c r="C7731" s="39">
        <f t="array" ref="C7731">NPV(B7731,FCFF!$C$9:$I$9)+FCFF!$B$9+FCFF!$I$9*(1+Inputs!$B$6)/(B7731-Inputs!$B$6)/(1+B7731)^7</f>
        <v>-1681.069355</v>
      </c>
    </row>
    <row r="7732" ht="14.25" customHeight="1">
      <c r="A7732" s="7">
        <v>7719.0</v>
      </c>
      <c r="B7732" s="14">
        <f t="shared" si="1"/>
        <v>0.1234044427</v>
      </c>
      <c r="C7732" s="39">
        <f t="array" ref="C7732">NPV(B7732,FCFF!$C$9:$I$9)+FCFF!$B$9+FCFF!$I$9*(1+Inputs!$B$6)/(B7732-Inputs!$B$6)/(1+B7732)^7</f>
        <v>-1876.917545</v>
      </c>
    </row>
    <row r="7733" ht="14.25" customHeight="1">
      <c r="A7733" s="7">
        <v>7720.0</v>
      </c>
      <c r="B7733" s="14">
        <f t="shared" si="1"/>
        <v>0.1215116786</v>
      </c>
      <c r="C7733" s="39">
        <f t="array" ref="C7733">NPV(B7733,FCFF!$C$9:$I$9)+FCFF!$B$9+FCFF!$I$9*(1+Inputs!$B$6)/(B7733-Inputs!$B$6)/(1+B7733)^7</f>
        <v>-1846.781018</v>
      </c>
    </row>
    <row r="7734" ht="14.25" customHeight="1">
      <c r="A7734" s="7">
        <v>7721.0</v>
      </c>
      <c r="B7734" s="14">
        <f t="shared" si="1"/>
        <v>0.1270388109</v>
      </c>
      <c r="C7734" s="39">
        <f t="array" ref="C7734">NPV(B7734,FCFF!$C$9:$I$9)+FCFF!$B$9+FCFF!$I$9*(1+Inputs!$B$6)/(B7734-Inputs!$B$6)/(1+B7734)^7</f>
        <v>-1931.26762</v>
      </c>
    </row>
    <row r="7735" ht="14.25" customHeight="1">
      <c r="A7735" s="7">
        <v>7722.0</v>
      </c>
      <c r="B7735" s="14">
        <f t="shared" si="1"/>
        <v>0.1022530761</v>
      </c>
      <c r="C7735" s="39">
        <f t="array" ref="C7735">NPV(B7735,FCFF!$C$9:$I$9)+FCFF!$B$9+FCFF!$I$9*(1+Inputs!$B$6)/(B7735-Inputs!$B$6)/(1+B7735)^7</f>
        <v>-1445.479074</v>
      </c>
    </row>
    <row r="7736" ht="14.25" customHeight="1">
      <c r="A7736" s="7">
        <v>7723.0</v>
      </c>
      <c r="B7736" s="14">
        <f t="shared" si="1"/>
        <v>0.109000669</v>
      </c>
      <c r="C7736" s="39">
        <f t="array" ref="C7736">NPV(B7736,FCFF!$C$9:$I$9)+FCFF!$B$9+FCFF!$I$9*(1+Inputs!$B$6)/(B7736-Inputs!$B$6)/(1+B7736)^7</f>
        <v>-1609.121059</v>
      </c>
    </row>
    <row r="7737" ht="14.25" customHeight="1">
      <c r="A7737" s="7">
        <v>7724.0</v>
      </c>
      <c r="B7737" s="14">
        <f t="shared" si="1"/>
        <v>0.120059803</v>
      </c>
      <c r="C7737" s="39">
        <f t="array" ref="C7737">NPV(B7737,FCFF!$C$9:$I$9)+FCFF!$B$9+FCFF!$I$9*(1+Inputs!$B$6)/(B7737-Inputs!$B$6)/(1+B7737)^7</f>
        <v>-1822.750597</v>
      </c>
    </row>
    <row r="7738" ht="14.25" customHeight="1">
      <c r="A7738" s="7">
        <v>7725.0</v>
      </c>
      <c r="B7738" s="14">
        <f t="shared" si="1"/>
        <v>0.0935519545</v>
      </c>
      <c r="C7738" s="39">
        <f t="array" ref="C7738">NPV(B7738,FCFF!$C$9:$I$9)+FCFF!$B$9+FCFF!$I$9*(1+Inputs!$B$6)/(B7738-Inputs!$B$6)/(1+B7738)^7</f>
        <v>-1182.591725</v>
      </c>
    </row>
    <row r="7739" ht="14.25" customHeight="1">
      <c r="A7739" s="7">
        <v>7726.0</v>
      </c>
      <c r="B7739" s="14">
        <f t="shared" si="1"/>
        <v>0.1105157158</v>
      </c>
      <c r="C7739" s="39">
        <f t="array" ref="C7739">NPV(B7739,FCFF!$C$9:$I$9)+FCFF!$B$9+FCFF!$I$9*(1+Inputs!$B$6)/(B7739-Inputs!$B$6)/(1+B7739)^7</f>
        <v>-1642.001875</v>
      </c>
    </row>
    <row r="7740" ht="14.25" customHeight="1">
      <c r="A7740" s="7">
        <v>7727.0</v>
      </c>
      <c r="B7740" s="14">
        <f t="shared" si="1"/>
        <v>0.1269142473</v>
      </c>
      <c r="C7740" s="39">
        <f t="array" ref="C7740">NPV(B7740,FCFF!$C$9:$I$9)+FCFF!$B$9+FCFF!$I$9*(1+Inputs!$B$6)/(B7740-Inputs!$B$6)/(1+B7740)^7</f>
        <v>-1929.477225</v>
      </c>
    </row>
    <row r="7741" ht="14.25" customHeight="1">
      <c r="A7741" s="7">
        <v>7728.0</v>
      </c>
      <c r="B7741" s="14">
        <f t="shared" si="1"/>
        <v>0.0989575962</v>
      </c>
      <c r="C7741" s="39">
        <f t="array" ref="C7741">NPV(B7741,FCFF!$C$9:$I$9)+FCFF!$B$9+FCFF!$I$9*(1+Inputs!$B$6)/(B7741-Inputs!$B$6)/(1+B7741)^7</f>
        <v>-1353.73009</v>
      </c>
    </row>
    <row r="7742" ht="14.25" customHeight="1">
      <c r="A7742" s="7">
        <v>7729.0</v>
      </c>
      <c r="B7742" s="14">
        <f t="shared" si="1"/>
        <v>0.1008338808</v>
      </c>
      <c r="C7742" s="39">
        <f t="array" ref="C7742">NPV(B7742,FCFF!$C$9:$I$9)+FCFF!$B$9+FCFF!$I$9*(1+Inputs!$B$6)/(B7742-Inputs!$B$6)/(1+B7742)^7</f>
        <v>-1407.022701</v>
      </c>
    </row>
    <row r="7743" ht="14.25" customHeight="1">
      <c r="A7743" s="7">
        <v>7730.0</v>
      </c>
      <c r="B7743" s="14">
        <f t="shared" si="1"/>
        <v>0.129528674</v>
      </c>
      <c r="C7743" s="39">
        <f t="array" ref="C7743">NPV(B7743,FCFF!$C$9:$I$9)+FCFF!$B$9+FCFF!$I$9*(1+Inputs!$B$6)/(B7743-Inputs!$B$6)/(1+B7743)^7</f>
        <v>-1966.041945</v>
      </c>
    </row>
    <row r="7744" ht="14.25" customHeight="1">
      <c r="A7744" s="7">
        <v>7731.0</v>
      </c>
      <c r="B7744" s="14">
        <f t="shared" si="1"/>
        <v>0.1251429565</v>
      </c>
      <c r="C7744" s="39">
        <f t="array" ref="C7744">NPV(B7744,FCFF!$C$9:$I$9)+FCFF!$B$9+FCFF!$I$9*(1+Inputs!$B$6)/(B7744-Inputs!$B$6)/(1+B7744)^7</f>
        <v>-1903.4717</v>
      </c>
    </row>
    <row r="7745" ht="14.25" customHeight="1">
      <c r="A7745" s="7">
        <v>7732.0</v>
      </c>
      <c r="B7745" s="14">
        <f t="shared" si="1"/>
        <v>0.09708941816</v>
      </c>
      <c r="C7745" s="39">
        <f t="array" ref="C7745">NPV(B7745,FCFF!$C$9:$I$9)+FCFF!$B$9+FCFF!$I$9*(1+Inputs!$B$6)/(B7745-Inputs!$B$6)/(1+B7745)^7</f>
        <v>-1297.694891</v>
      </c>
    </row>
    <row r="7746" ht="14.25" customHeight="1">
      <c r="A7746" s="7">
        <v>7733.0</v>
      </c>
      <c r="B7746" s="14">
        <f t="shared" si="1"/>
        <v>0.1136907875</v>
      </c>
      <c r="C7746" s="39">
        <f t="array" ref="C7746">NPV(B7746,FCFF!$C$9:$I$9)+FCFF!$B$9+FCFF!$I$9*(1+Inputs!$B$6)/(B7746-Inputs!$B$6)/(1+B7746)^7</f>
        <v>-1706.91595</v>
      </c>
    </row>
    <row r="7747" ht="14.25" customHeight="1">
      <c r="A7747" s="7">
        <v>7734.0</v>
      </c>
      <c r="B7747" s="14">
        <f t="shared" si="1"/>
        <v>0.1000644133</v>
      </c>
      <c r="C7747" s="39">
        <f t="array" ref="C7747">NPV(B7747,FCFF!$C$9:$I$9)+FCFF!$B$9+FCFF!$I$9*(1+Inputs!$B$6)/(B7747-Inputs!$B$6)/(1+B7747)^7</f>
        <v>-1385.514758</v>
      </c>
    </row>
    <row r="7748" ht="14.25" customHeight="1">
      <c r="A7748" s="7">
        <v>7735.0</v>
      </c>
      <c r="B7748" s="14">
        <f t="shared" si="1"/>
        <v>0.1036838915</v>
      </c>
      <c r="C7748" s="39">
        <f t="array" ref="C7748">NPV(B7748,FCFF!$C$9:$I$9)+FCFF!$B$9+FCFF!$I$9*(1+Inputs!$B$6)/(B7748-Inputs!$B$6)/(1+B7748)^7</f>
        <v>-1482.732418</v>
      </c>
    </row>
    <row r="7749" ht="14.25" customHeight="1">
      <c r="A7749" s="7">
        <v>7736.0</v>
      </c>
      <c r="B7749" s="14">
        <f t="shared" si="1"/>
        <v>0.1158107449</v>
      </c>
      <c r="C7749" s="39">
        <f t="array" ref="C7749">NPV(B7749,FCFF!$C$9:$I$9)+FCFF!$B$9+FCFF!$I$9*(1+Inputs!$B$6)/(B7749-Inputs!$B$6)/(1+B7749)^7</f>
        <v>-1747.476665</v>
      </c>
    </row>
    <row r="7750" ht="14.25" customHeight="1">
      <c r="A7750" s="7">
        <v>7737.0</v>
      </c>
      <c r="B7750" s="14">
        <f t="shared" si="1"/>
        <v>0.1136211076</v>
      </c>
      <c r="C7750" s="39">
        <f t="array" ref="C7750">NPV(B7750,FCFF!$C$9:$I$9)+FCFF!$B$9+FCFF!$I$9*(1+Inputs!$B$6)/(B7750-Inputs!$B$6)/(1+B7750)^7</f>
        <v>-1705.546316</v>
      </c>
    </row>
    <row r="7751" ht="14.25" customHeight="1">
      <c r="A7751" s="7">
        <v>7738.0</v>
      </c>
      <c r="B7751" s="14">
        <f t="shared" si="1"/>
        <v>0.1207606194</v>
      </c>
      <c r="C7751" s="39">
        <f t="array" ref="C7751">NPV(B7751,FCFF!$C$9:$I$9)+FCFF!$B$9+FCFF!$I$9*(1+Inputs!$B$6)/(B7751-Inputs!$B$6)/(1+B7751)^7</f>
        <v>-1834.451842</v>
      </c>
    </row>
    <row r="7752" ht="14.25" customHeight="1">
      <c r="A7752" s="7">
        <v>7739.0</v>
      </c>
      <c r="B7752" s="14">
        <f t="shared" si="1"/>
        <v>0.1232765807</v>
      </c>
      <c r="C7752" s="39">
        <f t="array" ref="C7752">NPV(B7752,FCFF!$C$9:$I$9)+FCFF!$B$9+FCFF!$I$9*(1+Inputs!$B$6)/(B7752-Inputs!$B$6)/(1+B7752)^7</f>
        <v>-1874.922774</v>
      </c>
    </row>
    <row r="7753" ht="14.25" customHeight="1">
      <c r="A7753" s="7">
        <v>7740.0</v>
      </c>
      <c r="B7753" s="14">
        <f t="shared" si="1"/>
        <v>0.09686411638</v>
      </c>
      <c r="C7753" s="39">
        <f t="array" ref="C7753">NPV(B7753,FCFF!$C$9:$I$9)+FCFF!$B$9+FCFF!$I$9*(1+Inputs!$B$6)/(B7753-Inputs!$B$6)/(1+B7753)^7</f>
        <v>-1290.725431</v>
      </c>
    </row>
    <row r="7754" ht="14.25" customHeight="1">
      <c r="A7754" s="7">
        <v>7741.0</v>
      </c>
      <c r="B7754" s="14">
        <f t="shared" si="1"/>
        <v>0.1023249658</v>
      </c>
      <c r="C7754" s="39">
        <f t="array" ref="C7754">NPV(B7754,FCFF!$C$9:$I$9)+FCFF!$B$9+FCFF!$I$9*(1+Inputs!$B$6)/(B7754-Inputs!$B$6)/(1+B7754)^7</f>
        <v>-1447.386479</v>
      </c>
    </row>
    <row r="7755" ht="14.25" customHeight="1">
      <c r="A7755" s="7">
        <v>7742.0</v>
      </c>
      <c r="B7755" s="14">
        <f t="shared" si="1"/>
        <v>0.1183075194</v>
      </c>
      <c r="C7755" s="39">
        <f t="array" ref="C7755">NPV(B7755,FCFF!$C$9:$I$9)+FCFF!$B$9+FCFF!$I$9*(1+Inputs!$B$6)/(B7755-Inputs!$B$6)/(1+B7755)^7</f>
        <v>-1792.632757</v>
      </c>
    </row>
    <row r="7756" ht="14.25" customHeight="1">
      <c r="A7756" s="7">
        <v>7743.0</v>
      </c>
      <c r="B7756" s="14">
        <f t="shared" si="1"/>
        <v>0.1321031499</v>
      </c>
      <c r="C7756" s="39">
        <f t="array" ref="C7756">NPV(B7756,FCFF!$C$9:$I$9)+FCFF!$B$9+FCFF!$I$9*(1+Inputs!$B$6)/(B7756-Inputs!$B$6)/(1+B7756)^7</f>
        <v>-2000.06893</v>
      </c>
    </row>
    <row r="7757" ht="14.25" customHeight="1">
      <c r="A7757" s="7">
        <v>7744.0</v>
      </c>
      <c r="B7757" s="14">
        <f t="shared" si="1"/>
        <v>0.1158037029</v>
      </c>
      <c r="C7757" s="39">
        <f t="array" ref="C7757">NPV(B7757,FCFF!$C$9:$I$9)+FCFF!$B$9+FCFF!$I$9*(1+Inputs!$B$6)/(B7757-Inputs!$B$6)/(1+B7757)^7</f>
        <v>-1747.3454</v>
      </c>
    </row>
    <row r="7758" ht="14.25" customHeight="1">
      <c r="A7758" s="7">
        <v>7745.0</v>
      </c>
      <c r="B7758" s="14">
        <f t="shared" si="1"/>
        <v>0.1156688374</v>
      </c>
      <c r="C7758" s="39">
        <f t="array" ref="C7758">NPV(B7758,FCFF!$C$9:$I$9)+FCFF!$B$9+FCFF!$I$9*(1+Inputs!$B$6)/(B7758-Inputs!$B$6)/(1+B7758)^7</f>
        <v>-1744.827122</v>
      </c>
    </row>
    <row r="7759" ht="14.25" customHeight="1">
      <c r="A7759" s="7">
        <v>7746.0</v>
      </c>
      <c r="B7759" s="14">
        <f t="shared" si="1"/>
        <v>0.1007640499</v>
      </c>
      <c r="C7759" s="39">
        <f t="array" ref="C7759">NPV(B7759,FCFF!$C$9:$I$9)+FCFF!$B$9+FCFF!$I$9*(1+Inputs!$B$6)/(B7759-Inputs!$B$6)/(1+B7759)^7</f>
        <v>-1405.090258</v>
      </c>
    </row>
    <row r="7760" ht="14.25" customHeight="1">
      <c r="A7760" s="7">
        <v>7747.0</v>
      </c>
      <c r="B7760" s="14">
        <f t="shared" si="1"/>
        <v>0.1108813065</v>
      </c>
      <c r="C7760" s="39">
        <f t="array" ref="C7760">NPV(B7760,FCFF!$C$9:$I$9)+FCFF!$B$9+FCFF!$I$9*(1+Inputs!$B$6)/(B7760-Inputs!$B$6)/(1+B7760)^7</f>
        <v>-1649.745705</v>
      </c>
    </row>
    <row r="7761" ht="14.25" customHeight="1">
      <c r="A7761" s="7">
        <v>7748.0</v>
      </c>
      <c r="B7761" s="14">
        <f t="shared" si="1"/>
        <v>0.1323115407</v>
      </c>
      <c r="C7761" s="39">
        <f t="array" ref="C7761">NPV(B7761,FCFF!$C$9:$I$9)+FCFF!$B$9+FCFF!$I$9*(1+Inputs!$B$6)/(B7761-Inputs!$B$6)/(1+B7761)^7</f>
        <v>-2002.741753</v>
      </c>
    </row>
    <row r="7762" ht="14.25" customHeight="1">
      <c r="A7762" s="7">
        <v>7749.0</v>
      </c>
      <c r="B7762" s="14">
        <f t="shared" si="1"/>
        <v>0.1139513616</v>
      </c>
      <c r="C7762" s="39">
        <f t="array" ref="C7762">NPV(B7762,FCFF!$C$9:$I$9)+FCFF!$B$9+FCFF!$I$9*(1+Inputs!$B$6)/(B7762-Inputs!$B$6)/(1+B7762)^7</f>
        <v>-1712.016814</v>
      </c>
    </row>
    <row r="7763" ht="14.25" customHeight="1">
      <c r="A7763" s="7">
        <v>7750.0</v>
      </c>
      <c r="B7763" s="14">
        <f t="shared" si="1"/>
        <v>0.1134523459</v>
      </c>
      <c r="C7763" s="39">
        <f t="array" ref="C7763">NPV(B7763,FCFF!$C$9:$I$9)+FCFF!$B$9+FCFF!$I$9*(1+Inputs!$B$6)/(B7763-Inputs!$B$6)/(1+B7763)^7</f>
        <v>-1702.219244</v>
      </c>
    </row>
    <row r="7764" ht="14.25" customHeight="1">
      <c r="A7764" s="7">
        <v>7751.0</v>
      </c>
      <c r="B7764" s="14">
        <f t="shared" si="1"/>
        <v>0.1091687655</v>
      </c>
      <c r="C7764" s="39">
        <f t="array" ref="C7764">NPV(B7764,FCFF!$C$9:$I$9)+FCFF!$B$9+FCFF!$I$9*(1+Inputs!$B$6)/(B7764-Inputs!$B$6)/(1+B7764)^7</f>
        <v>-1612.833268</v>
      </c>
    </row>
    <row r="7765" ht="14.25" customHeight="1">
      <c r="A7765" s="7">
        <v>7752.0</v>
      </c>
      <c r="B7765" s="14">
        <f t="shared" si="1"/>
        <v>0.09898380402</v>
      </c>
      <c r="C7765" s="39">
        <f t="array" ref="C7765">NPV(B7765,FCFF!$C$9:$I$9)+FCFF!$B$9+FCFF!$I$9*(1+Inputs!$B$6)/(B7765-Inputs!$B$6)/(1+B7765)^7</f>
        <v>-1354.494551</v>
      </c>
    </row>
    <row r="7766" ht="14.25" customHeight="1">
      <c r="A7766" s="7">
        <v>7753.0</v>
      </c>
      <c r="B7766" s="14">
        <f t="shared" si="1"/>
        <v>0.1148240676</v>
      </c>
      <c r="C7766" s="39">
        <f t="array" ref="C7766">NPV(B7766,FCFF!$C$9:$I$9)+FCFF!$B$9+FCFF!$I$9*(1+Inputs!$B$6)/(B7766-Inputs!$B$6)/(1+B7766)^7</f>
        <v>-1728.862358</v>
      </c>
    </row>
    <row r="7767" ht="14.25" customHeight="1">
      <c r="A7767" s="7">
        <v>7754.0</v>
      </c>
      <c r="B7767" s="14">
        <f t="shared" si="1"/>
        <v>0.1102003132</v>
      </c>
      <c r="C7767" s="39">
        <f t="array" ref="C7767">NPV(B7767,FCFF!$C$9:$I$9)+FCFF!$B$9+FCFF!$I$9*(1+Inputs!$B$6)/(B7767-Inputs!$B$6)/(1+B7767)^7</f>
        <v>-1635.262442</v>
      </c>
    </row>
    <row r="7768" ht="14.25" customHeight="1">
      <c r="A7768" s="7">
        <v>7755.0</v>
      </c>
      <c r="B7768" s="14">
        <f t="shared" si="1"/>
        <v>0.1243305199</v>
      </c>
      <c r="C7768" s="39">
        <f t="array" ref="C7768">NPV(B7768,FCFF!$C$9:$I$9)+FCFF!$B$9+FCFF!$I$9*(1+Inputs!$B$6)/(B7768-Inputs!$B$6)/(1+B7768)^7</f>
        <v>-1891.192856</v>
      </c>
    </row>
    <row r="7769" ht="14.25" customHeight="1">
      <c r="A7769" s="7">
        <v>7756.0</v>
      </c>
      <c r="B7769" s="14">
        <f t="shared" si="1"/>
        <v>0.1266108039</v>
      </c>
      <c r="C7769" s="39">
        <f t="array" ref="C7769">NPV(B7769,FCFF!$C$9:$I$9)+FCFF!$B$9+FCFF!$I$9*(1+Inputs!$B$6)/(B7769-Inputs!$B$6)/(1+B7769)^7</f>
        <v>-1925.09492</v>
      </c>
    </row>
    <row r="7770" ht="14.25" customHeight="1">
      <c r="A7770" s="7">
        <v>7757.0</v>
      </c>
      <c r="B7770" s="14">
        <f t="shared" si="1"/>
        <v>0.1219785963</v>
      </c>
      <c r="C7770" s="39">
        <f t="array" ref="C7770">NPV(B7770,FCFF!$C$9:$I$9)+FCFF!$B$9+FCFF!$I$9*(1+Inputs!$B$6)/(B7770-Inputs!$B$6)/(1+B7770)^7</f>
        <v>-1854.338008</v>
      </c>
    </row>
    <row r="7771" ht="14.25" customHeight="1">
      <c r="A7771" s="7">
        <v>7758.0</v>
      </c>
      <c r="B7771" s="14">
        <f t="shared" si="1"/>
        <v>0.1022723864</v>
      </c>
      <c r="C7771" s="39">
        <f t="array" ref="C7771">NPV(B7771,FCFF!$C$9:$I$9)+FCFF!$B$9+FCFF!$I$9*(1+Inputs!$B$6)/(B7771-Inputs!$B$6)/(1+B7771)^7</f>
        <v>-1445.991801</v>
      </c>
    </row>
    <row r="7772" ht="14.25" customHeight="1">
      <c r="A7772" s="7">
        <v>7759.0</v>
      </c>
      <c r="B7772" s="14">
        <f t="shared" si="1"/>
        <v>0.09950319072</v>
      </c>
      <c r="C7772" s="39">
        <f t="array" ref="C7772">NPV(B7772,FCFF!$C$9:$I$9)+FCFF!$B$9+FCFF!$I$9*(1+Inputs!$B$6)/(B7772-Inputs!$B$6)/(1+B7772)^7</f>
        <v>-1369.5252</v>
      </c>
    </row>
    <row r="7773" ht="14.25" customHeight="1">
      <c r="A7773" s="7">
        <v>7760.0</v>
      </c>
      <c r="B7773" s="14">
        <f t="shared" si="1"/>
        <v>0.096669693</v>
      </c>
      <c r="C7773" s="39">
        <f t="array" ref="C7773">NPV(B7773,FCFF!$C$9:$I$9)+FCFF!$B$9+FCFF!$I$9*(1+Inputs!$B$6)/(B7773-Inputs!$B$6)/(1+B7773)^7</f>
        <v>-1284.673365</v>
      </c>
    </row>
    <row r="7774" ht="14.25" customHeight="1">
      <c r="A7774" s="7">
        <v>7761.0</v>
      </c>
      <c r="B7774" s="14">
        <f t="shared" si="1"/>
        <v>0.1157197843</v>
      </c>
      <c r="C7774" s="39">
        <f t="array" ref="C7774">NPV(B7774,FCFF!$C$9:$I$9)+FCFF!$B$9+FCFF!$I$9*(1+Inputs!$B$6)/(B7774-Inputs!$B$6)/(1+B7774)^7</f>
        <v>-1745.779403</v>
      </c>
    </row>
    <row r="7775" ht="14.25" customHeight="1">
      <c r="A7775" s="7">
        <v>7762.0</v>
      </c>
      <c r="B7775" s="14">
        <f t="shared" si="1"/>
        <v>0.1131488677</v>
      </c>
      <c r="C7775" s="39">
        <f t="array" ref="C7775">NPV(B7775,FCFF!$C$9:$I$9)+FCFF!$B$9+FCFF!$I$9*(1+Inputs!$B$6)/(B7775-Inputs!$B$6)/(1+B7775)^7</f>
        <v>-1696.200892</v>
      </c>
    </row>
    <row r="7776" ht="14.25" customHeight="1">
      <c r="A7776" s="7">
        <v>7763.0</v>
      </c>
      <c r="B7776" s="14">
        <f t="shared" si="1"/>
        <v>0.1080234985</v>
      </c>
      <c r="C7776" s="39">
        <f t="array" ref="C7776">NPV(B7776,FCFF!$C$9:$I$9)+FCFF!$B$9+FCFF!$I$9*(1+Inputs!$B$6)/(B7776-Inputs!$B$6)/(1+B7776)^7</f>
        <v>-1587.215274</v>
      </c>
    </row>
    <row r="7777" ht="14.25" customHeight="1">
      <c r="A7777" s="7">
        <v>7764.0</v>
      </c>
      <c r="B7777" s="14">
        <f t="shared" si="1"/>
        <v>0.1206942032</v>
      </c>
      <c r="C7777" s="39">
        <f t="array" ref="C7777">NPV(B7777,FCFF!$C$9:$I$9)+FCFF!$B$9+FCFF!$I$9*(1+Inputs!$B$6)/(B7777-Inputs!$B$6)/(1+B7777)^7</f>
        <v>-1833.35114</v>
      </c>
    </row>
    <row r="7778" ht="14.25" customHeight="1">
      <c r="A7778" s="7">
        <v>7765.0</v>
      </c>
      <c r="B7778" s="14">
        <f t="shared" si="1"/>
        <v>0.1308018213</v>
      </c>
      <c r="C7778" s="39">
        <f t="array" ref="C7778">NPV(B7778,FCFF!$C$9:$I$9)+FCFF!$B$9+FCFF!$I$9*(1+Inputs!$B$6)/(B7778-Inputs!$B$6)/(1+B7778)^7</f>
        <v>-1983.105412</v>
      </c>
    </row>
    <row r="7779" ht="14.25" customHeight="1">
      <c r="A7779" s="7">
        <v>7766.0</v>
      </c>
      <c r="B7779" s="14">
        <f t="shared" si="1"/>
        <v>0.129384547</v>
      </c>
      <c r="C7779" s="39">
        <f t="array" ref="C7779">NPV(B7779,FCFF!$C$9:$I$9)+FCFF!$B$9+FCFF!$I$9*(1+Inputs!$B$6)/(B7779-Inputs!$B$6)/(1+B7779)^7</f>
        <v>-1964.080371</v>
      </c>
    </row>
    <row r="7780" ht="14.25" customHeight="1">
      <c r="A7780" s="7">
        <v>7767.0</v>
      </c>
      <c r="B7780" s="14">
        <f t="shared" si="1"/>
        <v>0.1291706998</v>
      </c>
      <c r="C7780" s="39">
        <f t="array" ref="C7780">NPV(B7780,FCFF!$C$9:$I$9)+FCFF!$B$9+FCFF!$I$9*(1+Inputs!$B$6)/(B7780-Inputs!$B$6)/(1+B7780)^7</f>
        <v>-1961.158517</v>
      </c>
    </row>
    <row r="7781" ht="14.25" customHeight="1">
      <c r="A7781" s="7">
        <v>7768.0</v>
      </c>
      <c r="B7781" s="14">
        <f t="shared" si="1"/>
        <v>0.1313810153</v>
      </c>
      <c r="C7781" s="39">
        <f t="array" ref="C7781">NPV(B7781,FCFF!$C$9:$I$9)+FCFF!$B$9+FCFF!$I$9*(1+Inputs!$B$6)/(B7781-Inputs!$B$6)/(1+B7781)^7</f>
        <v>-1990.714086</v>
      </c>
    </row>
    <row r="7782" ht="14.25" customHeight="1">
      <c r="A7782" s="7">
        <v>7769.0</v>
      </c>
      <c r="B7782" s="14">
        <f t="shared" si="1"/>
        <v>0.1324124869</v>
      </c>
      <c r="C7782" s="39">
        <f t="array" ref="C7782">NPV(B7782,FCFF!$C$9:$I$9)+FCFF!$B$9+FCFF!$I$9*(1+Inputs!$B$6)/(B7782-Inputs!$B$6)/(1+B7782)^7</f>
        <v>-2004.032222</v>
      </c>
    </row>
    <row r="7783" ht="14.25" customHeight="1">
      <c r="A7783" s="7">
        <v>7770.0</v>
      </c>
      <c r="B7783" s="14">
        <f t="shared" si="1"/>
        <v>0.1160976538</v>
      </c>
      <c r="C7783" s="39">
        <f t="array" ref="C7783">NPV(B7783,FCFF!$C$9:$I$9)+FCFF!$B$9+FCFF!$I$9*(1+Inputs!$B$6)/(B7783-Inputs!$B$6)/(1+B7783)^7</f>
        <v>-1752.805562</v>
      </c>
    </row>
    <row r="7784" ht="14.25" customHeight="1">
      <c r="A7784" s="7">
        <v>7771.0</v>
      </c>
      <c r="B7784" s="14">
        <f t="shared" si="1"/>
        <v>0.1037056729</v>
      </c>
      <c r="C7784" s="39">
        <f t="array" ref="C7784">NPV(B7784,FCFF!$C$9:$I$9)+FCFF!$B$9+FCFF!$I$9*(1+Inputs!$B$6)/(B7784-Inputs!$B$6)/(1+B7784)^7</f>
        <v>-1483.288185</v>
      </c>
    </row>
    <row r="7785" ht="14.25" customHeight="1">
      <c r="A7785" s="7">
        <v>7772.0</v>
      </c>
      <c r="B7785" s="14">
        <f t="shared" si="1"/>
        <v>0.1317377059</v>
      </c>
      <c r="C7785" s="39">
        <f t="array" ref="C7785">NPV(B7785,FCFF!$C$9:$I$9)+FCFF!$B$9+FCFF!$I$9*(1+Inputs!$B$6)/(B7785-Inputs!$B$6)/(1+B7785)^7</f>
        <v>-1995.352899</v>
      </c>
    </row>
    <row r="7786" ht="14.25" customHeight="1">
      <c r="A7786" s="7">
        <v>7773.0</v>
      </c>
      <c r="B7786" s="14">
        <f t="shared" si="1"/>
        <v>0.1329482885</v>
      </c>
      <c r="C7786" s="39">
        <f t="array" ref="C7786">NPV(B7786,FCFF!$C$9:$I$9)+FCFF!$B$9+FCFF!$I$9*(1+Inputs!$B$6)/(B7786-Inputs!$B$6)/(1+B7786)^7</f>
        <v>-2010.835522</v>
      </c>
    </row>
    <row r="7787" ht="14.25" customHeight="1">
      <c r="A7787" s="7">
        <v>7774.0</v>
      </c>
      <c r="B7787" s="14">
        <f t="shared" si="1"/>
        <v>0.1002104552</v>
      </c>
      <c r="C7787" s="39">
        <f t="array" ref="C7787">NPV(B7787,FCFF!$C$9:$I$9)+FCFF!$B$9+FCFF!$I$9*(1+Inputs!$B$6)/(B7787-Inputs!$B$6)/(1+B7787)^7</f>
        <v>-1389.633399</v>
      </c>
    </row>
    <row r="7788" ht="14.25" customHeight="1">
      <c r="A7788" s="7">
        <v>7775.0</v>
      </c>
      <c r="B7788" s="14">
        <f t="shared" si="1"/>
        <v>0.1075721085</v>
      </c>
      <c r="C7788" s="39">
        <f t="array" ref="C7788">NPV(B7788,FCFF!$C$9:$I$9)+FCFF!$B$9+FCFF!$I$9*(1+Inputs!$B$6)/(B7788-Inputs!$B$6)/(1+B7788)^7</f>
        <v>-1576.904595</v>
      </c>
    </row>
    <row r="7789" ht="14.25" customHeight="1">
      <c r="A7789" s="7">
        <v>7776.0</v>
      </c>
      <c r="B7789" s="14">
        <f t="shared" si="1"/>
        <v>0.1062725101</v>
      </c>
      <c r="C7789" s="39">
        <f t="array" ref="C7789">NPV(B7789,FCFF!$C$9:$I$9)+FCFF!$B$9+FCFF!$I$9*(1+Inputs!$B$6)/(B7789-Inputs!$B$6)/(1+B7789)^7</f>
        <v>-1546.519898</v>
      </c>
    </row>
    <row r="7790" ht="14.25" customHeight="1">
      <c r="A7790" s="7">
        <v>7777.0</v>
      </c>
      <c r="B7790" s="14">
        <f t="shared" si="1"/>
        <v>0.1302311319</v>
      </c>
      <c r="C7790" s="39">
        <f t="array" ref="C7790">NPV(B7790,FCFF!$C$9:$I$9)+FCFF!$B$9+FCFF!$I$9*(1+Inputs!$B$6)/(B7790-Inputs!$B$6)/(1+B7790)^7</f>
        <v>-1975.514895</v>
      </c>
    </row>
    <row r="7791" ht="14.25" customHeight="1">
      <c r="A7791" s="7">
        <v>7778.0</v>
      </c>
      <c r="B7791" s="14">
        <f t="shared" si="1"/>
        <v>0.1153831615</v>
      </c>
      <c r="C7791" s="39">
        <f t="array" ref="C7791">NPV(B7791,FCFF!$C$9:$I$9)+FCFF!$B$9+FCFF!$I$9*(1+Inputs!$B$6)/(B7791-Inputs!$B$6)/(1+B7791)^7</f>
        <v>-1739.465309</v>
      </c>
    </row>
    <row r="7792" ht="14.25" customHeight="1">
      <c r="A7792" s="7">
        <v>7779.0</v>
      </c>
      <c r="B7792" s="14">
        <f t="shared" si="1"/>
        <v>0.098258121</v>
      </c>
      <c r="C7792" s="39">
        <f t="array" ref="C7792">NPV(B7792,FCFF!$C$9:$I$9)+FCFF!$B$9+FCFF!$I$9*(1+Inputs!$B$6)/(B7792-Inputs!$B$6)/(1+B7792)^7</f>
        <v>-1333.109378</v>
      </c>
    </row>
    <row r="7793" ht="14.25" customHeight="1">
      <c r="A7793" s="7">
        <v>7780.0</v>
      </c>
      <c r="B7793" s="14">
        <f t="shared" si="1"/>
        <v>0.1121714551</v>
      </c>
      <c r="C7793" s="39">
        <f t="array" ref="C7793">NPV(B7793,FCFF!$C$9:$I$9)+FCFF!$B$9+FCFF!$I$9*(1+Inputs!$B$6)/(B7793-Inputs!$B$6)/(1+B7793)^7</f>
        <v>-1676.503132</v>
      </c>
    </row>
    <row r="7794" ht="14.25" customHeight="1">
      <c r="A7794" s="7">
        <v>7781.0</v>
      </c>
      <c r="B7794" s="14">
        <f t="shared" si="1"/>
        <v>0.1120749815</v>
      </c>
      <c r="C7794" s="39">
        <f t="array" ref="C7794">NPV(B7794,FCFF!$C$9:$I$9)+FCFF!$B$9+FCFF!$I$9*(1+Inputs!$B$6)/(B7794-Inputs!$B$6)/(1+B7794)^7</f>
        <v>-1674.532464</v>
      </c>
    </row>
    <row r="7795" ht="14.25" customHeight="1">
      <c r="A7795" s="7">
        <v>7782.0</v>
      </c>
      <c r="B7795" s="14">
        <f t="shared" si="1"/>
        <v>0.1296531053</v>
      </c>
      <c r="C7795" s="39">
        <f t="array" ref="C7795">NPV(B7795,FCFF!$C$9:$I$9)+FCFF!$B$9+FCFF!$I$9*(1+Inputs!$B$6)/(B7795-Inputs!$B$6)/(1+B7795)^7</f>
        <v>-1967.730514</v>
      </c>
    </row>
    <row r="7796" ht="14.25" customHeight="1">
      <c r="A7796" s="7">
        <v>7783.0</v>
      </c>
      <c r="B7796" s="14">
        <f t="shared" si="1"/>
        <v>0.1306993602</v>
      </c>
      <c r="C7796" s="39">
        <f t="array" ref="C7796">NPV(B7796,FCFF!$C$9:$I$9)+FCFF!$B$9+FCFF!$I$9*(1+Inputs!$B$6)/(B7796-Inputs!$B$6)/(1+B7796)^7</f>
        <v>-1981.749503</v>
      </c>
    </row>
    <row r="7797" ht="14.25" customHeight="1">
      <c r="A7797" s="7">
        <v>7784.0</v>
      </c>
      <c r="B7797" s="14">
        <f t="shared" si="1"/>
        <v>0.09860374309</v>
      </c>
      <c r="C7797" s="39">
        <f t="array" ref="C7797">NPV(B7797,FCFF!$C$9:$I$9)+FCFF!$B$9+FCFF!$I$9*(1+Inputs!$B$6)/(B7797-Inputs!$B$6)/(1+B7797)^7</f>
        <v>-1343.35111</v>
      </c>
    </row>
    <row r="7798" ht="14.25" customHeight="1">
      <c r="A7798" s="7">
        <v>7785.0</v>
      </c>
      <c r="B7798" s="14">
        <f t="shared" si="1"/>
        <v>0.1226187546</v>
      </c>
      <c r="C7798" s="39">
        <f t="array" ref="C7798">NPV(B7798,FCFF!$C$9:$I$9)+FCFF!$B$9+FCFF!$I$9*(1+Inputs!$B$6)/(B7798-Inputs!$B$6)/(1+B7798)^7</f>
        <v>-1864.567136</v>
      </c>
    </row>
    <row r="7799" ht="14.25" customHeight="1">
      <c r="A7799" s="7">
        <v>7786.0</v>
      </c>
      <c r="B7799" s="14">
        <f t="shared" si="1"/>
        <v>0.1001114581</v>
      </c>
      <c r="C7799" s="39">
        <f t="array" ref="C7799">NPV(B7799,FCFF!$C$9:$I$9)+FCFF!$B$9+FCFF!$I$9*(1+Inputs!$B$6)/(B7799-Inputs!$B$6)/(1+B7799)^7</f>
        <v>-1386.843391</v>
      </c>
    </row>
    <row r="7800" ht="14.25" customHeight="1">
      <c r="A7800" s="7">
        <v>7787.0</v>
      </c>
      <c r="B7800" s="14">
        <f t="shared" si="1"/>
        <v>0.128237557</v>
      </c>
      <c r="C7800" s="39">
        <f t="array" ref="C7800">NPV(B7800,FCFF!$C$9:$I$9)+FCFF!$B$9+FCFF!$I$9*(1+Inputs!$B$6)/(B7800-Inputs!$B$6)/(1+B7800)^7</f>
        <v>-1948.247513</v>
      </c>
    </row>
    <row r="7801" ht="14.25" customHeight="1">
      <c r="A7801" s="7">
        <v>7788.0</v>
      </c>
      <c r="B7801" s="14">
        <f t="shared" si="1"/>
        <v>0.1087415467</v>
      </c>
      <c r="C7801" s="39">
        <f t="array" ref="C7801">NPV(B7801,FCFF!$C$9:$I$9)+FCFF!$B$9+FCFF!$I$9*(1+Inputs!$B$6)/(B7801-Inputs!$B$6)/(1+B7801)^7</f>
        <v>-1603.366672</v>
      </c>
    </row>
    <row r="7802" ht="14.25" customHeight="1">
      <c r="A7802" s="7">
        <v>7789.0</v>
      </c>
      <c r="B7802" s="14">
        <f t="shared" si="1"/>
        <v>0.102599541</v>
      </c>
      <c r="C7802" s="39">
        <f t="array" ref="C7802">NPV(B7802,FCFF!$C$9:$I$9)+FCFF!$B$9+FCFF!$I$9*(1+Inputs!$B$6)/(B7802-Inputs!$B$6)/(1+B7802)^7</f>
        <v>-1454.636413</v>
      </c>
    </row>
    <row r="7803" ht="14.25" customHeight="1">
      <c r="A7803" s="7">
        <v>7790.0</v>
      </c>
      <c r="B7803" s="14">
        <f t="shared" si="1"/>
        <v>0.09852008377</v>
      </c>
      <c r="C7803" s="39">
        <f t="array" ref="C7803">NPV(B7803,FCFF!$C$9:$I$9)+FCFF!$B$9+FCFF!$I$9*(1+Inputs!$B$6)/(B7803-Inputs!$B$6)/(1+B7803)^7</f>
        <v>-1340.881555</v>
      </c>
    </row>
    <row r="7804" ht="14.25" customHeight="1">
      <c r="A7804" s="7">
        <v>7791.0</v>
      </c>
      <c r="B7804" s="14">
        <f t="shared" si="1"/>
        <v>0.1090312241</v>
      </c>
      <c r="C7804" s="39">
        <f t="array" ref="C7804">NPV(B7804,FCFF!$C$9:$I$9)+FCFF!$B$9+FCFF!$I$9*(1+Inputs!$B$6)/(B7804-Inputs!$B$6)/(1+B7804)^7</f>
        <v>-1609.797041</v>
      </c>
    </row>
    <row r="7805" ht="14.25" customHeight="1">
      <c r="A7805" s="7">
        <v>7792.0</v>
      </c>
      <c r="B7805" s="14">
        <f t="shared" si="1"/>
        <v>0.1017757367</v>
      </c>
      <c r="C7805" s="39">
        <f t="array" ref="C7805">NPV(B7805,FCFF!$C$9:$I$9)+FCFF!$B$9+FCFF!$I$9*(1+Inputs!$B$6)/(B7805-Inputs!$B$6)/(1+B7805)^7</f>
        <v>-1432.716014</v>
      </c>
    </row>
    <row r="7806" ht="14.25" customHeight="1">
      <c r="A7806" s="7">
        <v>7793.0</v>
      </c>
      <c r="B7806" s="14">
        <f t="shared" si="1"/>
        <v>0.09874801516</v>
      </c>
      <c r="C7806" s="39">
        <f t="array" ref="C7806">NPV(B7806,FCFF!$C$9:$I$9)+FCFF!$B$9+FCFF!$I$9*(1+Inputs!$B$6)/(B7806-Inputs!$B$6)/(1+B7806)^7</f>
        <v>-1347.595743</v>
      </c>
    </row>
    <row r="7807" ht="14.25" customHeight="1">
      <c r="A7807" s="7">
        <v>7794.0</v>
      </c>
      <c r="B7807" s="14">
        <f t="shared" si="1"/>
        <v>0.1075914234</v>
      </c>
      <c r="C7807" s="39">
        <f t="array" ref="C7807">NPV(B7807,FCFF!$C$9:$I$9)+FCFF!$B$9+FCFF!$I$9*(1+Inputs!$B$6)/(B7807-Inputs!$B$6)/(1+B7807)^7</f>
        <v>-1577.34831</v>
      </c>
    </row>
    <row r="7808" ht="14.25" customHeight="1">
      <c r="A7808" s="7">
        <v>7795.0</v>
      </c>
      <c r="B7808" s="14">
        <f t="shared" si="1"/>
        <v>0.1294480514</v>
      </c>
      <c r="C7808" s="39">
        <f t="array" ref="C7808">NPV(B7808,FCFF!$C$9:$I$9)+FCFF!$B$9+FCFF!$I$9*(1+Inputs!$B$6)/(B7808-Inputs!$B$6)/(1+B7808)^7</f>
        <v>-1964.945428</v>
      </c>
    </row>
    <row r="7809" ht="14.25" customHeight="1">
      <c r="A7809" s="7">
        <v>7796.0</v>
      </c>
      <c r="B7809" s="14">
        <f t="shared" si="1"/>
        <v>0.1311543208</v>
      </c>
      <c r="C7809" s="39">
        <f t="array" ref="C7809">NPV(B7809,FCFF!$C$9:$I$9)+FCFF!$B$9+FCFF!$I$9*(1+Inputs!$B$6)/(B7809-Inputs!$B$6)/(1+B7809)^7</f>
        <v>-1987.747371</v>
      </c>
    </row>
    <row r="7810" ht="14.25" customHeight="1">
      <c r="A7810" s="7">
        <v>7797.0</v>
      </c>
      <c r="B7810" s="14">
        <f t="shared" si="1"/>
        <v>0.1267457468</v>
      </c>
      <c r="C7810" s="39">
        <f t="array" ref="C7810">NPV(B7810,FCFF!$C$9:$I$9)+FCFF!$B$9+FCFF!$I$9*(1+Inputs!$B$6)/(B7810-Inputs!$B$6)/(1+B7810)^7</f>
        <v>-1927.047408</v>
      </c>
    </row>
    <row r="7811" ht="14.25" customHeight="1">
      <c r="A7811" s="7">
        <v>7798.0</v>
      </c>
      <c r="B7811" s="14">
        <f t="shared" si="1"/>
        <v>0.1197246254</v>
      </c>
      <c r="C7811" s="39">
        <f t="array" ref="C7811">NPV(B7811,FCFF!$C$9:$I$9)+FCFF!$B$9+FCFF!$I$9*(1+Inputs!$B$6)/(B7811-Inputs!$B$6)/(1+B7811)^7</f>
        <v>-1817.085806</v>
      </c>
    </row>
    <row r="7812" ht="14.25" customHeight="1">
      <c r="A7812" s="7">
        <v>7799.0</v>
      </c>
      <c r="B7812" s="14">
        <f t="shared" si="1"/>
        <v>0.1133513573</v>
      </c>
      <c r="C7812" s="39">
        <f t="array" ref="C7812">NPV(B7812,FCFF!$C$9:$I$9)+FCFF!$B$9+FCFF!$I$9*(1+Inputs!$B$6)/(B7812-Inputs!$B$6)/(1+B7812)^7</f>
        <v>-1700.221579</v>
      </c>
    </row>
    <row r="7813" ht="14.25" customHeight="1">
      <c r="A7813" s="7">
        <v>7800.0</v>
      </c>
      <c r="B7813" s="14">
        <f t="shared" si="1"/>
        <v>0.1104657415</v>
      </c>
      <c r="C7813" s="39">
        <f t="array" ref="C7813">NPV(B7813,FCFF!$C$9:$I$9)+FCFF!$B$9+FCFF!$I$9*(1+Inputs!$B$6)/(B7813-Inputs!$B$6)/(1+B7813)^7</f>
        <v>-1640.937678</v>
      </c>
    </row>
    <row r="7814" ht="14.25" customHeight="1">
      <c r="A7814" s="7">
        <v>7801.0</v>
      </c>
      <c r="B7814" s="14">
        <f t="shared" si="1"/>
        <v>0.1076919227</v>
      </c>
      <c r="C7814" s="39">
        <f t="array" ref="C7814">NPV(B7814,FCFF!$C$9:$I$9)+FCFF!$B$9+FCFF!$I$9*(1+Inputs!$B$6)/(B7814-Inputs!$B$6)/(1+B7814)^7</f>
        <v>-1579.653393</v>
      </c>
    </row>
    <row r="7815" ht="14.25" customHeight="1">
      <c r="A7815" s="7">
        <v>7802.0</v>
      </c>
      <c r="B7815" s="14">
        <f t="shared" si="1"/>
        <v>0.09831144469</v>
      </c>
      <c r="C7815" s="39">
        <f t="array" ref="C7815">NPV(B7815,FCFF!$C$9:$I$9)+FCFF!$B$9+FCFF!$I$9*(1+Inputs!$B$6)/(B7815-Inputs!$B$6)/(1+B7815)^7</f>
        <v>-1334.696282</v>
      </c>
    </row>
    <row r="7816" ht="14.25" customHeight="1">
      <c r="A7816" s="7">
        <v>7803.0</v>
      </c>
      <c r="B7816" s="14">
        <f t="shared" si="1"/>
        <v>0.109825748</v>
      </c>
      <c r="C7816" s="39">
        <f t="array" ref="C7816">NPV(B7816,FCFF!$C$9:$I$9)+FCFF!$B$9+FCFF!$I$9*(1+Inputs!$B$6)/(B7816-Inputs!$B$6)/(1+B7816)^7</f>
        <v>-1627.187357</v>
      </c>
    </row>
    <row r="7817" ht="14.25" customHeight="1">
      <c r="A7817" s="7">
        <v>7804.0</v>
      </c>
      <c r="B7817" s="14">
        <f t="shared" si="1"/>
        <v>0.1298344311</v>
      </c>
      <c r="C7817" s="39">
        <f t="array" ref="C7817">NPV(B7817,FCFF!$C$9:$I$9)+FCFF!$B$9+FCFF!$I$9*(1+Inputs!$B$6)/(B7817-Inputs!$B$6)/(1+B7817)^7</f>
        <v>-1970.182987</v>
      </c>
    </row>
    <row r="7818" ht="14.25" customHeight="1">
      <c r="A7818" s="7">
        <v>7805.0</v>
      </c>
      <c r="B7818" s="14">
        <f t="shared" si="1"/>
        <v>0.1197847939</v>
      </c>
      <c r="C7818" s="39">
        <f t="array" ref="C7818">NPV(B7818,FCFF!$C$9:$I$9)+FCFF!$B$9+FCFF!$I$9*(1+Inputs!$B$6)/(B7818-Inputs!$B$6)/(1+B7818)^7</f>
        <v>-1818.106002</v>
      </c>
    </row>
    <row r="7819" ht="14.25" customHeight="1">
      <c r="A7819" s="7">
        <v>7806.0</v>
      </c>
      <c r="B7819" s="14">
        <f t="shared" si="1"/>
        <v>0.1062957544</v>
      </c>
      <c r="C7819" s="39">
        <f t="array" ref="C7819">NPV(B7819,FCFF!$C$9:$I$9)+FCFF!$B$9+FCFF!$I$9*(1+Inputs!$B$6)/(B7819-Inputs!$B$6)/(1+B7819)^7</f>
        <v>-1547.072663</v>
      </c>
    </row>
    <row r="7820" ht="14.25" customHeight="1">
      <c r="A7820" s="7">
        <v>7807.0</v>
      </c>
      <c r="B7820" s="14">
        <f t="shared" si="1"/>
        <v>0.1217699802</v>
      </c>
      <c r="C7820" s="39">
        <f t="array" ref="C7820">NPV(B7820,FCFF!$C$9:$I$9)+FCFF!$B$9+FCFF!$I$9*(1+Inputs!$B$6)/(B7820-Inputs!$B$6)/(1+B7820)^7</f>
        <v>-1850.971694</v>
      </c>
    </row>
    <row r="7821" ht="14.25" customHeight="1">
      <c r="A7821" s="7">
        <v>7808.0</v>
      </c>
      <c r="B7821" s="14">
        <f t="shared" si="1"/>
        <v>0.0933914048</v>
      </c>
      <c r="C7821" s="39">
        <f t="array" ref="C7821">NPV(B7821,FCFF!$C$9:$I$9)+FCFF!$B$9+FCFF!$I$9*(1+Inputs!$B$6)/(B7821-Inputs!$B$6)/(1+B7821)^7</f>
        <v>-1177.065369</v>
      </c>
    </row>
    <row r="7822" ht="14.25" customHeight="1">
      <c r="A7822" s="7">
        <v>7809.0</v>
      </c>
      <c r="B7822" s="14">
        <f t="shared" si="1"/>
        <v>0.1149309855</v>
      </c>
      <c r="C7822" s="39">
        <f t="array" ref="C7822">NPV(B7822,FCFF!$C$9:$I$9)+FCFF!$B$9+FCFF!$I$9*(1+Inputs!$B$6)/(B7822-Inputs!$B$6)/(1+B7822)^7</f>
        <v>-1730.901296</v>
      </c>
    </row>
    <row r="7823" ht="14.25" customHeight="1">
      <c r="A7823" s="7">
        <v>7810.0</v>
      </c>
      <c r="B7823" s="14">
        <f t="shared" si="1"/>
        <v>0.107490813</v>
      </c>
      <c r="C7823" s="39">
        <f t="array" ref="C7823">NPV(B7823,FCFF!$C$9:$I$9)+FCFF!$B$9+FCFF!$I$9*(1+Inputs!$B$6)/(B7823-Inputs!$B$6)/(1+B7823)^7</f>
        <v>-1575.034533</v>
      </c>
    </row>
    <row r="7824" ht="14.25" customHeight="1">
      <c r="A7824" s="7">
        <v>7811.0</v>
      </c>
      <c r="B7824" s="14">
        <f t="shared" si="1"/>
        <v>0.1139178084</v>
      </c>
      <c r="C7824" s="39">
        <f t="array" ref="C7824">NPV(B7824,FCFF!$C$9:$I$9)+FCFF!$B$9+FCFF!$I$9*(1+Inputs!$B$6)/(B7824-Inputs!$B$6)/(1+B7824)^7</f>
        <v>-1711.361846</v>
      </c>
    </row>
    <row r="7825" ht="14.25" customHeight="1">
      <c r="A7825" s="7">
        <v>7812.0</v>
      </c>
      <c r="B7825" s="14">
        <f t="shared" si="1"/>
        <v>0.1323279217</v>
      </c>
      <c r="C7825" s="39">
        <f t="array" ref="C7825">NPV(B7825,FCFF!$C$9:$I$9)+FCFF!$B$9+FCFF!$I$9*(1+Inputs!$B$6)/(B7825-Inputs!$B$6)/(1+B7825)^7</f>
        <v>-2002.951352</v>
      </c>
    </row>
    <row r="7826" ht="14.25" customHeight="1">
      <c r="A7826" s="7">
        <v>7813.0</v>
      </c>
      <c r="B7826" s="14">
        <f t="shared" si="1"/>
        <v>0.124253625</v>
      </c>
      <c r="C7826" s="39">
        <f t="array" ref="C7826">NPV(B7826,FCFF!$C$9:$I$9)+FCFF!$B$9+FCFF!$I$9*(1+Inputs!$B$6)/(B7826-Inputs!$B$6)/(1+B7826)^7</f>
        <v>-1890.018951</v>
      </c>
    </row>
    <row r="7827" ht="14.25" customHeight="1">
      <c r="A7827" s="7">
        <v>7814.0</v>
      </c>
      <c r="B7827" s="14">
        <f t="shared" si="1"/>
        <v>0.1232287551</v>
      </c>
      <c r="C7827" s="39">
        <f t="array" ref="C7827">NPV(B7827,FCFF!$C$9:$I$9)+FCFF!$B$9+FCFF!$I$9*(1+Inputs!$B$6)/(B7827-Inputs!$B$6)/(1+B7827)^7</f>
        <v>-1874.175148</v>
      </c>
    </row>
    <row r="7828" ht="14.25" customHeight="1">
      <c r="A7828" s="7">
        <v>7815.0</v>
      </c>
      <c r="B7828" s="14">
        <f t="shared" si="1"/>
        <v>0.1012304153</v>
      </c>
      <c r="C7828" s="39">
        <f t="array" ref="C7828">NPV(B7828,FCFF!$C$9:$I$9)+FCFF!$B$9+FCFF!$I$9*(1+Inputs!$B$6)/(B7828-Inputs!$B$6)/(1+B7828)^7</f>
        <v>-1417.923577</v>
      </c>
    </row>
    <row r="7829" ht="14.25" customHeight="1">
      <c r="A7829" s="7">
        <v>7816.0</v>
      </c>
      <c r="B7829" s="14">
        <f t="shared" si="1"/>
        <v>0.1282355851</v>
      </c>
      <c r="C7829" s="39">
        <f t="array" ref="C7829">NPV(B7829,FCFF!$C$9:$I$9)+FCFF!$B$9+FCFF!$I$9*(1+Inputs!$B$6)/(B7829-Inputs!$B$6)/(1+B7829)^7</f>
        <v>-1948.219949</v>
      </c>
    </row>
    <row r="7830" ht="14.25" customHeight="1">
      <c r="A7830" s="7">
        <v>7817.0</v>
      </c>
      <c r="B7830" s="14">
        <f t="shared" si="1"/>
        <v>0.0969780321</v>
      </c>
      <c r="C7830" s="39">
        <f t="array" ref="C7830">NPV(B7830,FCFF!$C$9:$I$9)+FCFF!$B$9+FCFF!$I$9*(1+Inputs!$B$6)/(B7830-Inputs!$B$6)/(1+B7830)^7</f>
        <v>-1294.255138</v>
      </c>
    </row>
    <row r="7831" ht="14.25" customHeight="1">
      <c r="A7831" s="7">
        <v>7818.0</v>
      </c>
      <c r="B7831" s="14">
        <f t="shared" si="1"/>
        <v>0.10023708</v>
      </c>
      <c r="C7831" s="39">
        <f t="array" ref="C7831">NPV(B7831,FCFF!$C$9:$I$9)+FCFF!$B$9+FCFF!$I$9*(1+Inputs!$B$6)/(B7831-Inputs!$B$6)/(1+B7831)^7</f>
        <v>-1390.382408</v>
      </c>
    </row>
    <row r="7832" ht="14.25" customHeight="1">
      <c r="A7832" s="7">
        <v>7819.0</v>
      </c>
      <c r="B7832" s="14">
        <f t="shared" si="1"/>
        <v>0.09723685712</v>
      </c>
      <c r="C7832" s="39">
        <f t="array" ref="C7832">NPV(B7832,FCFF!$C$9:$I$9)+FCFF!$B$9+FCFF!$I$9*(1+Inputs!$B$6)/(B7832-Inputs!$B$6)/(1+B7832)^7</f>
        <v>-1302.2305</v>
      </c>
    </row>
    <row r="7833" ht="14.25" customHeight="1">
      <c r="A7833" s="7">
        <v>7820.0</v>
      </c>
      <c r="B7833" s="14">
        <f t="shared" si="1"/>
        <v>0.117881587</v>
      </c>
      <c r="C7833" s="39">
        <f t="array" ref="C7833">NPV(B7833,FCFF!$C$9:$I$9)+FCFF!$B$9+FCFF!$I$9*(1+Inputs!$B$6)/(B7833-Inputs!$B$6)/(1+B7833)^7</f>
        <v>-1785.120302</v>
      </c>
    </row>
    <row r="7834" ht="14.25" customHeight="1">
      <c r="A7834" s="7">
        <v>7821.0</v>
      </c>
      <c r="B7834" s="14">
        <f t="shared" si="1"/>
        <v>0.1239315615</v>
      </c>
      <c r="C7834" s="39">
        <f t="array" ref="C7834">NPV(B7834,FCFF!$C$9:$I$9)+FCFF!$B$9+FCFF!$I$9*(1+Inputs!$B$6)/(B7834-Inputs!$B$6)/(1+B7834)^7</f>
        <v>-1885.079876</v>
      </c>
    </row>
    <row r="7835" ht="14.25" customHeight="1">
      <c r="A7835" s="7">
        <v>7822.0</v>
      </c>
      <c r="B7835" s="14">
        <f t="shared" si="1"/>
        <v>0.09520722384</v>
      </c>
      <c r="C7835" s="39">
        <f t="array" ref="C7835">NPV(B7835,FCFF!$C$9:$I$9)+FCFF!$B$9+FCFF!$I$9*(1+Inputs!$B$6)/(B7835-Inputs!$B$6)/(1+B7835)^7</f>
        <v>-1237.996561</v>
      </c>
    </row>
    <row r="7836" ht="14.25" customHeight="1">
      <c r="A7836" s="7">
        <v>7823.0</v>
      </c>
      <c r="B7836" s="14">
        <f t="shared" si="1"/>
        <v>0.1267817365</v>
      </c>
      <c r="C7836" s="39">
        <f t="array" ref="C7836">NPV(B7836,FCFF!$C$9:$I$9)+FCFF!$B$9+FCFF!$I$9*(1+Inputs!$B$6)/(B7836-Inputs!$B$6)/(1+B7836)^7</f>
        <v>-1927.567154</v>
      </c>
    </row>
    <row r="7837" ht="14.25" customHeight="1">
      <c r="A7837" s="7">
        <v>7824.0</v>
      </c>
      <c r="B7837" s="14">
        <f t="shared" si="1"/>
        <v>0.1032630545</v>
      </c>
      <c r="C7837" s="39">
        <f t="array" ref="C7837">NPV(B7837,FCFF!$C$9:$I$9)+FCFF!$B$9+FCFF!$I$9*(1+Inputs!$B$6)/(B7837-Inputs!$B$6)/(1+B7837)^7</f>
        <v>-1471.928566</v>
      </c>
    </row>
    <row r="7838" ht="14.25" customHeight="1">
      <c r="A7838" s="7">
        <v>7825.0</v>
      </c>
      <c r="B7838" s="14">
        <f t="shared" si="1"/>
        <v>0.1299019644</v>
      </c>
      <c r="C7838" s="39">
        <f t="array" ref="C7838">NPV(B7838,FCFF!$C$9:$I$9)+FCFF!$B$9+FCFF!$I$9*(1+Inputs!$B$6)/(B7838-Inputs!$B$6)/(1+B7838)^7</f>
        <v>-1971.093923</v>
      </c>
    </row>
    <row r="7839" ht="14.25" customHeight="1">
      <c r="A7839" s="7">
        <v>7826.0</v>
      </c>
      <c r="B7839" s="14">
        <f t="shared" si="1"/>
        <v>0.1273406214</v>
      </c>
      <c r="C7839" s="39">
        <f t="array" ref="C7839">NPV(B7839,FCFF!$C$9:$I$9)+FCFF!$B$9+FCFF!$I$9*(1+Inputs!$B$6)/(B7839-Inputs!$B$6)/(1+B7839)^7</f>
        <v>-1935.585177</v>
      </c>
    </row>
    <row r="7840" ht="14.25" customHeight="1">
      <c r="A7840" s="7">
        <v>7827.0</v>
      </c>
      <c r="B7840" s="14">
        <f t="shared" si="1"/>
        <v>0.1187721539</v>
      </c>
      <c r="C7840" s="39">
        <f t="array" ref="C7840">NPV(B7840,FCFF!$C$9:$I$9)+FCFF!$B$9+FCFF!$I$9*(1+Inputs!$B$6)/(B7840-Inputs!$B$6)/(1+B7840)^7</f>
        <v>-1800.741165</v>
      </c>
    </row>
    <row r="7841" ht="14.25" customHeight="1">
      <c r="A7841" s="7">
        <v>7828.0</v>
      </c>
      <c r="B7841" s="14">
        <f t="shared" si="1"/>
        <v>0.09972984069</v>
      </c>
      <c r="C7841" s="39">
        <f t="array" ref="C7841">NPV(B7841,FCFF!$C$9:$I$9)+FCFF!$B$9+FCFF!$I$9*(1+Inputs!$B$6)/(B7841-Inputs!$B$6)/(1+B7841)^7</f>
        <v>-1376.013755</v>
      </c>
    </row>
    <row r="7842" ht="14.25" customHeight="1">
      <c r="A7842" s="7">
        <v>7829.0</v>
      </c>
      <c r="B7842" s="14">
        <f t="shared" si="1"/>
        <v>0.09835648373</v>
      </c>
      <c r="C7842" s="39">
        <f t="array" ref="C7842">NPV(B7842,FCFF!$C$9:$I$9)+FCFF!$B$9+FCFF!$I$9*(1+Inputs!$B$6)/(B7842-Inputs!$B$6)/(1+B7842)^7</f>
        <v>-1336.034703</v>
      </c>
    </row>
    <row r="7843" ht="14.25" customHeight="1">
      <c r="A7843" s="7">
        <v>7830.0</v>
      </c>
      <c r="B7843" s="14">
        <f t="shared" si="1"/>
        <v>0.1322279593</v>
      </c>
      <c r="C7843" s="39">
        <f t="array" ref="C7843">NPV(B7843,FCFF!$C$9:$I$9)+FCFF!$B$9+FCFF!$I$9*(1+Inputs!$B$6)/(B7843-Inputs!$B$6)/(1+B7843)^7</f>
        <v>-2001.671166</v>
      </c>
    </row>
    <row r="7844" ht="14.25" customHeight="1">
      <c r="A7844" s="7">
        <v>7831.0</v>
      </c>
      <c r="B7844" s="14">
        <f t="shared" si="1"/>
        <v>0.1318987874</v>
      </c>
      <c r="C7844" s="39">
        <f t="array" ref="C7844">NPV(B7844,FCFF!$C$9:$I$9)+FCFF!$B$9+FCFF!$I$9*(1+Inputs!$B$6)/(B7844-Inputs!$B$6)/(1+B7844)^7</f>
        <v>-1997.436191</v>
      </c>
    </row>
    <row r="7845" ht="14.25" customHeight="1">
      <c r="A7845" s="7">
        <v>7832.0</v>
      </c>
      <c r="B7845" s="14">
        <f t="shared" si="1"/>
        <v>0.1201603528</v>
      </c>
      <c r="C7845" s="39">
        <f t="array" ref="C7845">NPV(B7845,FCFF!$C$9:$I$9)+FCFF!$B$9+FCFF!$I$9*(1+Inputs!$B$6)/(B7845-Inputs!$B$6)/(1+B7845)^7</f>
        <v>-1824.441281</v>
      </c>
    </row>
    <row r="7846" ht="14.25" customHeight="1">
      <c r="A7846" s="7">
        <v>7833.0</v>
      </c>
      <c r="B7846" s="14">
        <f t="shared" si="1"/>
        <v>0.1175316804</v>
      </c>
      <c r="C7846" s="39">
        <f t="array" ref="C7846">NPV(B7846,FCFF!$C$9:$I$9)+FCFF!$B$9+FCFF!$I$9*(1+Inputs!$B$6)/(B7846-Inputs!$B$6)/(1+B7846)^7</f>
        <v>-1778.891135</v>
      </c>
    </row>
    <row r="7847" ht="14.25" customHeight="1">
      <c r="A7847" s="7">
        <v>7834.0</v>
      </c>
      <c r="B7847" s="14">
        <f t="shared" si="1"/>
        <v>0.1087376592</v>
      </c>
      <c r="C7847" s="39">
        <f t="array" ref="C7847">NPV(B7847,FCFF!$C$9:$I$9)+FCFF!$B$9+FCFF!$I$9*(1+Inputs!$B$6)/(B7847-Inputs!$B$6)/(1+B7847)^7</f>
        <v>-1603.280045</v>
      </c>
    </row>
    <row r="7848" ht="14.25" customHeight="1">
      <c r="A7848" s="7">
        <v>7835.0</v>
      </c>
      <c r="B7848" s="14">
        <f t="shared" si="1"/>
        <v>0.1099387632</v>
      </c>
      <c r="C7848" s="39">
        <f t="array" ref="C7848">NPV(B7848,FCFF!$C$9:$I$9)+FCFF!$B$9+FCFF!$I$9*(1+Inputs!$B$6)/(B7848-Inputs!$B$6)/(1+B7848)^7</f>
        <v>-1629.632035</v>
      </c>
    </row>
    <row r="7849" ht="14.25" customHeight="1">
      <c r="A7849" s="7">
        <v>7836.0</v>
      </c>
      <c r="B7849" s="14">
        <f t="shared" si="1"/>
        <v>0.0946203618</v>
      </c>
      <c r="C7849" s="39">
        <f t="array" ref="C7849">NPV(B7849,FCFF!$C$9:$I$9)+FCFF!$B$9+FCFF!$I$9*(1+Inputs!$B$6)/(B7849-Inputs!$B$6)/(1+B7849)^7</f>
        <v>-1218.675322</v>
      </c>
    </row>
    <row r="7850" ht="14.25" customHeight="1">
      <c r="A7850" s="7">
        <v>7837.0</v>
      </c>
      <c r="B7850" s="14">
        <f t="shared" si="1"/>
        <v>0.128661817</v>
      </c>
      <c r="C7850" s="39">
        <f t="array" ref="C7850">NPV(B7850,FCFF!$C$9:$I$9)+FCFF!$B$9+FCFF!$I$9*(1+Inputs!$B$6)/(B7850-Inputs!$B$6)/(1+B7850)^7</f>
        <v>-1954.150344</v>
      </c>
    </row>
    <row r="7851" ht="14.25" customHeight="1">
      <c r="A7851" s="7">
        <v>7838.0</v>
      </c>
      <c r="B7851" s="14">
        <f t="shared" si="1"/>
        <v>0.1051599226</v>
      </c>
      <c r="C7851" s="39">
        <f t="array" ref="C7851">NPV(B7851,FCFF!$C$9:$I$9)+FCFF!$B$9+FCFF!$I$9*(1+Inputs!$B$6)/(B7851-Inputs!$B$6)/(1+B7851)^7</f>
        <v>-1519.653071</v>
      </c>
    </row>
    <row r="7852" ht="14.25" customHeight="1">
      <c r="A7852" s="7">
        <v>7839.0</v>
      </c>
      <c r="B7852" s="14">
        <f t="shared" si="1"/>
        <v>0.09313080597</v>
      </c>
      <c r="C7852" s="39">
        <f t="array" ref="C7852">NPV(B7852,FCFF!$C$9:$I$9)+FCFF!$B$9+FCFF!$I$9*(1+Inputs!$B$6)/(B7852-Inputs!$B$6)/(1+B7852)^7</f>
        <v>-1168.036013</v>
      </c>
    </row>
    <row r="7853" ht="14.25" customHeight="1">
      <c r="A7853" s="7">
        <v>7840.0</v>
      </c>
      <c r="B7853" s="14">
        <f t="shared" si="1"/>
        <v>0.1026300346</v>
      </c>
      <c r="C7853" s="39">
        <f t="array" ref="C7853">NPV(B7853,FCFF!$C$9:$I$9)+FCFF!$B$9+FCFF!$I$9*(1+Inputs!$B$6)/(B7853-Inputs!$B$6)/(1+B7853)^7</f>
        <v>-1455.438144</v>
      </c>
    </row>
    <row r="7854" ht="14.25" customHeight="1">
      <c r="A7854" s="7">
        <v>7841.0</v>
      </c>
      <c r="B7854" s="14">
        <f t="shared" si="1"/>
        <v>0.09512143286</v>
      </c>
      <c r="C7854" s="39">
        <f t="array" ref="C7854">NPV(B7854,FCFF!$C$9:$I$9)+FCFF!$B$9+FCFF!$I$9*(1+Inputs!$B$6)/(B7854-Inputs!$B$6)/(1+B7854)^7</f>
        <v>-1235.193651</v>
      </c>
    </row>
    <row r="7855" ht="14.25" customHeight="1">
      <c r="A7855" s="7">
        <v>7842.0</v>
      </c>
      <c r="B7855" s="14">
        <f t="shared" si="1"/>
        <v>0.1016729846</v>
      </c>
      <c r="C7855" s="39">
        <f t="array" ref="C7855">NPV(B7855,FCFF!$C$9:$I$9)+FCFF!$B$9+FCFF!$I$9*(1+Inputs!$B$6)/(B7855-Inputs!$B$6)/(1+B7855)^7</f>
        <v>-1429.946147</v>
      </c>
    </row>
    <row r="7856" ht="14.25" customHeight="1">
      <c r="A7856" s="7">
        <v>7843.0</v>
      </c>
      <c r="B7856" s="14">
        <f t="shared" si="1"/>
        <v>0.128245951</v>
      </c>
      <c r="C7856" s="39">
        <f t="array" ref="C7856">NPV(B7856,FCFF!$C$9:$I$9)+FCFF!$B$9+FCFF!$I$9*(1+Inputs!$B$6)/(B7856-Inputs!$B$6)/(1+B7856)^7</f>
        <v>-1948.364834</v>
      </c>
    </row>
    <row r="7857" ht="14.25" customHeight="1">
      <c r="A7857" s="7">
        <v>7844.0</v>
      </c>
      <c r="B7857" s="14">
        <f t="shared" si="1"/>
        <v>0.1091097493</v>
      </c>
      <c r="C7857" s="39">
        <f t="array" ref="C7857">NPV(B7857,FCFF!$C$9:$I$9)+FCFF!$B$9+FCFF!$I$9*(1+Inputs!$B$6)/(B7857-Inputs!$B$6)/(1+B7857)^7</f>
        <v>-1611.531816</v>
      </c>
    </row>
    <row r="7858" ht="14.25" customHeight="1">
      <c r="A7858" s="7">
        <v>7845.0</v>
      </c>
      <c r="B7858" s="14">
        <f t="shared" si="1"/>
        <v>0.1155155619</v>
      </c>
      <c r="C7858" s="39">
        <f t="array" ref="C7858">NPV(B7858,FCFF!$C$9:$I$9)+FCFF!$B$9+FCFF!$I$9*(1+Inputs!$B$6)/(B7858-Inputs!$B$6)/(1+B7858)^7</f>
        <v>-1741.954977</v>
      </c>
    </row>
    <row r="7859" ht="14.25" customHeight="1">
      <c r="A7859" s="7">
        <v>7846.0</v>
      </c>
      <c r="B7859" s="14">
        <f t="shared" si="1"/>
        <v>0.1132685443</v>
      </c>
      <c r="C7859" s="39">
        <f t="array" ref="C7859">NPV(B7859,FCFF!$C$9:$I$9)+FCFF!$B$9+FCFF!$I$9*(1+Inputs!$B$6)/(B7859-Inputs!$B$6)/(1+B7859)^7</f>
        <v>-1698.579684</v>
      </c>
    </row>
    <row r="7860" ht="14.25" customHeight="1">
      <c r="A7860" s="7">
        <v>7847.0</v>
      </c>
      <c r="B7860" s="14">
        <f t="shared" si="1"/>
        <v>0.1023599202</v>
      </c>
      <c r="C7860" s="39">
        <f t="array" ref="C7860">NPV(B7860,FCFF!$C$9:$I$9)+FCFF!$B$9+FCFF!$I$9*(1+Inputs!$B$6)/(B7860-Inputs!$B$6)/(1+B7860)^7</f>
        <v>-1448.312519</v>
      </c>
    </row>
    <row r="7861" ht="14.25" customHeight="1">
      <c r="A7861" s="7">
        <v>7848.0</v>
      </c>
      <c r="B7861" s="14">
        <f t="shared" si="1"/>
        <v>0.125270555</v>
      </c>
      <c r="C7861" s="39">
        <f t="array" ref="C7861">NPV(B7861,FCFF!$C$9:$I$9)+FCFF!$B$9+FCFF!$I$9*(1+Inputs!$B$6)/(B7861-Inputs!$B$6)/(1+B7861)^7</f>
        <v>-1905.379785</v>
      </c>
    </row>
    <row r="7862" ht="14.25" customHeight="1">
      <c r="A7862" s="7">
        <v>7849.0</v>
      </c>
      <c r="B7862" s="14">
        <f t="shared" si="1"/>
        <v>0.09425884831</v>
      </c>
      <c r="C7862" s="39">
        <f t="array" ref="C7862">NPV(B7862,FCFF!$C$9:$I$9)+FCFF!$B$9+FCFF!$I$9*(1+Inputs!$B$6)/(B7862-Inputs!$B$6)/(1+B7862)^7</f>
        <v>-1206.59892</v>
      </c>
    </row>
    <row r="7863" ht="14.25" customHeight="1">
      <c r="A7863" s="7">
        <v>7850.0</v>
      </c>
      <c r="B7863" s="14">
        <f t="shared" si="1"/>
        <v>0.1205936475</v>
      </c>
      <c r="C7863" s="39">
        <f t="array" ref="C7863">NPV(B7863,FCFF!$C$9:$I$9)+FCFF!$B$9+FCFF!$I$9*(1+Inputs!$B$6)/(B7863-Inputs!$B$6)/(1+B7863)^7</f>
        <v>-1831.681394</v>
      </c>
    </row>
    <row r="7864" ht="14.25" customHeight="1">
      <c r="A7864" s="7">
        <v>7851.0</v>
      </c>
      <c r="B7864" s="14">
        <f t="shared" si="1"/>
        <v>0.09396608602</v>
      </c>
      <c r="C7864" s="39">
        <f t="array" ref="C7864">NPV(B7864,FCFF!$C$9:$I$9)+FCFF!$B$9+FCFF!$I$9*(1+Inputs!$B$6)/(B7864-Inputs!$B$6)/(1+B7864)^7</f>
        <v>-1196.720009</v>
      </c>
    </row>
    <row r="7865" ht="14.25" customHeight="1">
      <c r="A7865" s="7">
        <v>7852.0</v>
      </c>
      <c r="B7865" s="14">
        <f t="shared" si="1"/>
        <v>0.1221604625</v>
      </c>
      <c r="C7865" s="39">
        <f t="array" ref="C7865">NPV(B7865,FCFF!$C$9:$I$9)+FCFF!$B$9+FCFF!$I$9*(1+Inputs!$B$6)/(B7865-Inputs!$B$6)/(1+B7865)^7</f>
        <v>-1857.259445</v>
      </c>
    </row>
    <row r="7866" ht="14.25" customHeight="1">
      <c r="A7866" s="7">
        <v>7853.0</v>
      </c>
      <c r="B7866" s="14">
        <f t="shared" si="1"/>
        <v>0.1199426309</v>
      </c>
      <c r="C7866" s="39">
        <f t="array" ref="C7866">NPV(B7866,FCFF!$C$9:$I$9)+FCFF!$B$9+FCFF!$I$9*(1+Inputs!$B$6)/(B7866-Inputs!$B$6)/(1+B7866)^7</f>
        <v>-1820.775368</v>
      </c>
    </row>
    <row r="7867" ht="14.25" customHeight="1">
      <c r="A7867" s="7">
        <v>7854.0</v>
      </c>
      <c r="B7867" s="14">
        <f t="shared" si="1"/>
        <v>0.09573660314</v>
      </c>
      <c r="C7867" s="39">
        <f t="array" ref="C7867">NPV(B7867,FCFF!$C$9:$I$9)+FCFF!$B$9+FCFF!$I$9*(1+Inputs!$B$6)/(B7867-Inputs!$B$6)/(1+B7867)^7</f>
        <v>-1255.131208</v>
      </c>
    </row>
    <row r="7868" ht="14.25" customHeight="1">
      <c r="A7868" s="7">
        <v>7855.0</v>
      </c>
      <c r="B7868" s="14">
        <f t="shared" si="1"/>
        <v>0.1099507487</v>
      </c>
      <c r="C7868" s="39">
        <f t="array" ref="C7868">NPV(B7868,FCFF!$C$9:$I$9)+FCFF!$B$9+FCFF!$I$9*(1+Inputs!$B$6)/(B7868-Inputs!$B$6)/(1+B7868)^7</f>
        <v>-1629.89088</v>
      </c>
    </row>
    <row r="7869" ht="14.25" customHeight="1">
      <c r="A7869" s="7">
        <v>7856.0</v>
      </c>
      <c r="B7869" s="14">
        <f t="shared" si="1"/>
        <v>0.1072730612</v>
      </c>
      <c r="C7869" s="39">
        <f t="array" ref="C7869">NPV(B7869,FCFF!$C$9:$I$9)+FCFF!$B$9+FCFF!$I$9*(1+Inputs!$B$6)/(B7869-Inputs!$B$6)/(1+B7869)^7</f>
        <v>-1570.005635</v>
      </c>
    </row>
    <row r="7870" ht="14.25" customHeight="1">
      <c r="A7870" s="7">
        <v>7857.0</v>
      </c>
      <c r="B7870" s="14">
        <f t="shared" si="1"/>
        <v>0.1247968871</v>
      </c>
      <c r="C7870" s="39">
        <f t="array" ref="C7870">NPV(B7870,FCFF!$C$9:$I$9)+FCFF!$B$9+FCFF!$I$9*(1+Inputs!$B$6)/(B7870-Inputs!$B$6)/(1+B7870)^7</f>
        <v>-1898.268908</v>
      </c>
    </row>
    <row r="7871" ht="14.25" customHeight="1">
      <c r="A7871" s="7">
        <v>7858.0</v>
      </c>
      <c r="B7871" s="14">
        <f t="shared" si="1"/>
        <v>0.1058048448</v>
      </c>
      <c r="C7871" s="39">
        <f t="array" ref="C7871">NPV(B7871,FCFF!$C$9:$I$9)+FCFF!$B$9+FCFF!$I$9*(1+Inputs!$B$6)/(B7871-Inputs!$B$6)/(1+B7871)^7</f>
        <v>-1535.32484</v>
      </c>
    </row>
    <row r="7872" ht="14.25" customHeight="1">
      <c r="A7872" s="7">
        <v>7859.0</v>
      </c>
      <c r="B7872" s="14">
        <f t="shared" si="1"/>
        <v>0.09808526254</v>
      </c>
      <c r="C7872" s="39">
        <f t="array" ref="C7872">NPV(B7872,FCFF!$C$9:$I$9)+FCFF!$B$9+FCFF!$I$9*(1+Inputs!$B$6)/(B7872-Inputs!$B$6)/(1+B7872)^7</f>
        <v>-1327.94802</v>
      </c>
    </row>
    <row r="7873" ht="14.25" customHeight="1">
      <c r="A7873" s="7">
        <v>7860.0</v>
      </c>
      <c r="B7873" s="14">
        <f t="shared" si="1"/>
        <v>0.0935702672</v>
      </c>
      <c r="C7873" s="39">
        <f t="array" ref="C7873">NPV(B7873,FCFF!$C$9:$I$9)+FCFF!$B$9+FCFF!$I$9*(1+Inputs!$B$6)/(B7873-Inputs!$B$6)/(1+B7873)^7</f>
        <v>-1183.220321</v>
      </c>
    </row>
    <row r="7874" ht="14.25" customHeight="1">
      <c r="A7874" s="7">
        <v>7861.0</v>
      </c>
      <c r="B7874" s="14">
        <f t="shared" si="1"/>
        <v>0.1078117307</v>
      </c>
      <c r="C7874" s="39">
        <f t="array" ref="C7874">NPV(B7874,FCFF!$C$9:$I$9)+FCFF!$B$9+FCFF!$I$9*(1+Inputs!$B$6)/(B7874-Inputs!$B$6)/(1+B7874)^7</f>
        <v>-1582.39336</v>
      </c>
    </row>
    <row r="7875" ht="14.25" customHeight="1">
      <c r="A7875" s="7">
        <v>7862.0</v>
      </c>
      <c r="B7875" s="14">
        <f t="shared" si="1"/>
        <v>0.1292129375</v>
      </c>
      <c r="C7875" s="39">
        <f t="array" ref="C7875">NPV(B7875,FCFF!$C$9:$I$9)+FCFF!$B$9+FCFF!$I$9*(1+Inputs!$B$6)/(B7875-Inputs!$B$6)/(1+B7875)^7</f>
        <v>-1961.736704</v>
      </c>
    </row>
    <row r="7876" ht="14.25" customHeight="1">
      <c r="A7876" s="7">
        <v>7863.0</v>
      </c>
      <c r="B7876" s="14">
        <f t="shared" si="1"/>
        <v>0.1320723718</v>
      </c>
      <c r="C7876" s="39">
        <f t="array" ref="C7876">NPV(B7876,FCFF!$C$9:$I$9)+FCFF!$B$9+FCFF!$I$9*(1+Inputs!$B$6)/(B7876-Inputs!$B$6)/(1+B7876)^7</f>
        <v>-1999.673161</v>
      </c>
    </row>
    <row r="7877" ht="14.25" customHeight="1">
      <c r="A7877" s="7">
        <v>7864.0</v>
      </c>
      <c r="B7877" s="14">
        <f t="shared" si="1"/>
        <v>0.1254663176</v>
      </c>
      <c r="C7877" s="39">
        <f t="array" ref="C7877">NPV(B7877,FCFF!$C$9:$I$9)+FCFF!$B$9+FCFF!$I$9*(1+Inputs!$B$6)/(B7877-Inputs!$B$6)/(1+B7877)^7</f>
        <v>-1908.296551</v>
      </c>
    </row>
    <row r="7878" ht="14.25" customHeight="1">
      <c r="A7878" s="7">
        <v>7865.0</v>
      </c>
      <c r="B7878" s="14">
        <f t="shared" si="1"/>
        <v>0.1195909687</v>
      </c>
      <c r="C7878" s="39">
        <f t="array" ref="C7878">NPV(B7878,FCFF!$C$9:$I$9)+FCFF!$B$9+FCFF!$I$9*(1+Inputs!$B$6)/(B7878-Inputs!$B$6)/(1+B7878)^7</f>
        <v>-1814.814381</v>
      </c>
    </row>
    <row r="7879" ht="14.25" customHeight="1">
      <c r="A7879" s="7">
        <v>7866.0</v>
      </c>
      <c r="B7879" s="14">
        <f t="shared" si="1"/>
        <v>0.1279192686</v>
      </c>
      <c r="C7879" s="39">
        <f t="array" ref="C7879">NPV(B7879,FCFF!$C$9:$I$9)+FCFF!$B$9+FCFF!$I$9*(1+Inputs!$B$6)/(B7879-Inputs!$B$6)/(1+B7879)^7</f>
        <v>-1943.782791</v>
      </c>
    </row>
    <row r="7880" ht="14.25" customHeight="1">
      <c r="A7880" s="7">
        <v>7867.0</v>
      </c>
      <c r="B7880" s="14">
        <f t="shared" si="1"/>
        <v>0.09981692097</v>
      </c>
      <c r="C7880" s="39">
        <f t="array" ref="C7880">NPV(B7880,FCFF!$C$9:$I$9)+FCFF!$B$9+FCFF!$I$9*(1+Inputs!$B$6)/(B7880-Inputs!$B$6)/(1+B7880)^7</f>
        <v>-1378.495431</v>
      </c>
    </row>
    <row r="7881" ht="14.25" customHeight="1">
      <c r="A7881" s="7">
        <v>7868.0</v>
      </c>
      <c r="B7881" s="14">
        <f t="shared" si="1"/>
        <v>0.1177654553</v>
      </c>
      <c r="C7881" s="39">
        <f t="array" ref="C7881">NPV(B7881,FCFF!$C$9:$I$9)+FCFF!$B$9+FCFF!$I$9*(1+Inputs!$B$6)/(B7881-Inputs!$B$6)/(1+B7881)^7</f>
        <v>-1783.058681</v>
      </c>
    </row>
    <row r="7882" ht="14.25" customHeight="1">
      <c r="A7882" s="7">
        <v>7869.0</v>
      </c>
      <c r="B7882" s="14">
        <f t="shared" si="1"/>
        <v>0.1287680511</v>
      </c>
      <c r="C7882" s="39">
        <f t="array" ref="C7882">NPV(B7882,FCFF!$C$9:$I$9)+FCFF!$B$9+FCFF!$I$9*(1+Inputs!$B$6)/(B7882-Inputs!$B$6)/(1+B7882)^7</f>
        <v>-1955.619822</v>
      </c>
    </row>
    <row r="7883" ht="14.25" customHeight="1">
      <c r="A7883" s="7">
        <v>7870.0</v>
      </c>
      <c r="B7883" s="14">
        <f t="shared" si="1"/>
        <v>0.1234202452</v>
      </c>
      <c r="C7883" s="39">
        <f t="array" ref="C7883">NPV(B7883,FCFF!$C$9:$I$9)+FCFF!$B$9+FCFF!$I$9*(1+Inputs!$B$6)/(B7883-Inputs!$B$6)/(1+B7883)^7</f>
        <v>-1877.163673</v>
      </c>
    </row>
    <row r="7884" ht="14.25" customHeight="1">
      <c r="A7884" s="7">
        <v>7871.0</v>
      </c>
      <c r="B7884" s="14">
        <f t="shared" si="1"/>
        <v>0.125473912</v>
      </c>
      <c r="C7884" s="39">
        <f t="array" ref="C7884">NPV(B7884,FCFF!$C$9:$I$9)+FCFF!$B$9+FCFF!$I$9*(1+Inputs!$B$6)/(B7884-Inputs!$B$6)/(1+B7884)^7</f>
        <v>-1908.409445</v>
      </c>
    </row>
    <row r="7885" ht="14.25" customHeight="1">
      <c r="A7885" s="7">
        <v>7872.0</v>
      </c>
      <c r="B7885" s="14">
        <f t="shared" si="1"/>
        <v>0.1312410305</v>
      </c>
      <c r="C7885" s="39">
        <f t="array" ref="C7885">NPV(B7885,FCFF!$C$9:$I$9)+FCFF!$B$9+FCFF!$I$9*(1+Inputs!$B$6)/(B7885-Inputs!$B$6)/(1+B7885)^7</f>
        <v>-1988.883835</v>
      </c>
    </row>
    <row r="7886" ht="14.25" customHeight="1">
      <c r="A7886" s="7">
        <v>7873.0</v>
      </c>
      <c r="B7886" s="14">
        <f t="shared" si="1"/>
        <v>0.09782252962</v>
      </c>
      <c r="C7886" s="39">
        <f t="array" ref="C7886">NPV(B7886,FCFF!$C$9:$I$9)+FCFF!$B$9+FCFF!$I$9*(1+Inputs!$B$6)/(B7886-Inputs!$B$6)/(1+B7886)^7</f>
        <v>-1320.052661</v>
      </c>
    </row>
    <row r="7887" ht="14.25" customHeight="1">
      <c r="A7887" s="7">
        <v>7874.0</v>
      </c>
      <c r="B7887" s="14">
        <f t="shared" si="1"/>
        <v>0.1251311644</v>
      </c>
      <c r="C7887" s="39">
        <f t="array" ref="C7887">NPV(B7887,FCFF!$C$9:$I$9)+FCFF!$B$9+FCFF!$I$9*(1+Inputs!$B$6)/(B7887-Inputs!$B$6)/(1+B7887)^7</f>
        <v>-1903.295085</v>
      </c>
    </row>
    <row r="7888" ht="14.25" customHeight="1">
      <c r="A7888" s="7">
        <v>7875.0</v>
      </c>
      <c r="B7888" s="14">
        <f t="shared" si="1"/>
        <v>0.1219597065</v>
      </c>
      <c r="C7888" s="39">
        <f t="array" ref="C7888">NPV(B7888,FCFF!$C$9:$I$9)+FCFF!$B$9+FCFF!$I$9*(1+Inputs!$B$6)/(B7888-Inputs!$B$6)/(1+B7888)^7</f>
        <v>-1854.033863</v>
      </c>
    </row>
    <row r="7889" ht="14.25" customHeight="1">
      <c r="A7889" s="7">
        <v>7876.0</v>
      </c>
      <c r="B7889" s="14">
        <f t="shared" si="1"/>
        <v>0.1324890892</v>
      </c>
      <c r="C7889" s="39">
        <f t="array" ref="C7889">NPV(B7889,FCFF!$C$9:$I$9)+FCFF!$B$9+FCFF!$I$9*(1+Inputs!$B$6)/(B7889-Inputs!$B$6)/(1+B7889)^7</f>
        <v>-2005.009635</v>
      </c>
    </row>
    <row r="7890" ht="14.25" customHeight="1">
      <c r="A7890" s="7">
        <v>7877.0</v>
      </c>
      <c r="B7890" s="14">
        <f t="shared" si="1"/>
        <v>0.1303929994</v>
      </c>
      <c r="C7890" s="39">
        <f t="array" ref="C7890">NPV(B7890,FCFF!$C$9:$I$9)+FCFF!$B$9+FCFF!$I$9*(1+Inputs!$B$6)/(B7890-Inputs!$B$6)/(1+B7890)^7</f>
        <v>-1977.677358</v>
      </c>
    </row>
    <row r="7891" ht="14.25" customHeight="1">
      <c r="A7891" s="7">
        <v>7878.0</v>
      </c>
      <c r="B7891" s="14">
        <f t="shared" si="1"/>
        <v>0.1168532078</v>
      </c>
      <c r="C7891" s="39">
        <f t="array" ref="C7891">NPV(B7891,FCFF!$C$9:$I$9)+FCFF!$B$9+FCFF!$I$9*(1+Inputs!$B$6)/(B7891-Inputs!$B$6)/(1+B7891)^7</f>
        <v>-1766.662202</v>
      </c>
    </row>
    <row r="7892" ht="14.25" customHeight="1">
      <c r="A7892" s="7">
        <v>7879.0</v>
      </c>
      <c r="B7892" s="14">
        <f t="shared" si="1"/>
        <v>0.1029949771</v>
      </c>
      <c r="C7892" s="39">
        <f t="array" ref="C7892">NPV(B7892,FCFF!$C$9:$I$9)+FCFF!$B$9+FCFF!$I$9*(1+Inputs!$B$6)/(B7892-Inputs!$B$6)/(1+B7892)^7</f>
        <v>-1464.980455</v>
      </c>
    </row>
    <row r="7893" ht="14.25" customHeight="1">
      <c r="A7893" s="7">
        <v>7880.0</v>
      </c>
      <c r="B7893" s="14">
        <f t="shared" si="1"/>
        <v>0.1058848159</v>
      </c>
      <c r="C7893" s="39">
        <f t="array" ref="C7893">NPV(B7893,FCFF!$C$9:$I$9)+FCFF!$B$9+FCFF!$I$9*(1+Inputs!$B$6)/(B7893-Inputs!$B$6)/(1+B7893)^7</f>
        <v>-1537.249201</v>
      </c>
    </row>
    <row r="7894" ht="14.25" customHeight="1">
      <c r="A7894" s="7">
        <v>7881.0</v>
      </c>
      <c r="B7894" s="14">
        <f t="shared" si="1"/>
        <v>0.1326902515</v>
      </c>
      <c r="C7894" s="39">
        <f t="array" ref="C7894">NPV(B7894,FCFF!$C$9:$I$9)+FCFF!$B$9+FCFF!$I$9*(1+Inputs!$B$6)/(B7894-Inputs!$B$6)/(1+B7894)^7</f>
        <v>-2007.568798</v>
      </c>
    </row>
    <row r="7895" ht="14.25" customHeight="1">
      <c r="A7895" s="7">
        <v>7882.0</v>
      </c>
      <c r="B7895" s="14">
        <f t="shared" si="1"/>
        <v>0.1203463409</v>
      </c>
      <c r="C7895" s="39">
        <f t="array" ref="C7895">NPV(B7895,FCFF!$C$9:$I$9)+FCFF!$B$9+FCFF!$I$9*(1+Inputs!$B$6)/(B7895-Inputs!$B$6)/(1+B7895)^7</f>
        <v>-1827.558053</v>
      </c>
    </row>
    <row r="7896" ht="14.25" customHeight="1">
      <c r="A7896" s="7">
        <v>7883.0</v>
      </c>
      <c r="B7896" s="14">
        <f t="shared" si="1"/>
        <v>0.1023808122</v>
      </c>
      <c r="C7896" s="39">
        <f t="array" ref="C7896">NPV(B7896,FCFF!$C$9:$I$9)+FCFF!$B$9+FCFF!$I$9*(1+Inputs!$B$6)/(B7896-Inputs!$B$6)/(1+B7896)^7</f>
        <v>-1448.865572</v>
      </c>
    </row>
    <row r="7897" ht="14.25" customHeight="1">
      <c r="A7897" s="7">
        <v>7884.0</v>
      </c>
      <c r="B7897" s="14">
        <f t="shared" si="1"/>
        <v>0.121915506</v>
      </c>
      <c r="C7897" s="39">
        <f t="array" ref="C7897">NPV(B7897,FCFF!$C$9:$I$9)+FCFF!$B$9+FCFF!$I$9*(1+Inputs!$B$6)/(B7897-Inputs!$B$6)/(1+B7897)^7</f>
        <v>-1853.321671</v>
      </c>
    </row>
    <row r="7898" ht="14.25" customHeight="1">
      <c r="A7898" s="7">
        <v>7885.0</v>
      </c>
      <c r="B7898" s="14">
        <f t="shared" si="1"/>
        <v>0.09837223989</v>
      </c>
      <c r="C7898" s="39">
        <f t="array" ref="C7898">NPV(B7898,FCFF!$C$9:$I$9)+FCFF!$B$9+FCFF!$I$9*(1+Inputs!$B$6)/(B7898-Inputs!$B$6)/(1+B7898)^7</f>
        <v>-1336.50251</v>
      </c>
    </row>
    <row r="7899" ht="14.25" customHeight="1">
      <c r="A7899" s="7">
        <v>7886.0</v>
      </c>
      <c r="B7899" s="14">
        <f t="shared" si="1"/>
        <v>0.1045982023</v>
      </c>
      <c r="C7899" s="39">
        <f t="array" ref="C7899">NPV(B7899,FCFF!$C$9:$I$9)+FCFF!$B$9+FCFF!$I$9*(1+Inputs!$B$6)/(B7899-Inputs!$B$6)/(1+B7899)^7</f>
        <v>-1505.777853</v>
      </c>
    </row>
    <row r="7900" ht="14.25" customHeight="1">
      <c r="A7900" s="7">
        <v>7887.0</v>
      </c>
      <c r="B7900" s="14">
        <f t="shared" si="1"/>
        <v>0.1130922205</v>
      </c>
      <c r="C7900" s="39">
        <f t="array" ref="C7900">NPV(B7900,FCFF!$C$9:$I$9)+FCFF!$B$9+FCFF!$I$9*(1+Inputs!$B$6)/(B7900-Inputs!$B$6)/(1+B7900)^7</f>
        <v>-1695.072437</v>
      </c>
    </row>
    <row r="7901" ht="14.25" customHeight="1">
      <c r="A7901" s="7">
        <v>7888.0</v>
      </c>
      <c r="B7901" s="14">
        <f t="shared" si="1"/>
        <v>0.09885906508</v>
      </c>
      <c r="C7901" s="39">
        <f t="array" ref="C7901">NPV(B7901,FCFF!$C$9:$I$9)+FCFF!$B$9+FCFF!$I$9*(1+Inputs!$B$6)/(B7901-Inputs!$B$6)/(1+B7901)^7</f>
        <v>-1350.850794</v>
      </c>
    </row>
    <row r="7902" ht="14.25" customHeight="1">
      <c r="A7902" s="7">
        <v>7889.0</v>
      </c>
      <c r="B7902" s="14">
        <f t="shared" si="1"/>
        <v>0.1192502197</v>
      </c>
      <c r="C7902" s="39">
        <f t="array" ref="C7902">NPV(B7902,FCFF!$C$9:$I$9)+FCFF!$B$9+FCFF!$I$9*(1+Inputs!$B$6)/(B7902-Inputs!$B$6)/(1+B7902)^7</f>
        <v>-1808.990973</v>
      </c>
    </row>
    <row r="7903" ht="14.25" customHeight="1">
      <c r="A7903" s="7">
        <v>7890.0</v>
      </c>
      <c r="B7903" s="14">
        <f t="shared" si="1"/>
        <v>0.1151993898</v>
      </c>
      <c r="C7903" s="39">
        <f t="array" ref="C7903">NPV(B7903,FCFF!$C$9:$I$9)+FCFF!$B$9+FCFF!$I$9*(1+Inputs!$B$6)/(B7903-Inputs!$B$6)/(1+B7903)^7</f>
        <v>-1735.996226</v>
      </c>
    </row>
    <row r="7904" ht="14.25" customHeight="1">
      <c r="A7904" s="7">
        <v>7891.0</v>
      </c>
      <c r="B7904" s="14">
        <f t="shared" si="1"/>
        <v>0.1299060612</v>
      </c>
      <c r="C7904" s="39">
        <f t="array" ref="C7904">NPV(B7904,FCFF!$C$9:$I$9)+FCFF!$B$9+FCFF!$I$9*(1+Inputs!$B$6)/(B7904-Inputs!$B$6)/(1+B7904)^7</f>
        <v>-1971.14914</v>
      </c>
    </row>
    <row r="7905" ht="14.25" customHeight="1">
      <c r="A7905" s="7">
        <v>7892.0</v>
      </c>
      <c r="B7905" s="14">
        <f t="shared" si="1"/>
        <v>0.1237223501</v>
      </c>
      <c r="C7905" s="39">
        <f t="array" ref="C7905">NPV(B7905,FCFF!$C$9:$I$9)+FCFF!$B$9+FCFF!$I$9*(1+Inputs!$B$6)/(B7905-Inputs!$B$6)/(1+B7905)^7</f>
        <v>-1881.85202</v>
      </c>
    </row>
    <row r="7906" ht="14.25" customHeight="1">
      <c r="A7906" s="7">
        <v>7893.0</v>
      </c>
      <c r="B7906" s="14">
        <f t="shared" si="1"/>
        <v>0.1034532796</v>
      </c>
      <c r="C7906" s="39">
        <f t="array" ref="C7906">NPV(B7906,FCFF!$C$9:$I$9)+FCFF!$B$9+FCFF!$I$9*(1+Inputs!$B$6)/(B7906-Inputs!$B$6)/(1+B7906)^7</f>
        <v>-1476.827652</v>
      </c>
    </row>
    <row r="7907" ht="14.25" customHeight="1">
      <c r="A7907" s="7">
        <v>7894.0</v>
      </c>
      <c r="B7907" s="14">
        <f t="shared" si="1"/>
        <v>0.1003058431</v>
      </c>
      <c r="C7907" s="39">
        <f t="array" ref="C7907">NPV(B7907,FCFF!$C$9:$I$9)+FCFF!$B$9+FCFF!$I$9*(1+Inputs!$B$6)/(B7907-Inputs!$B$6)/(1+B7907)^7</f>
        <v>-1392.314204</v>
      </c>
    </row>
    <row r="7908" ht="14.25" customHeight="1">
      <c r="A7908" s="7">
        <v>7895.0</v>
      </c>
      <c r="B7908" s="14">
        <f t="shared" si="1"/>
        <v>0.1166632616</v>
      </c>
      <c r="C7908" s="39">
        <f t="array" ref="C7908">NPV(B7908,FCFF!$C$9:$I$9)+FCFF!$B$9+FCFF!$I$9*(1+Inputs!$B$6)/(B7908-Inputs!$B$6)/(1+B7908)^7</f>
        <v>-1763.202509</v>
      </c>
    </row>
    <row r="7909" ht="14.25" customHeight="1">
      <c r="A7909" s="7">
        <v>7896.0</v>
      </c>
      <c r="B7909" s="14">
        <f t="shared" si="1"/>
        <v>0.1235489513</v>
      </c>
      <c r="C7909" s="39">
        <f t="array" ref="C7909">NPV(B7909,FCFF!$C$9:$I$9)+FCFF!$B$9+FCFF!$I$9*(1+Inputs!$B$6)/(B7909-Inputs!$B$6)/(1+B7909)^7</f>
        <v>-1879.16501</v>
      </c>
    </row>
    <row r="7910" ht="14.25" customHeight="1">
      <c r="A7910" s="7">
        <v>7897.0</v>
      </c>
      <c r="B7910" s="14">
        <f t="shared" si="1"/>
        <v>0.108186254</v>
      </c>
      <c r="C7910" s="39">
        <f t="array" ref="C7910">NPV(B7910,FCFF!$C$9:$I$9)+FCFF!$B$9+FCFF!$I$9*(1+Inputs!$B$6)/(B7910-Inputs!$B$6)/(1+B7910)^7</f>
        <v>-1590.902949</v>
      </c>
    </row>
    <row r="7911" ht="14.25" customHeight="1">
      <c r="A7911" s="7">
        <v>7898.0</v>
      </c>
      <c r="B7911" s="14">
        <f t="shared" si="1"/>
        <v>0.1079893647</v>
      </c>
      <c r="C7911" s="39">
        <f t="array" ref="C7911">NPV(B7911,FCFF!$C$9:$I$9)+FCFF!$B$9+FCFF!$I$9*(1+Inputs!$B$6)/(B7911-Inputs!$B$6)/(1+B7911)^7</f>
        <v>-1586.439873</v>
      </c>
    </row>
    <row r="7912" ht="14.25" customHeight="1">
      <c r="A7912" s="7">
        <v>7899.0</v>
      </c>
      <c r="B7912" s="14">
        <f t="shared" si="1"/>
        <v>0.1228979828</v>
      </c>
      <c r="C7912" s="39">
        <f t="array" ref="C7912">NPV(B7912,FCFF!$C$9:$I$9)+FCFF!$B$9+FCFF!$I$9*(1+Inputs!$B$6)/(B7912-Inputs!$B$6)/(1+B7912)^7</f>
        <v>-1868.981911</v>
      </c>
    </row>
    <row r="7913" ht="14.25" customHeight="1">
      <c r="A7913" s="7">
        <v>7900.0</v>
      </c>
      <c r="B7913" s="14">
        <f t="shared" si="1"/>
        <v>0.1196513724</v>
      </c>
      <c r="C7913" s="39">
        <f t="array" ref="C7913">NPV(B7913,FCFF!$C$9:$I$9)+FCFF!$B$9+FCFF!$I$9*(1+Inputs!$B$6)/(B7913-Inputs!$B$6)/(1+B7913)^7</f>
        <v>-1815.841797</v>
      </c>
    </row>
    <row r="7914" ht="14.25" customHeight="1">
      <c r="A7914" s="7">
        <v>7901.0</v>
      </c>
      <c r="B7914" s="14">
        <f t="shared" si="1"/>
        <v>0.1259738588</v>
      </c>
      <c r="C7914" s="39">
        <f t="array" ref="C7914">NPV(B7914,FCFF!$C$9:$I$9)+FCFF!$B$9+FCFF!$I$9*(1+Inputs!$B$6)/(B7914-Inputs!$B$6)/(1+B7914)^7</f>
        <v>-1915.799193</v>
      </c>
    </row>
    <row r="7915" ht="14.25" customHeight="1">
      <c r="A7915" s="7">
        <v>7902.0</v>
      </c>
      <c r="B7915" s="14">
        <f t="shared" si="1"/>
        <v>0.1043476048</v>
      </c>
      <c r="C7915" s="39">
        <f t="array" ref="C7915">NPV(B7915,FCFF!$C$9:$I$9)+FCFF!$B$9+FCFF!$I$9*(1+Inputs!$B$6)/(B7915-Inputs!$B$6)/(1+B7915)^7</f>
        <v>-1499.518857</v>
      </c>
    </row>
    <row r="7916" ht="14.25" customHeight="1">
      <c r="A7916" s="7">
        <v>7903.0</v>
      </c>
      <c r="B7916" s="14">
        <f t="shared" si="1"/>
        <v>0.1244492201</v>
      </c>
      <c r="C7916" s="39">
        <f t="array" ref="C7916">NPV(B7916,FCFF!$C$9:$I$9)+FCFF!$B$9+FCFF!$I$9*(1+Inputs!$B$6)/(B7916-Inputs!$B$6)/(1+B7916)^7</f>
        <v>-1893.000957</v>
      </c>
    </row>
    <row r="7917" ht="14.25" customHeight="1">
      <c r="A7917" s="7">
        <v>7904.0</v>
      </c>
      <c r="B7917" s="14">
        <f t="shared" si="1"/>
        <v>0.09501783052</v>
      </c>
      <c r="C7917" s="39">
        <f t="array" ref="C7917">NPV(B7917,FCFF!$C$9:$I$9)+FCFF!$B$9+FCFF!$I$9*(1+Inputs!$B$6)/(B7917-Inputs!$B$6)/(1+B7917)^7</f>
        <v>-1231.799024</v>
      </c>
    </row>
    <row r="7918" ht="14.25" customHeight="1">
      <c r="A7918" s="7">
        <v>7905.0</v>
      </c>
      <c r="B7918" s="14">
        <f t="shared" si="1"/>
        <v>0.1012916685</v>
      </c>
      <c r="C7918" s="39">
        <f t="array" ref="C7918">NPV(B7918,FCFF!$C$9:$I$9)+FCFF!$B$9+FCFF!$I$9*(1+Inputs!$B$6)/(B7918-Inputs!$B$6)/(1+B7918)^7</f>
        <v>-1419.596536</v>
      </c>
    </row>
    <row r="7919" ht="14.25" customHeight="1">
      <c r="A7919" s="7">
        <v>7906.0</v>
      </c>
      <c r="B7919" s="14">
        <f t="shared" si="1"/>
        <v>0.1325651625</v>
      </c>
      <c r="C7919" s="39">
        <f t="array" ref="C7919">NPV(B7919,FCFF!$C$9:$I$9)+FCFF!$B$9+FCFF!$I$9*(1+Inputs!$B$6)/(B7919-Inputs!$B$6)/(1+B7919)^7</f>
        <v>-2005.97872</v>
      </c>
    </row>
    <row r="7920" ht="14.25" customHeight="1">
      <c r="A7920" s="7">
        <v>7907.0</v>
      </c>
      <c r="B7920" s="14">
        <f t="shared" si="1"/>
        <v>0.09880311722</v>
      </c>
      <c r="C7920" s="39">
        <f t="array" ref="C7920">NPV(B7920,FCFF!$C$9:$I$9)+FCFF!$B$9+FCFF!$I$9*(1+Inputs!$B$6)/(B7920-Inputs!$B$6)/(1+B7920)^7</f>
        <v>-1349.212191</v>
      </c>
    </row>
    <row r="7921" ht="14.25" customHeight="1">
      <c r="A7921" s="7">
        <v>7908.0</v>
      </c>
      <c r="B7921" s="14">
        <f t="shared" si="1"/>
        <v>0.0990892459</v>
      </c>
      <c r="C7921" s="39">
        <f t="array" ref="C7921">NPV(B7921,FCFF!$C$9:$I$9)+FCFF!$B$9+FCFF!$I$9*(1+Inputs!$B$6)/(B7921-Inputs!$B$6)/(1+B7921)^7</f>
        <v>-1357.564319</v>
      </c>
    </row>
    <row r="7922" ht="14.25" customHeight="1">
      <c r="A7922" s="7">
        <v>7909.0</v>
      </c>
      <c r="B7922" s="14">
        <f t="shared" si="1"/>
        <v>0.09874239244</v>
      </c>
      <c r="C7922" s="39">
        <f t="array" ref="C7922">NPV(B7922,FCFF!$C$9:$I$9)+FCFF!$B$9+FCFF!$I$9*(1+Inputs!$B$6)/(B7922-Inputs!$B$6)/(1+B7922)^7</f>
        <v>-1347.430651</v>
      </c>
    </row>
    <row r="7923" ht="14.25" customHeight="1">
      <c r="A7923" s="7">
        <v>7910.0</v>
      </c>
      <c r="B7923" s="14">
        <f t="shared" si="1"/>
        <v>0.1001877767</v>
      </c>
      <c r="C7923" s="39">
        <f t="array" ref="C7923">NPV(B7923,FCFF!$C$9:$I$9)+FCFF!$B$9+FCFF!$I$9*(1+Inputs!$B$6)/(B7923-Inputs!$B$6)/(1+B7923)^7</f>
        <v>-1388.994957</v>
      </c>
    </row>
    <row r="7924" ht="14.25" customHeight="1">
      <c r="A7924" s="7">
        <v>7911.0</v>
      </c>
      <c r="B7924" s="14">
        <f t="shared" si="1"/>
        <v>0.128297112</v>
      </c>
      <c r="C7924" s="39">
        <f t="array" ref="C7924">NPV(B7924,FCFF!$C$9:$I$9)+FCFF!$B$9+FCFF!$I$9*(1+Inputs!$B$6)/(B7924-Inputs!$B$6)/(1+B7924)^7</f>
        <v>-1949.07944</v>
      </c>
    </row>
    <row r="7925" ht="14.25" customHeight="1">
      <c r="A7925" s="7">
        <v>7912.0</v>
      </c>
      <c r="B7925" s="14">
        <f t="shared" si="1"/>
        <v>0.1242972884</v>
      </c>
      <c r="C7925" s="39">
        <f t="array" ref="C7925">NPV(B7925,FCFF!$C$9:$I$9)+FCFF!$B$9+FCFF!$I$9*(1+Inputs!$B$6)/(B7925-Inputs!$B$6)/(1+B7925)^7</f>
        <v>-1890.685784</v>
      </c>
    </row>
    <row r="7926" ht="14.25" customHeight="1">
      <c r="A7926" s="7">
        <v>7913.0</v>
      </c>
      <c r="B7926" s="14">
        <f t="shared" si="1"/>
        <v>0.09444370488</v>
      </c>
      <c r="C7926" s="39">
        <f t="array" ref="C7926">NPV(B7926,FCFF!$C$9:$I$9)+FCFF!$B$9+FCFF!$I$9*(1+Inputs!$B$6)/(B7926-Inputs!$B$6)/(1+B7926)^7</f>
        <v>-1212.790862</v>
      </c>
    </row>
    <row r="7927" ht="14.25" customHeight="1">
      <c r="A7927" s="7">
        <v>7914.0</v>
      </c>
      <c r="B7927" s="14">
        <f t="shared" si="1"/>
        <v>0.105191864</v>
      </c>
      <c r="C7927" s="39">
        <f t="array" ref="C7927">NPV(B7927,FCFF!$C$9:$I$9)+FCFF!$B$9+FCFF!$I$9*(1+Inputs!$B$6)/(B7927-Inputs!$B$6)/(1+B7927)^7</f>
        <v>-1520.435713</v>
      </c>
    </row>
    <row r="7928" ht="14.25" customHeight="1">
      <c r="A7928" s="7">
        <v>7915.0</v>
      </c>
      <c r="B7928" s="14">
        <f t="shared" si="1"/>
        <v>0.1129498165</v>
      </c>
      <c r="C7928" s="39">
        <f t="array" ref="C7928">NPV(B7928,FCFF!$C$9:$I$9)+FCFF!$B$9+FCFF!$I$9*(1+Inputs!$B$6)/(B7928-Inputs!$B$6)/(1+B7928)^7</f>
        <v>-1692.228559</v>
      </c>
    </row>
    <row r="7929" ht="14.25" customHeight="1">
      <c r="A7929" s="7">
        <v>7916.0</v>
      </c>
      <c r="B7929" s="14">
        <f t="shared" si="1"/>
        <v>0.1151996547</v>
      </c>
      <c r="C7929" s="39">
        <f t="array" ref="C7929">NPV(B7929,FCFF!$C$9:$I$9)+FCFF!$B$9+FCFF!$I$9*(1+Inputs!$B$6)/(B7929-Inputs!$B$6)/(1+B7929)^7</f>
        <v>-1736.001237</v>
      </c>
    </row>
    <row r="7930" ht="14.25" customHeight="1">
      <c r="A7930" s="7">
        <v>7917.0</v>
      </c>
      <c r="B7930" s="14">
        <f t="shared" si="1"/>
        <v>0.0990517052</v>
      </c>
      <c r="C7930" s="39">
        <f t="array" ref="C7930">NPV(B7930,FCFF!$C$9:$I$9)+FCFF!$B$9+FCFF!$I$9*(1+Inputs!$B$6)/(B7930-Inputs!$B$6)/(1+B7930)^7</f>
        <v>-1356.472462</v>
      </c>
    </row>
    <row r="7931" ht="14.25" customHeight="1">
      <c r="A7931" s="7">
        <v>7918.0</v>
      </c>
      <c r="B7931" s="14">
        <f t="shared" si="1"/>
        <v>0.131002006</v>
      </c>
      <c r="C7931" s="39">
        <f t="array" ref="C7931">NPV(B7931,FCFF!$C$9:$I$9)+FCFF!$B$9+FCFF!$I$9*(1+Inputs!$B$6)/(B7931-Inputs!$B$6)/(1+B7931)^7</f>
        <v>-1985.745908</v>
      </c>
    </row>
    <row r="7932" ht="14.25" customHeight="1">
      <c r="A7932" s="7">
        <v>7919.0</v>
      </c>
      <c r="B7932" s="14">
        <f t="shared" si="1"/>
        <v>0.1295633645</v>
      </c>
      <c r="C7932" s="39">
        <f t="array" ref="C7932">NPV(B7932,FCFF!$C$9:$I$9)+FCFF!$B$9+FCFF!$I$9*(1+Inputs!$B$6)/(B7932-Inputs!$B$6)/(1+B7932)^7</f>
        <v>-1966.513165</v>
      </c>
    </row>
    <row r="7933" ht="14.25" customHeight="1">
      <c r="A7933" s="7">
        <v>7920.0</v>
      </c>
      <c r="B7933" s="14">
        <f t="shared" si="1"/>
        <v>0.09374408303</v>
      </c>
      <c r="C7933" s="39">
        <f t="array" ref="C7933">NPV(B7933,FCFF!$C$9:$I$9)+FCFF!$B$9+FCFF!$I$9*(1+Inputs!$B$6)/(B7933-Inputs!$B$6)/(1+B7933)^7</f>
        <v>-1189.168872</v>
      </c>
    </row>
    <row r="7934" ht="14.25" customHeight="1">
      <c r="A7934" s="7">
        <v>7921.0</v>
      </c>
      <c r="B7934" s="14">
        <f t="shared" si="1"/>
        <v>0.1238518892</v>
      </c>
      <c r="C7934" s="39">
        <f t="array" ref="C7934">NPV(B7934,FCFF!$C$9:$I$9)+FCFF!$B$9+FCFF!$I$9*(1+Inputs!$B$6)/(B7934-Inputs!$B$6)/(1+B7934)^7</f>
        <v>-1883.85245</v>
      </c>
    </row>
    <row r="7935" ht="14.25" customHeight="1">
      <c r="A7935" s="7">
        <v>7922.0</v>
      </c>
      <c r="B7935" s="14">
        <f t="shared" si="1"/>
        <v>0.116429283</v>
      </c>
      <c r="C7935" s="39">
        <f t="array" ref="C7935">NPV(B7935,FCFF!$C$9:$I$9)+FCFF!$B$9+FCFF!$I$9*(1+Inputs!$B$6)/(B7935-Inputs!$B$6)/(1+B7935)^7</f>
        <v>-1758.918854</v>
      </c>
    </row>
    <row r="7936" ht="14.25" customHeight="1">
      <c r="A7936" s="7">
        <v>7923.0</v>
      </c>
      <c r="B7936" s="14">
        <f t="shared" si="1"/>
        <v>0.1148777791</v>
      </c>
      <c r="C7936" s="39">
        <f t="array" ref="C7936">NPV(B7936,FCFF!$C$9:$I$9)+FCFF!$B$9+FCFF!$I$9*(1+Inputs!$B$6)/(B7936-Inputs!$B$6)/(1+B7936)^7</f>
        <v>-1729.887315</v>
      </c>
    </row>
    <row r="7937" ht="14.25" customHeight="1">
      <c r="A7937" s="7">
        <v>7924.0</v>
      </c>
      <c r="B7937" s="14">
        <f t="shared" si="1"/>
        <v>0.1231379017</v>
      </c>
      <c r="C7937" s="39">
        <f t="array" ref="C7937">NPV(B7937,FCFF!$C$9:$I$9)+FCFF!$B$9+FCFF!$I$9*(1+Inputs!$B$6)/(B7937-Inputs!$B$6)/(1+B7937)^7</f>
        <v>-1872.752639</v>
      </c>
    </row>
    <row r="7938" ht="14.25" customHeight="1">
      <c r="A7938" s="7">
        <v>7925.0</v>
      </c>
      <c r="B7938" s="14">
        <f t="shared" si="1"/>
        <v>0.1106073286</v>
      </c>
      <c r="C7938" s="39">
        <f t="array" ref="C7938">NPV(B7938,FCFF!$C$9:$I$9)+FCFF!$B$9+FCFF!$I$9*(1+Inputs!$B$6)/(B7938-Inputs!$B$6)/(1+B7938)^7</f>
        <v>-1643.949212</v>
      </c>
    </row>
    <row r="7939" ht="14.25" customHeight="1">
      <c r="A7939" s="7">
        <v>7926.0</v>
      </c>
      <c r="B7939" s="14">
        <f t="shared" si="1"/>
        <v>0.1185736621</v>
      </c>
      <c r="C7939" s="39">
        <f t="array" ref="C7939">NPV(B7939,FCFF!$C$9:$I$9)+FCFF!$B$9+FCFF!$I$9*(1+Inputs!$B$6)/(B7939-Inputs!$B$6)/(1+B7939)^7</f>
        <v>-1797.288235</v>
      </c>
    </row>
    <row r="7940" ht="14.25" customHeight="1">
      <c r="A7940" s="7">
        <v>7927.0</v>
      </c>
      <c r="B7940" s="14">
        <f t="shared" si="1"/>
        <v>0.09793968807</v>
      </c>
      <c r="C7940" s="39">
        <f t="array" ref="C7940">NPV(B7940,FCFF!$C$9:$I$9)+FCFF!$B$9+FCFF!$I$9*(1+Inputs!$B$6)/(B7940-Inputs!$B$6)/(1+B7940)^7</f>
        <v>-1323.580929</v>
      </c>
    </row>
    <row r="7941" ht="14.25" customHeight="1">
      <c r="A7941" s="7">
        <v>7928.0</v>
      </c>
      <c r="B7941" s="14">
        <f t="shared" si="1"/>
        <v>0.1279952314</v>
      </c>
      <c r="C7941" s="39">
        <f t="array" ref="C7941">NPV(B7941,FCFF!$C$9:$I$9)+FCFF!$B$9+FCFF!$I$9*(1+Inputs!$B$6)/(B7941-Inputs!$B$6)/(1+B7941)^7</f>
        <v>-1944.851188</v>
      </c>
    </row>
    <row r="7942" ht="14.25" customHeight="1">
      <c r="A7942" s="7">
        <v>7929.0</v>
      </c>
      <c r="B7942" s="14">
        <f t="shared" si="1"/>
        <v>0.1213615732</v>
      </c>
      <c r="C7942" s="39">
        <f t="array" ref="C7942">NPV(B7942,FCFF!$C$9:$I$9)+FCFF!$B$9+FCFF!$I$9*(1+Inputs!$B$6)/(B7942-Inputs!$B$6)/(1+B7942)^7</f>
        <v>-1844.33414</v>
      </c>
    </row>
    <row r="7943" ht="14.25" customHeight="1">
      <c r="A7943" s="7">
        <v>7930.0</v>
      </c>
      <c r="B7943" s="14">
        <f t="shared" si="1"/>
        <v>0.09505396978</v>
      </c>
      <c r="C7943" s="39">
        <f t="array" ref="C7943">NPV(B7943,FCFF!$C$9:$I$9)+FCFF!$B$9+FCFF!$I$9*(1+Inputs!$B$6)/(B7943-Inputs!$B$6)/(1+B7943)^7</f>
        <v>-1232.984381</v>
      </c>
    </row>
    <row r="7944" ht="14.25" customHeight="1">
      <c r="A7944" s="7">
        <v>7931.0</v>
      </c>
      <c r="B7944" s="14">
        <f t="shared" si="1"/>
        <v>0.1004805792</v>
      </c>
      <c r="C7944" s="39">
        <f t="array" ref="C7944">NPV(B7944,FCFF!$C$9:$I$9)+FCFF!$B$9+FCFF!$I$9*(1+Inputs!$B$6)/(B7944-Inputs!$B$6)/(1+B7944)^7</f>
        <v>-1397.206071</v>
      </c>
    </row>
    <row r="7945" ht="14.25" customHeight="1">
      <c r="A7945" s="7">
        <v>7932.0</v>
      </c>
      <c r="B7945" s="14">
        <f t="shared" si="1"/>
        <v>0.1198792834</v>
      </c>
      <c r="C7945" s="39">
        <f t="array" ref="C7945">NPV(B7945,FCFF!$C$9:$I$9)+FCFF!$B$9+FCFF!$I$9*(1+Inputs!$B$6)/(B7945-Inputs!$B$6)/(1+B7945)^7</f>
        <v>-1819.705217</v>
      </c>
    </row>
    <row r="7946" ht="14.25" customHeight="1">
      <c r="A7946" s="7">
        <v>7933.0</v>
      </c>
      <c r="B7946" s="14">
        <f t="shared" si="1"/>
        <v>0.1061515905</v>
      </c>
      <c r="C7946" s="39">
        <f t="array" ref="C7946">NPV(B7946,FCFF!$C$9:$I$9)+FCFF!$B$9+FCFF!$I$9*(1+Inputs!$B$6)/(B7946-Inputs!$B$6)/(1+B7946)^7</f>
        <v>-1543.638777</v>
      </c>
    </row>
    <row r="7947" ht="14.25" customHeight="1">
      <c r="A7947" s="7">
        <v>7934.0</v>
      </c>
      <c r="B7947" s="14">
        <f t="shared" si="1"/>
        <v>0.09649928973</v>
      </c>
      <c r="C7947" s="39">
        <f t="array" ref="C7947">NPV(B7947,FCFF!$C$9:$I$9)+FCFF!$B$9+FCFF!$I$9*(1+Inputs!$B$6)/(B7947-Inputs!$B$6)/(1+B7947)^7</f>
        <v>-1279.339971</v>
      </c>
    </row>
    <row r="7948" ht="14.25" customHeight="1">
      <c r="A7948" s="7">
        <v>7935.0</v>
      </c>
      <c r="B7948" s="14">
        <f t="shared" si="1"/>
        <v>0.1039825619</v>
      </c>
      <c r="C7948" s="39">
        <f t="array" ref="C7948">NPV(B7948,FCFF!$C$9:$I$9)+FCFF!$B$9+FCFF!$I$9*(1+Inputs!$B$6)/(B7948-Inputs!$B$6)/(1+B7948)^7</f>
        <v>-1490.324208</v>
      </c>
    </row>
    <row r="7949" ht="14.25" customHeight="1">
      <c r="A7949" s="7">
        <v>7936.0</v>
      </c>
      <c r="B7949" s="14">
        <f t="shared" si="1"/>
        <v>0.1050524845</v>
      </c>
      <c r="C7949" s="39">
        <f t="array" ref="C7949">NPV(B7949,FCFF!$C$9:$I$9)+FCFF!$B$9+FCFF!$I$9*(1+Inputs!$B$6)/(B7949-Inputs!$B$6)/(1+B7949)^7</f>
        <v>-1517.015586</v>
      </c>
    </row>
    <row r="7950" ht="14.25" customHeight="1">
      <c r="A7950" s="7">
        <v>7937.0</v>
      </c>
      <c r="B7950" s="14">
        <f t="shared" si="1"/>
        <v>0.1145938898</v>
      </c>
      <c r="C7950" s="39">
        <f t="array" ref="C7950">NPV(B7950,FCFF!$C$9:$I$9)+FCFF!$B$9+FCFF!$I$9*(1+Inputs!$B$6)/(B7950-Inputs!$B$6)/(1+B7950)^7</f>
        <v>-1724.454555</v>
      </c>
    </row>
    <row r="7951" ht="14.25" customHeight="1">
      <c r="A7951" s="7">
        <v>7938.0</v>
      </c>
      <c r="B7951" s="14">
        <f t="shared" si="1"/>
        <v>0.1010559238</v>
      </c>
      <c r="C7951" s="39">
        <f t="array" ref="C7951">NPV(B7951,FCFF!$C$9:$I$9)+FCFF!$B$9+FCFF!$I$9*(1+Inputs!$B$6)/(B7951-Inputs!$B$6)/(1+B7951)^7</f>
        <v>-1413.14187</v>
      </c>
    </row>
    <row r="7952" ht="14.25" customHeight="1">
      <c r="A7952" s="7">
        <v>7939.0</v>
      </c>
      <c r="B7952" s="14">
        <f t="shared" si="1"/>
        <v>0.1082424235</v>
      </c>
      <c r="C7952" s="39">
        <f t="array" ref="C7952">NPV(B7952,FCFF!$C$9:$I$9)+FCFF!$B$9+FCFF!$I$9*(1+Inputs!$B$6)/(B7952-Inputs!$B$6)/(1+B7952)^7</f>
        <v>-1592.171964</v>
      </c>
    </row>
    <row r="7953" ht="14.25" customHeight="1">
      <c r="A7953" s="7">
        <v>7940.0</v>
      </c>
      <c r="B7953" s="14">
        <f t="shared" si="1"/>
        <v>0.1151924902</v>
      </c>
      <c r="C7953" s="39">
        <f t="array" ref="C7953">NPV(B7953,FCFF!$C$9:$I$9)+FCFF!$B$9+FCFF!$I$9*(1+Inputs!$B$6)/(B7953-Inputs!$B$6)/(1+B7953)^7</f>
        <v>-1735.865677</v>
      </c>
    </row>
    <row r="7954" ht="14.25" customHeight="1">
      <c r="A7954" s="7">
        <v>7941.0</v>
      </c>
      <c r="B7954" s="14">
        <f t="shared" si="1"/>
        <v>0.1315647594</v>
      </c>
      <c r="C7954" s="39">
        <f t="array" ref="C7954">NPV(B7954,FCFF!$C$9:$I$9)+FCFF!$B$9+FCFF!$I$9*(1+Inputs!$B$6)/(B7954-Inputs!$B$6)/(1+B7954)^7</f>
        <v>-1993.108138</v>
      </c>
    </row>
    <row r="7955" ht="14.25" customHeight="1">
      <c r="A7955" s="7">
        <v>7942.0</v>
      </c>
      <c r="B7955" s="14">
        <f t="shared" si="1"/>
        <v>0.09973439594</v>
      </c>
      <c r="C7955" s="39">
        <f t="array" ref="C7955">NPV(B7955,FCFF!$C$9:$I$9)+FCFF!$B$9+FCFF!$I$9*(1+Inputs!$B$6)/(B7955-Inputs!$B$6)/(1+B7955)^7</f>
        <v>-1376.143728</v>
      </c>
    </row>
    <row r="7956" ht="14.25" customHeight="1">
      <c r="A7956" s="7">
        <v>7943.0</v>
      </c>
      <c r="B7956" s="14">
        <f t="shared" si="1"/>
        <v>0.1186275902</v>
      </c>
      <c r="C7956" s="39">
        <f t="array" ref="C7956">NPV(B7956,FCFF!$C$9:$I$9)+FCFF!$B$9+FCFF!$I$9*(1+Inputs!$B$6)/(B7956-Inputs!$B$6)/(1+B7956)^7</f>
        <v>-1798.227974</v>
      </c>
    </row>
    <row r="7957" ht="14.25" customHeight="1">
      <c r="A7957" s="7">
        <v>7944.0</v>
      </c>
      <c r="B7957" s="14">
        <f t="shared" si="1"/>
        <v>0.1220274593</v>
      </c>
      <c r="C7957" s="39">
        <f t="array" ref="C7957">NPV(B7957,FCFF!$C$9:$I$9)+FCFF!$B$9+FCFF!$I$9*(1+Inputs!$B$6)/(B7957-Inputs!$B$6)/(1+B7957)^7</f>
        <v>-1855.124133</v>
      </c>
    </row>
    <row r="7958" ht="14.25" customHeight="1">
      <c r="A7958" s="7">
        <v>7945.0</v>
      </c>
      <c r="B7958" s="14">
        <f t="shared" si="1"/>
        <v>0.1177033945</v>
      </c>
      <c r="C7958" s="39">
        <f t="array" ref="C7958">NPV(B7958,FCFF!$C$9:$I$9)+FCFF!$B$9+FCFF!$I$9*(1+Inputs!$B$6)/(B7958-Inputs!$B$6)/(1+B7958)^7</f>
        <v>-1781.954592</v>
      </c>
    </row>
    <row r="7959" ht="14.25" customHeight="1">
      <c r="A7959" s="7">
        <v>7946.0</v>
      </c>
      <c r="B7959" s="14">
        <f t="shared" si="1"/>
        <v>0.1147412606</v>
      </c>
      <c r="C7959" s="39">
        <f t="array" ref="C7959">NPV(B7959,FCFF!$C$9:$I$9)+FCFF!$B$9+FCFF!$I$9*(1+Inputs!$B$6)/(B7959-Inputs!$B$6)/(1+B7959)^7</f>
        <v>-1727.279523</v>
      </c>
    </row>
    <row r="7960" ht="14.25" customHeight="1">
      <c r="A7960" s="7">
        <v>7947.0</v>
      </c>
      <c r="B7960" s="14">
        <f t="shared" si="1"/>
        <v>0.09785040641</v>
      </c>
      <c r="C7960" s="39">
        <f t="array" ref="C7960">NPV(B7960,FCFF!$C$9:$I$9)+FCFF!$B$9+FCFF!$I$9*(1+Inputs!$B$6)/(B7960-Inputs!$B$6)/(1+B7960)^7</f>
        <v>-1320.893286</v>
      </c>
    </row>
    <row r="7961" ht="14.25" customHeight="1">
      <c r="A7961" s="7">
        <v>7948.0</v>
      </c>
      <c r="B7961" s="14">
        <f t="shared" si="1"/>
        <v>0.1132892678</v>
      </c>
      <c r="C7961" s="39">
        <f t="array" ref="C7961">NPV(B7961,FCFF!$C$9:$I$9)+FCFF!$B$9+FCFF!$I$9*(1+Inputs!$B$6)/(B7961-Inputs!$B$6)/(1+B7961)^7</f>
        <v>-1698.990879</v>
      </c>
    </row>
    <row r="7962" ht="14.25" customHeight="1">
      <c r="A7962" s="7">
        <v>7949.0</v>
      </c>
      <c r="B7962" s="14">
        <f t="shared" si="1"/>
        <v>0.1222244839</v>
      </c>
      <c r="C7962" s="39">
        <f t="array" ref="C7962">NPV(B7962,FCFF!$C$9:$I$9)+FCFF!$B$9+FCFF!$I$9*(1+Inputs!$B$6)/(B7962-Inputs!$B$6)/(1+B7962)^7</f>
        <v>-1858.284946</v>
      </c>
    </row>
    <row r="7963" ht="14.25" customHeight="1">
      <c r="A7963" s="7">
        <v>7950.0</v>
      </c>
      <c r="B7963" s="14">
        <f t="shared" si="1"/>
        <v>0.1225108122</v>
      </c>
      <c r="C7963" s="39">
        <f t="array" ref="C7963">NPV(B7963,FCFF!$C$9:$I$9)+FCFF!$B$9+FCFF!$I$9*(1+Inputs!$B$6)/(B7963-Inputs!$B$6)/(1+B7963)^7</f>
        <v>-1862.852885</v>
      </c>
    </row>
    <row r="7964" ht="14.25" customHeight="1">
      <c r="A7964" s="7">
        <v>7951.0</v>
      </c>
      <c r="B7964" s="14">
        <f t="shared" si="1"/>
        <v>0.1029699606</v>
      </c>
      <c r="C7964" s="39">
        <f t="array" ref="C7964">NPV(B7964,FCFF!$C$9:$I$9)+FCFF!$B$9+FCFF!$I$9*(1+Inputs!$B$6)/(B7964-Inputs!$B$6)/(1+B7964)^7</f>
        <v>-1464.329428</v>
      </c>
    </row>
    <row r="7965" ht="14.25" customHeight="1">
      <c r="A7965" s="7">
        <v>7952.0</v>
      </c>
      <c r="B7965" s="14">
        <f t="shared" si="1"/>
        <v>0.1200786528</v>
      </c>
      <c r="C7965" s="39">
        <f t="array" ref="C7965">NPV(B7965,FCFF!$C$9:$I$9)+FCFF!$B$9+FCFF!$I$9*(1+Inputs!$B$6)/(B7965-Inputs!$B$6)/(1+B7965)^7</f>
        <v>-1823.067849</v>
      </c>
    </row>
    <row r="7966" ht="14.25" customHeight="1">
      <c r="A7966" s="7">
        <v>7953.0</v>
      </c>
      <c r="B7966" s="14">
        <f t="shared" si="1"/>
        <v>0.1085346253</v>
      </c>
      <c r="C7966" s="39">
        <f t="array" ref="C7966">NPV(B7966,FCFF!$C$9:$I$9)+FCFF!$B$9+FCFF!$I$9*(1+Inputs!$B$6)/(B7966-Inputs!$B$6)/(1+B7966)^7</f>
        <v>-1598.743449</v>
      </c>
    </row>
    <row r="7967" ht="14.25" customHeight="1">
      <c r="A7967" s="7">
        <v>7954.0</v>
      </c>
      <c r="B7967" s="14">
        <f t="shared" si="1"/>
        <v>0.1189720906</v>
      </c>
      <c r="C7967" s="39">
        <f t="array" ref="C7967">NPV(B7967,FCFF!$C$9:$I$9)+FCFF!$B$9+FCFF!$I$9*(1+Inputs!$B$6)/(B7967-Inputs!$B$6)/(1+B7967)^7</f>
        <v>-1804.202792</v>
      </c>
    </row>
    <row r="7968" ht="14.25" customHeight="1">
      <c r="A7968" s="7">
        <v>7955.0</v>
      </c>
      <c r="B7968" s="14">
        <f t="shared" si="1"/>
        <v>0.1194634981</v>
      </c>
      <c r="C7968" s="39">
        <f t="array" ref="C7968">NPV(B7968,FCFF!$C$9:$I$9)+FCFF!$B$9+FCFF!$I$9*(1+Inputs!$B$6)/(B7968-Inputs!$B$6)/(1+B7968)^7</f>
        <v>-1812.641397</v>
      </c>
    </row>
    <row r="7969" ht="14.25" customHeight="1">
      <c r="A7969" s="7">
        <v>7956.0</v>
      </c>
      <c r="B7969" s="14">
        <f t="shared" si="1"/>
        <v>0.09468160431</v>
      </c>
      <c r="C7969" s="39">
        <f t="array" ref="C7969">NPV(B7969,FCFF!$C$9:$I$9)+FCFF!$B$9+FCFF!$I$9*(1+Inputs!$B$6)/(B7969-Inputs!$B$6)/(1+B7969)^7</f>
        <v>-1220.707872</v>
      </c>
    </row>
    <row r="7970" ht="14.25" customHeight="1">
      <c r="A7970" s="7">
        <v>7957.0</v>
      </c>
      <c r="B7970" s="14">
        <f t="shared" si="1"/>
        <v>0.1124047934</v>
      </c>
      <c r="C7970" s="39">
        <f t="array" ref="C7970">NPV(B7970,FCFF!$C$9:$I$9)+FCFF!$B$9+FCFF!$I$9*(1+Inputs!$B$6)/(B7970-Inputs!$B$6)/(1+B7970)^7</f>
        <v>-1681.249728</v>
      </c>
    </row>
    <row r="7971" ht="14.25" customHeight="1">
      <c r="A7971" s="7">
        <v>7958.0</v>
      </c>
      <c r="B7971" s="14">
        <f t="shared" si="1"/>
        <v>0.1266568964</v>
      </c>
      <c r="C7971" s="39">
        <f t="array" ref="C7971">NPV(B7971,FCFF!$C$9:$I$9)+FCFF!$B$9+FCFF!$I$9*(1+Inputs!$B$6)/(B7971-Inputs!$B$6)/(1+B7971)^7</f>
        <v>-1925.762492</v>
      </c>
    </row>
    <row r="7972" ht="14.25" customHeight="1">
      <c r="A7972" s="7">
        <v>7959.0</v>
      </c>
      <c r="B7972" s="14">
        <f t="shared" si="1"/>
        <v>0.1015922759</v>
      </c>
      <c r="C7972" s="39">
        <f t="array" ref="C7972">NPV(B7972,FCFF!$C$9:$I$9)+FCFF!$B$9+FCFF!$I$9*(1+Inputs!$B$6)/(B7972-Inputs!$B$6)/(1+B7972)^7</f>
        <v>-1427.764862</v>
      </c>
    </row>
    <row r="7973" ht="14.25" customHeight="1">
      <c r="A7973" s="7">
        <v>7960.0</v>
      </c>
      <c r="B7973" s="14">
        <f t="shared" si="1"/>
        <v>0.1230716076</v>
      </c>
      <c r="C7973" s="39">
        <f t="array" ref="C7973">NPV(B7973,FCFF!$C$9:$I$9)+FCFF!$B$9+FCFF!$I$9*(1+Inputs!$B$6)/(B7973-Inputs!$B$6)/(1+B7973)^7</f>
        <v>-1871.71279</v>
      </c>
    </row>
    <row r="7974" ht="14.25" customHeight="1">
      <c r="A7974" s="7">
        <v>7961.0</v>
      </c>
      <c r="B7974" s="14">
        <f t="shared" si="1"/>
        <v>0.09795884273</v>
      </c>
      <c r="C7974" s="39">
        <f t="array" ref="C7974">NPV(B7974,FCFF!$C$9:$I$9)+FCFF!$B$9+FCFF!$I$9*(1+Inputs!$B$6)/(B7974-Inputs!$B$6)/(1+B7974)^7</f>
        <v>-1324.15662</v>
      </c>
    </row>
    <row r="7975" ht="14.25" customHeight="1">
      <c r="A7975" s="7">
        <v>7962.0</v>
      </c>
      <c r="B7975" s="14">
        <f t="shared" si="1"/>
        <v>0.121574849</v>
      </c>
      <c r="C7975" s="39">
        <f t="array" ref="C7975">NPV(B7975,FCFF!$C$9:$I$9)+FCFF!$B$9+FCFF!$I$9*(1+Inputs!$B$6)/(B7975-Inputs!$B$6)/(1+B7975)^7</f>
        <v>-1847.808214</v>
      </c>
    </row>
    <row r="7976" ht="14.25" customHeight="1">
      <c r="A7976" s="7">
        <v>7963.0</v>
      </c>
      <c r="B7976" s="14">
        <f t="shared" si="1"/>
        <v>0.1119195236</v>
      </c>
      <c r="C7976" s="39">
        <f t="array" ref="C7976">NPV(B7976,FCFF!$C$9:$I$9)+FCFF!$B$9+FCFF!$I$9*(1+Inputs!$B$6)/(B7976-Inputs!$B$6)/(1+B7976)^7</f>
        <v>-1671.346786</v>
      </c>
    </row>
    <row r="7977" ht="14.25" customHeight="1">
      <c r="A7977" s="7">
        <v>7964.0</v>
      </c>
      <c r="B7977" s="14">
        <f t="shared" si="1"/>
        <v>0.1177776855</v>
      </c>
      <c r="C7977" s="39">
        <f t="array" ref="C7977">NPV(B7977,FCFF!$C$9:$I$9)+FCFF!$B$9+FCFF!$I$9*(1+Inputs!$B$6)/(B7977-Inputs!$B$6)/(1+B7977)^7</f>
        <v>-1783.276067</v>
      </c>
    </row>
    <row r="7978" ht="14.25" customHeight="1">
      <c r="A7978" s="7">
        <v>7965.0</v>
      </c>
      <c r="B7978" s="14">
        <f t="shared" si="1"/>
        <v>0.1084958896</v>
      </c>
      <c r="C7978" s="39">
        <f t="array" ref="C7978">NPV(B7978,FCFF!$C$9:$I$9)+FCFF!$B$9+FCFF!$I$9*(1+Inputs!$B$6)/(B7978-Inputs!$B$6)/(1+B7978)^7</f>
        <v>-1597.875195</v>
      </c>
    </row>
    <row r="7979" ht="14.25" customHeight="1">
      <c r="A7979" s="7">
        <v>7966.0</v>
      </c>
      <c r="B7979" s="14">
        <f t="shared" si="1"/>
        <v>0.1323518099</v>
      </c>
      <c r="C7979" s="39">
        <f t="array" ref="C7979">NPV(B7979,FCFF!$C$9:$I$9)+FCFF!$B$9+FCFF!$I$9*(1+Inputs!$B$6)/(B7979-Inputs!$B$6)/(1+B7979)^7</f>
        <v>-2003.256878</v>
      </c>
    </row>
    <row r="7980" ht="14.25" customHeight="1">
      <c r="A7980" s="7">
        <v>7967.0</v>
      </c>
      <c r="B7980" s="14">
        <f t="shared" si="1"/>
        <v>0.1027209919</v>
      </c>
      <c r="C7980" s="39">
        <f t="array" ref="C7980">NPV(B7980,FCFF!$C$9:$I$9)+FCFF!$B$9+FCFF!$I$9*(1+Inputs!$B$6)/(B7980-Inputs!$B$6)/(1+B7980)^7</f>
        <v>-1457.82553</v>
      </c>
    </row>
    <row r="7981" ht="14.25" customHeight="1">
      <c r="A7981" s="7">
        <v>7968.0</v>
      </c>
      <c r="B7981" s="14">
        <f t="shared" si="1"/>
        <v>0.1144934709</v>
      </c>
      <c r="C7981" s="39">
        <f t="array" ref="C7981">NPV(B7981,FCFF!$C$9:$I$9)+FCFF!$B$9+FCFF!$I$9*(1+Inputs!$B$6)/(B7981-Inputs!$B$6)/(1+B7981)^7</f>
        <v>-1722.523716</v>
      </c>
    </row>
    <row r="7982" ht="14.25" customHeight="1">
      <c r="A7982" s="7">
        <v>7969.0</v>
      </c>
      <c r="B7982" s="14">
        <f t="shared" si="1"/>
        <v>0.1071721925</v>
      </c>
      <c r="C7982" s="39">
        <f t="array" ref="C7982">NPV(B7982,FCFF!$C$9:$I$9)+FCFF!$B$9+FCFF!$I$9*(1+Inputs!$B$6)/(B7982-Inputs!$B$6)/(1+B7982)^7</f>
        <v>-1567.666243</v>
      </c>
    </row>
    <row r="7983" ht="14.25" customHeight="1">
      <c r="A7983" s="7">
        <v>7970.0</v>
      </c>
      <c r="B7983" s="14">
        <f t="shared" si="1"/>
        <v>0.09494833851</v>
      </c>
      <c r="C7983" s="39">
        <f t="array" ref="C7983">NPV(B7983,FCFF!$C$9:$I$9)+FCFF!$B$9+FCFF!$I$9*(1+Inputs!$B$6)/(B7983-Inputs!$B$6)/(1+B7983)^7</f>
        <v>-1229.516026</v>
      </c>
    </row>
    <row r="7984" ht="14.25" customHeight="1">
      <c r="A7984" s="7">
        <v>7971.0</v>
      </c>
      <c r="B7984" s="14">
        <f t="shared" si="1"/>
        <v>0.1181613776</v>
      </c>
      <c r="C7984" s="39">
        <f t="array" ref="C7984">NPV(B7984,FCFF!$C$9:$I$9)+FCFF!$B$9+FCFF!$I$9*(1+Inputs!$B$6)/(B7984-Inputs!$B$6)/(1+B7984)^7</f>
        <v>-1790.063776</v>
      </c>
    </row>
    <row r="7985" ht="14.25" customHeight="1">
      <c r="A7985" s="7">
        <v>7972.0</v>
      </c>
      <c r="B7985" s="14">
        <f t="shared" si="1"/>
        <v>0.1097478705</v>
      </c>
      <c r="C7985" s="39">
        <f t="array" ref="C7985">NPV(B7985,FCFF!$C$9:$I$9)+FCFF!$B$9+FCFF!$I$9*(1+Inputs!$B$6)/(B7985-Inputs!$B$6)/(1+B7985)^7</f>
        <v>-1625.498597</v>
      </c>
    </row>
    <row r="7986" ht="14.25" customHeight="1">
      <c r="A7986" s="7">
        <v>7973.0</v>
      </c>
      <c r="B7986" s="14">
        <f t="shared" si="1"/>
        <v>0.1068259914</v>
      </c>
      <c r="C7986" s="39">
        <f t="array" ref="C7986">NPV(B7986,FCFF!$C$9:$I$9)+FCFF!$B$9+FCFF!$I$9*(1+Inputs!$B$6)/(B7986-Inputs!$B$6)/(1+B7986)^7</f>
        <v>-1559.589094</v>
      </c>
    </row>
    <row r="7987" ht="14.25" customHeight="1">
      <c r="A7987" s="7">
        <v>7974.0</v>
      </c>
      <c r="B7987" s="14">
        <f t="shared" si="1"/>
        <v>0.1133451296</v>
      </c>
      <c r="C7987" s="39">
        <f t="array" ref="C7987">NPV(B7987,FCFF!$C$9:$I$9)+FCFF!$B$9+FCFF!$I$9*(1+Inputs!$B$6)/(B7987-Inputs!$B$6)/(1+B7987)^7</f>
        <v>-1700.098224</v>
      </c>
    </row>
    <row r="7988" ht="14.25" customHeight="1">
      <c r="A7988" s="7">
        <v>7975.0</v>
      </c>
      <c r="B7988" s="14">
        <f t="shared" si="1"/>
        <v>0.118492725</v>
      </c>
      <c r="C7988" s="39">
        <f t="array" ref="C7988">NPV(B7988,FCFF!$C$9:$I$9)+FCFF!$B$9+FCFF!$I$9*(1+Inputs!$B$6)/(B7988-Inputs!$B$6)/(1+B7988)^7</f>
        <v>-1795.875575</v>
      </c>
    </row>
    <row r="7989" ht="14.25" customHeight="1">
      <c r="A7989" s="7">
        <v>7976.0</v>
      </c>
      <c r="B7989" s="14">
        <f t="shared" si="1"/>
        <v>0.1071531971</v>
      </c>
      <c r="C7989" s="39">
        <f t="array" ref="C7989">NPV(B7989,FCFF!$C$9:$I$9)+FCFF!$B$9+FCFF!$I$9*(1+Inputs!$B$6)/(B7989-Inputs!$B$6)/(1+B7989)^7</f>
        <v>-1567.224991</v>
      </c>
    </row>
    <row r="7990" ht="14.25" customHeight="1">
      <c r="A7990" s="7">
        <v>7977.0</v>
      </c>
      <c r="B7990" s="14">
        <f t="shared" si="1"/>
        <v>0.1187365483</v>
      </c>
      <c r="C7990" s="39">
        <f t="array" ref="C7990">NPV(B7990,FCFF!$C$9:$I$9)+FCFF!$B$9+FCFF!$I$9*(1+Inputs!$B$6)/(B7990-Inputs!$B$6)/(1+B7990)^7</f>
        <v>-1800.122977</v>
      </c>
    </row>
    <row r="7991" ht="14.25" customHeight="1">
      <c r="A7991" s="7">
        <v>7978.0</v>
      </c>
      <c r="B7991" s="14">
        <f t="shared" si="1"/>
        <v>0.09990272187</v>
      </c>
      <c r="C7991" s="39">
        <f t="array" ref="C7991">NPV(B7991,FCFF!$C$9:$I$9)+FCFF!$B$9+FCFF!$I$9*(1+Inputs!$B$6)/(B7991-Inputs!$B$6)/(1+B7991)^7</f>
        <v>-1380.934563</v>
      </c>
    </row>
    <row r="7992" ht="14.25" customHeight="1">
      <c r="A7992" s="7">
        <v>7979.0</v>
      </c>
      <c r="B7992" s="14">
        <f t="shared" si="1"/>
        <v>0.11616373</v>
      </c>
      <c r="C7992" s="39">
        <f t="array" ref="C7992">NPV(B7992,FCFF!$C$9:$I$9)+FCFF!$B$9+FCFF!$I$9*(1+Inputs!$B$6)/(B7992-Inputs!$B$6)/(1+B7992)^7</f>
        <v>-1754.027558</v>
      </c>
    </row>
    <row r="7993" ht="14.25" customHeight="1">
      <c r="A7993" s="7">
        <v>7980.0</v>
      </c>
      <c r="B7993" s="14">
        <f t="shared" si="1"/>
        <v>0.1261919335</v>
      </c>
      <c r="C7993" s="39">
        <f t="array" ref="C7993">NPV(B7993,FCFF!$C$9:$I$9)+FCFF!$B$9+FCFF!$I$9*(1+Inputs!$B$6)/(B7993-Inputs!$B$6)/(1+B7993)^7</f>
        <v>-1918.996729</v>
      </c>
    </row>
    <row r="7994" ht="14.25" customHeight="1">
      <c r="A7994" s="7">
        <v>7981.0</v>
      </c>
      <c r="B7994" s="14">
        <f t="shared" si="1"/>
        <v>0.106866485</v>
      </c>
      <c r="C7994" s="39">
        <f t="array" ref="C7994">NPV(B7994,FCFF!$C$9:$I$9)+FCFF!$B$9+FCFF!$I$9*(1+Inputs!$B$6)/(B7994-Inputs!$B$6)/(1+B7994)^7</f>
        <v>-1560.537692</v>
      </c>
    </row>
    <row r="7995" ht="14.25" customHeight="1">
      <c r="A7995" s="7">
        <v>7982.0</v>
      </c>
      <c r="B7995" s="14">
        <f t="shared" si="1"/>
        <v>0.1086730447</v>
      </c>
      <c r="C7995" s="39">
        <f t="array" ref="C7995">NPV(B7995,FCFF!$C$9:$I$9)+FCFF!$B$9+FCFF!$I$9*(1+Inputs!$B$6)/(B7995-Inputs!$B$6)/(1+B7995)^7</f>
        <v>-1601.83891</v>
      </c>
    </row>
    <row r="7996" ht="14.25" customHeight="1">
      <c r="A7996" s="7">
        <v>7983.0</v>
      </c>
      <c r="B7996" s="14">
        <f t="shared" si="1"/>
        <v>0.1086116644</v>
      </c>
      <c r="C7996" s="39">
        <f t="array" ref="C7996">NPV(B7996,FCFF!$C$9:$I$9)+FCFF!$B$9+FCFF!$I$9*(1+Inputs!$B$6)/(B7996-Inputs!$B$6)/(1+B7996)^7</f>
        <v>-1600.467653</v>
      </c>
    </row>
    <row r="7997" ht="14.25" customHeight="1">
      <c r="A7997" s="7">
        <v>7984.0</v>
      </c>
      <c r="B7997" s="14">
        <f t="shared" si="1"/>
        <v>0.1301986438</v>
      </c>
      <c r="C7997" s="39">
        <f t="array" ref="C7997">NPV(B7997,FCFF!$C$9:$I$9)+FCFF!$B$9+FCFF!$I$9*(1+Inputs!$B$6)/(B7997-Inputs!$B$6)/(1+B7997)^7</f>
        <v>-1975.079956</v>
      </c>
    </row>
    <row r="7998" ht="14.25" customHeight="1">
      <c r="A7998" s="7">
        <v>7985.0</v>
      </c>
      <c r="B7998" s="14">
        <f t="shared" si="1"/>
        <v>0.1171442767</v>
      </c>
      <c r="C7998" s="39">
        <f t="array" ref="C7998">NPV(B7998,FCFF!$C$9:$I$9)+FCFF!$B$9+FCFF!$I$9*(1+Inputs!$B$6)/(B7998-Inputs!$B$6)/(1+B7998)^7</f>
        <v>-1771.933012</v>
      </c>
    </row>
    <row r="7999" ht="14.25" customHeight="1">
      <c r="A7999" s="7">
        <v>7986.0</v>
      </c>
      <c r="B7999" s="14">
        <f t="shared" si="1"/>
        <v>0.1107607308</v>
      </c>
      <c r="C7999" s="39">
        <f t="array" ref="C7999">NPV(B7999,FCFF!$C$9:$I$9)+FCFF!$B$9+FCFF!$I$9*(1+Inputs!$B$6)/(B7999-Inputs!$B$6)/(1+B7999)^7</f>
        <v>-1647.199725</v>
      </c>
    </row>
    <row r="8000" ht="14.25" customHeight="1">
      <c r="A8000" s="7">
        <v>7987.0</v>
      </c>
      <c r="B8000" s="14">
        <f t="shared" si="1"/>
        <v>0.1136414673</v>
      </c>
      <c r="C8000" s="39">
        <f t="array" ref="C8000">NPV(B8000,FCFF!$C$9:$I$9)+FCFF!$B$9+FCFF!$I$9*(1+Inputs!$B$6)/(B8000-Inputs!$B$6)/(1+B8000)^7</f>
        <v>-1705.946753</v>
      </c>
    </row>
    <row r="8001" ht="14.25" customHeight="1">
      <c r="A8001" s="7">
        <v>7988.0</v>
      </c>
      <c r="B8001" s="14">
        <f t="shared" si="1"/>
        <v>0.1091388258</v>
      </c>
      <c r="C8001" s="39">
        <f t="array" ref="C8001">NPV(B8001,FCFF!$C$9:$I$9)+FCFF!$B$9+FCFF!$I$9*(1+Inputs!$B$6)/(B8001-Inputs!$B$6)/(1+B8001)^7</f>
        <v>-1612.173275</v>
      </c>
    </row>
    <row r="8002" ht="14.25" customHeight="1">
      <c r="A8002" s="7">
        <v>7989.0</v>
      </c>
      <c r="B8002" s="14">
        <f t="shared" si="1"/>
        <v>0.1006016203</v>
      </c>
      <c r="C8002" s="39">
        <f t="array" ref="C8002">NPV(B8002,FCFF!$C$9:$I$9)+FCFF!$B$9+FCFF!$I$9*(1+Inputs!$B$6)/(B8002-Inputs!$B$6)/(1+B8002)^7</f>
        <v>-1400.580404</v>
      </c>
    </row>
    <row r="8003" ht="14.25" customHeight="1">
      <c r="A8003" s="7">
        <v>7990.0</v>
      </c>
      <c r="B8003" s="14">
        <f t="shared" si="1"/>
        <v>0.1329023804</v>
      </c>
      <c r="C8003" s="39">
        <f t="array" ref="C8003">NPV(B8003,FCFF!$C$9:$I$9)+FCFF!$B$9+FCFF!$I$9*(1+Inputs!$B$6)/(B8003-Inputs!$B$6)/(1+B8003)^7</f>
        <v>-2010.255639</v>
      </c>
    </row>
    <row r="8004" ht="14.25" customHeight="1">
      <c r="A8004" s="7">
        <v>7991.0</v>
      </c>
      <c r="B8004" s="14">
        <f t="shared" si="1"/>
        <v>0.1006793567</v>
      </c>
      <c r="C8004" s="39">
        <f t="array" ref="C8004">NPV(B8004,FCFF!$C$9:$I$9)+FCFF!$B$9+FCFF!$I$9*(1+Inputs!$B$6)/(B8004-Inputs!$B$6)/(1+B8004)^7</f>
        <v>-1402.741359</v>
      </c>
    </row>
    <row r="8005" ht="14.25" customHeight="1">
      <c r="A8005" s="7">
        <v>7992.0</v>
      </c>
      <c r="B8005" s="14">
        <f t="shared" si="1"/>
        <v>0.1079818177</v>
      </c>
      <c r="C8005" s="39">
        <f t="array" ref="C8005">NPV(B8005,FCFF!$C$9:$I$9)+FCFF!$B$9+FCFF!$I$9*(1+Inputs!$B$6)/(B8005-Inputs!$B$6)/(1+B8005)^7</f>
        <v>-1586.268337</v>
      </c>
    </row>
    <row r="8006" ht="14.25" customHeight="1">
      <c r="A8006" s="7">
        <v>7993.0</v>
      </c>
      <c r="B8006" s="14">
        <f t="shared" si="1"/>
        <v>0.1046881765</v>
      </c>
      <c r="C8006" s="39">
        <f t="array" ref="C8006">NPV(B8006,FCFF!$C$9:$I$9)+FCFF!$B$9+FCFF!$I$9*(1+Inputs!$B$6)/(B8006-Inputs!$B$6)/(1+B8006)^7</f>
        <v>-1508.01464</v>
      </c>
    </row>
    <row r="8007" ht="14.25" customHeight="1">
      <c r="A8007" s="7">
        <v>7994.0</v>
      </c>
      <c r="B8007" s="14">
        <f t="shared" si="1"/>
        <v>0.1087523242</v>
      </c>
      <c r="C8007" s="39">
        <f t="array" ref="C8007">NPV(B8007,FCFF!$C$9:$I$9)+FCFF!$B$9+FCFF!$I$9*(1+Inputs!$B$6)/(B8007-Inputs!$B$6)/(1+B8007)^7</f>
        <v>-1603.606788</v>
      </c>
    </row>
    <row r="8008" ht="14.25" customHeight="1">
      <c r="A8008" s="7">
        <v>7995.0</v>
      </c>
      <c r="B8008" s="14">
        <f t="shared" si="1"/>
        <v>0.1248211249</v>
      </c>
      <c r="C8008" s="39">
        <f t="array" ref="C8008">NPV(B8008,FCFF!$C$9:$I$9)+FCFF!$B$9+FCFF!$I$9*(1+Inputs!$B$6)/(B8008-Inputs!$B$6)/(1+B8008)^7</f>
        <v>-1898.634624</v>
      </c>
    </row>
    <row r="8009" ht="14.25" customHeight="1">
      <c r="A8009" s="7">
        <v>7996.0</v>
      </c>
      <c r="B8009" s="14">
        <f t="shared" si="1"/>
        <v>0.1029102142</v>
      </c>
      <c r="C8009" s="39">
        <f t="array" ref="C8009">NPV(B8009,FCFF!$C$9:$I$9)+FCFF!$B$9+FCFF!$I$9*(1+Inputs!$B$6)/(B8009-Inputs!$B$6)/(1+B8009)^7</f>
        <v>-1462.77276</v>
      </c>
    </row>
    <row r="8010" ht="14.25" customHeight="1">
      <c r="A8010" s="7">
        <v>7997.0</v>
      </c>
      <c r="B8010" s="14">
        <f t="shared" si="1"/>
        <v>0.1088440073</v>
      </c>
      <c r="C8010" s="39">
        <f t="array" ref="C8010">NPV(B8010,FCFF!$C$9:$I$9)+FCFF!$B$9+FCFF!$I$9*(1+Inputs!$B$6)/(B8010-Inputs!$B$6)/(1+B8010)^7</f>
        <v>-1605.646694</v>
      </c>
    </row>
    <row r="8011" ht="14.25" customHeight="1">
      <c r="A8011" s="7">
        <v>7998.0</v>
      </c>
      <c r="B8011" s="14">
        <f t="shared" si="1"/>
        <v>0.116933707</v>
      </c>
      <c r="C8011" s="39">
        <f t="array" ref="C8011">NPV(B8011,FCFF!$C$9:$I$9)+FCFF!$B$9+FCFF!$I$9*(1+Inputs!$B$6)/(B8011-Inputs!$B$6)/(1+B8011)^7</f>
        <v>-1768.123629</v>
      </c>
    </row>
    <row r="8012" ht="14.25" customHeight="1">
      <c r="A8012" s="7">
        <v>7999.0</v>
      </c>
      <c r="B8012" s="14">
        <f t="shared" si="1"/>
        <v>0.1104780989</v>
      </c>
      <c r="C8012" s="39">
        <f t="array" ref="C8012">NPV(B8012,FCFF!$C$9:$I$9)+FCFF!$B$9+FCFF!$I$9*(1+Inputs!$B$6)/(B8012-Inputs!$B$6)/(1+B8012)^7</f>
        <v>-1641.200955</v>
      </c>
    </row>
    <row r="8013" ht="14.25" customHeight="1">
      <c r="A8013" s="7">
        <v>8000.0</v>
      </c>
      <c r="B8013" s="14">
        <f t="shared" si="1"/>
        <v>0.0953035064</v>
      </c>
      <c r="C8013" s="39">
        <f t="array" ref="C8013">NPV(B8013,FCFF!$C$9:$I$9)+FCFF!$B$9+FCFF!$I$9*(1+Inputs!$B$6)/(B8013-Inputs!$B$6)/(1+B8013)^7</f>
        <v>-1241.13353</v>
      </c>
    </row>
    <row r="8014" ht="14.25" customHeight="1">
      <c r="A8014" s="7">
        <v>8001.0</v>
      </c>
      <c r="B8014" s="14">
        <f t="shared" si="1"/>
        <v>0.1084178496</v>
      </c>
      <c r="C8014" s="39">
        <f t="array" ref="C8014">NPV(B8014,FCFF!$C$9:$I$9)+FCFF!$B$9+FCFF!$I$9*(1+Inputs!$B$6)/(B8014-Inputs!$B$6)/(1+B8014)^7</f>
        <v>-1596.12326</v>
      </c>
    </row>
    <row r="8015" ht="14.25" customHeight="1">
      <c r="A8015" s="7">
        <v>8002.0</v>
      </c>
      <c r="B8015" s="14">
        <f t="shared" si="1"/>
        <v>0.1007340561</v>
      </c>
      <c r="C8015" s="39">
        <f t="array" ref="C8015">NPV(B8015,FCFF!$C$9:$I$9)+FCFF!$B$9+FCFF!$I$9*(1+Inputs!$B$6)/(B8015-Inputs!$B$6)/(1+B8015)^7</f>
        <v>-1404.259052</v>
      </c>
    </row>
    <row r="8016" ht="14.25" customHeight="1">
      <c r="A8016" s="7">
        <v>8003.0</v>
      </c>
      <c r="B8016" s="14">
        <f t="shared" si="1"/>
        <v>0.09755655571</v>
      </c>
      <c r="C8016" s="39">
        <f t="array" ref="C8016">NPV(B8016,FCFF!$C$9:$I$9)+FCFF!$B$9+FCFF!$I$9*(1+Inputs!$B$6)/(B8016-Inputs!$B$6)/(1+B8016)^7</f>
        <v>-1311.997309</v>
      </c>
    </row>
    <row r="8017" ht="14.25" customHeight="1">
      <c r="A8017" s="7">
        <v>8004.0</v>
      </c>
      <c r="B8017" s="14">
        <f t="shared" si="1"/>
        <v>0.09737902828</v>
      </c>
      <c r="C8017" s="39">
        <f t="array" ref="C8017">NPV(B8017,FCFF!$C$9:$I$9)+FCFF!$B$9+FCFF!$I$9*(1+Inputs!$B$6)/(B8017-Inputs!$B$6)/(1+B8017)^7</f>
        <v>-1306.585275</v>
      </c>
    </row>
    <row r="8018" ht="14.25" customHeight="1">
      <c r="A8018" s="7">
        <v>8005.0</v>
      </c>
      <c r="B8018" s="14">
        <f t="shared" si="1"/>
        <v>0.1052771678</v>
      </c>
      <c r="C8018" s="39">
        <f t="array" ref="C8018">NPV(B8018,FCFF!$C$9:$I$9)+FCFF!$B$9+FCFF!$I$9*(1+Inputs!$B$6)/(B8018-Inputs!$B$6)/(1+B8018)^7</f>
        <v>-1522.522544</v>
      </c>
    </row>
    <row r="8019" ht="14.25" customHeight="1">
      <c r="A8019" s="7">
        <v>8006.0</v>
      </c>
      <c r="B8019" s="14">
        <f t="shared" si="1"/>
        <v>0.1213947809</v>
      </c>
      <c r="C8019" s="39">
        <f t="array" ref="C8019">NPV(B8019,FCFF!$C$9:$I$9)+FCFF!$B$9+FCFF!$I$9*(1+Inputs!$B$6)/(B8019-Inputs!$B$6)/(1+B8019)^7</f>
        <v>-1844.876196</v>
      </c>
    </row>
    <row r="8020" ht="14.25" customHeight="1">
      <c r="A8020" s="7">
        <v>8007.0</v>
      </c>
      <c r="B8020" s="14">
        <f t="shared" si="1"/>
        <v>0.1154891948</v>
      </c>
      <c r="C8020" s="39">
        <f t="array" ref="C8020">NPV(B8020,FCFF!$C$9:$I$9)+FCFF!$B$9+FCFF!$I$9*(1+Inputs!$B$6)/(B8020-Inputs!$B$6)/(1+B8020)^7</f>
        <v>-1741.459812</v>
      </c>
    </row>
    <row r="8021" ht="14.25" customHeight="1">
      <c r="A8021" s="7">
        <v>8008.0</v>
      </c>
      <c r="B8021" s="14">
        <f t="shared" si="1"/>
        <v>0.1035685611</v>
      </c>
      <c r="C8021" s="39">
        <f t="array" ref="C8021">NPV(B8021,FCFF!$C$9:$I$9)+FCFF!$B$9+FCFF!$I$9*(1+Inputs!$B$6)/(B8021-Inputs!$B$6)/(1+B8021)^7</f>
        <v>-1479.784109</v>
      </c>
    </row>
    <row r="8022" ht="14.25" customHeight="1">
      <c r="A8022" s="7">
        <v>8009.0</v>
      </c>
      <c r="B8022" s="14">
        <f t="shared" si="1"/>
        <v>0.1239637437</v>
      </c>
      <c r="C8022" s="39">
        <f t="array" ref="C8022">NPV(B8022,FCFF!$C$9:$I$9)+FCFF!$B$9+FCFF!$I$9*(1+Inputs!$B$6)/(B8022-Inputs!$B$6)/(1+B8022)^7</f>
        <v>-1885.575041</v>
      </c>
    </row>
    <row r="8023" ht="14.25" customHeight="1">
      <c r="A8023" s="7">
        <v>8010.0</v>
      </c>
      <c r="B8023" s="14">
        <f t="shared" si="1"/>
        <v>0.130264401</v>
      </c>
      <c r="C8023" s="39">
        <f t="array" ref="C8023">NPV(B8023,FCFF!$C$9:$I$9)+FCFF!$B$9+FCFF!$I$9*(1+Inputs!$B$6)/(B8023-Inputs!$B$6)/(1+B8023)^7</f>
        <v>-1975.959971</v>
      </c>
    </row>
    <row r="8024" ht="14.25" customHeight="1">
      <c r="A8024" s="7">
        <v>8011.0</v>
      </c>
      <c r="B8024" s="14">
        <f t="shared" si="1"/>
        <v>0.1090700868</v>
      </c>
      <c r="C8024" s="39">
        <f t="array" ref="C8024">NPV(B8024,FCFF!$C$9:$I$9)+FCFF!$B$9+FCFF!$I$9*(1+Inputs!$B$6)/(B8024-Inputs!$B$6)/(1+B8024)^7</f>
        <v>-1610.656037</v>
      </c>
    </row>
    <row r="8025" ht="14.25" customHeight="1">
      <c r="A8025" s="7">
        <v>8012.0</v>
      </c>
      <c r="B8025" s="14">
        <f t="shared" si="1"/>
        <v>0.1181542857</v>
      </c>
      <c r="C8025" s="39">
        <f t="array" ref="C8025">NPV(B8025,FCFF!$C$9:$I$9)+FCFF!$B$9+FCFF!$I$9*(1+Inputs!$B$6)/(B8025-Inputs!$B$6)/(1+B8025)^7</f>
        <v>-1789.938882</v>
      </c>
    </row>
    <row r="8026" ht="14.25" customHeight="1">
      <c r="A8026" s="7">
        <v>8013.0</v>
      </c>
      <c r="B8026" s="14">
        <f t="shared" si="1"/>
        <v>0.1190063834</v>
      </c>
      <c r="C8026" s="39">
        <f t="array" ref="C8026">NPV(B8026,FCFF!$C$9:$I$9)+FCFF!$B$9+FCFF!$I$9*(1+Inputs!$B$6)/(B8026-Inputs!$B$6)/(1+B8026)^7</f>
        <v>-1804.794875</v>
      </c>
    </row>
    <row r="8027" ht="14.25" customHeight="1">
      <c r="A8027" s="7">
        <v>8014.0</v>
      </c>
      <c r="B8027" s="14">
        <f t="shared" si="1"/>
        <v>0.1146555655</v>
      </c>
      <c r="C8027" s="39">
        <f t="array" ref="C8027">NPV(B8027,FCFF!$C$9:$I$9)+FCFF!$B$9+FCFF!$I$9*(1+Inputs!$B$6)/(B8027-Inputs!$B$6)/(1+B8027)^7</f>
        <v>-1725.638075</v>
      </c>
    </row>
    <row r="8028" ht="14.25" customHeight="1">
      <c r="A8028" s="7">
        <v>8015.0</v>
      </c>
      <c r="B8028" s="14">
        <f t="shared" si="1"/>
        <v>0.1049273245</v>
      </c>
      <c r="C8028" s="39">
        <f t="array" ref="C8028">NPV(B8028,FCFF!$C$9:$I$9)+FCFF!$B$9+FCFF!$I$9*(1+Inputs!$B$6)/(B8028-Inputs!$B$6)/(1+B8028)^7</f>
        <v>-1513.933322</v>
      </c>
    </row>
    <row r="8029" ht="14.25" customHeight="1">
      <c r="A8029" s="7">
        <v>8016.0</v>
      </c>
      <c r="B8029" s="14">
        <f t="shared" si="1"/>
        <v>0.1223830749</v>
      </c>
      <c r="C8029" s="39">
        <f t="array" ref="C8029">NPV(B8029,FCFF!$C$9:$I$9)+FCFF!$B$9+FCFF!$I$9*(1+Inputs!$B$6)/(B8029-Inputs!$B$6)/(1+B8029)^7</f>
        <v>-1860.818753</v>
      </c>
    </row>
    <row r="8030" ht="14.25" customHeight="1">
      <c r="A8030" s="7">
        <v>8017.0</v>
      </c>
      <c r="B8030" s="14">
        <f t="shared" si="1"/>
        <v>0.1120101186</v>
      </c>
      <c r="C8030" s="39">
        <f t="array" ref="C8030">NPV(B8030,FCFF!$C$9:$I$9)+FCFF!$B$9+FCFF!$I$9*(1+Inputs!$B$6)/(B8030-Inputs!$B$6)/(1+B8030)^7</f>
        <v>-1673.204804</v>
      </c>
    </row>
    <row r="8031" ht="14.25" customHeight="1">
      <c r="A8031" s="7">
        <v>8018.0</v>
      </c>
      <c r="B8031" s="14">
        <f t="shared" si="1"/>
        <v>0.1180662874</v>
      </c>
      <c r="C8031" s="39">
        <f t="array" ref="C8031">NPV(B8031,FCFF!$C$9:$I$9)+FCFF!$B$9+FCFF!$I$9*(1+Inputs!$B$6)/(B8031-Inputs!$B$6)/(1+B8031)^7</f>
        <v>-1788.387391</v>
      </c>
    </row>
    <row r="8032" ht="14.25" customHeight="1">
      <c r="A8032" s="7">
        <v>8019.0</v>
      </c>
      <c r="B8032" s="14">
        <f t="shared" si="1"/>
        <v>0.118600417</v>
      </c>
      <c r="C8032" s="39">
        <f t="array" ref="C8032">NPV(B8032,FCFF!$C$9:$I$9)+FCFF!$B$9+FCFF!$I$9*(1+Inputs!$B$6)/(B8032-Inputs!$B$6)/(1+B8032)^7</f>
        <v>-1797.754611</v>
      </c>
    </row>
    <row r="8033" ht="14.25" customHeight="1">
      <c r="A8033" s="7">
        <v>8020.0</v>
      </c>
      <c r="B8033" s="14">
        <f t="shared" si="1"/>
        <v>0.1132234326</v>
      </c>
      <c r="C8033" s="39">
        <f t="array" ref="C8033">NPV(B8033,FCFF!$C$9:$I$9)+FCFF!$B$9+FCFF!$I$9*(1+Inputs!$B$6)/(B8033-Inputs!$B$6)/(1+B8033)^7</f>
        <v>-1697.683842</v>
      </c>
    </row>
    <row r="8034" ht="14.25" customHeight="1">
      <c r="A8034" s="7">
        <v>8021.0</v>
      </c>
      <c r="B8034" s="14">
        <f t="shared" si="1"/>
        <v>0.09639909871</v>
      </c>
      <c r="C8034" s="39">
        <f t="array" ref="C8034">NPV(B8034,FCFF!$C$9:$I$9)+FCFF!$B$9+FCFF!$I$9*(1+Inputs!$B$6)/(B8034-Inputs!$B$6)/(1+B8034)^7</f>
        <v>-1276.191382</v>
      </c>
    </row>
    <row r="8035" ht="14.25" customHeight="1">
      <c r="A8035" s="7">
        <v>8022.0</v>
      </c>
      <c r="B8035" s="14">
        <f t="shared" si="1"/>
        <v>0.09749608633</v>
      </c>
      <c r="C8035" s="39">
        <f t="array" ref="C8035">NPV(B8035,FCFF!$C$9:$I$9)+FCFF!$B$9+FCFF!$I$9*(1+Inputs!$B$6)/(B8035-Inputs!$B$6)/(1+B8035)^7</f>
        <v>-1310.157059</v>
      </c>
    </row>
    <row r="8036" ht="14.25" customHeight="1">
      <c r="A8036" s="7">
        <v>8023.0</v>
      </c>
      <c r="B8036" s="14">
        <f t="shared" si="1"/>
        <v>0.1195722815</v>
      </c>
      <c r="C8036" s="39">
        <f t="array" ref="C8036">NPV(B8036,FCFF!$C$9:$I$9)+FCFF!$B$9+FCFF!$I$9*(1+Inputs!$B$6)/(B8036-Inputs!$B$6)/(1+B8036)^7</f>
        <v>-1814.49623</v>
      </c>
    </row>
    <row r="8037" ht="14.25" customHeight="1">
      <c r="A8037" s="7">
        <v>8024.0</v>
      </c>
      <c r="B8037" s="14">
        <f t="shared" si="1"/>
        <v>0.1111246992</v>
      </c>
      <c r="C8037" s="39">
        <f t="array" ref="C8037">NPV(B8037,FCFF!$C$9:$I$9)+FCFF!$B$9+FCFF!$I$9*(1+Inputs!$B$6)/(B8037-Inputs!$B$6)/(1+B8037)^7</f>
        <v>-1654.86113</v>
      </c>
    </row>
    <row r="8038" ht="14.25" customHeight="1">
      <c r="A8038" s="7">
        <v>8025.0</v>
      </c>
      <c r="B8038" s="14">
        <f t="shared" si="1"/>
        <v>0.09319819415</v>
      </c>
      <c r="C8038" s="39">
        <f t="array" ref="C8038">NPV(B8038,FCFF!$C$9:$I$9)+FCFF!$B$9+FCFF!$I$9*(1+Inputs!$B$6)/(B8038-Inputs!$B$6)/(1+B8038)^7</f>
        <v>-1170.377967</v>
      </c>
    </row>
    <row r="8039" ht="14.25" customHeight="1">
      <c r="A8039" s="7">
        <v>8026.0</v>
      </c>
      <c r="B8039" s="14">
        <f t="shared" si="1"/>
        <v>0.09890808355</v>
      </c>
      <c r="C8039" s="39">
        <f t="array" ref="C8039">NPV(B8039,FCFF!$C$9:$I$9)+FCFF!$B$9+FCFF!$I$9*(1+Inputs!$B$6)/(B8039-Inputs!$B$6)/(1+B8039)^7</f>
        <v>-1352.284255</v>
      </c>
    </row>
    <row r="8040" ht="14.25" customHeight="1">
      <c r="A8040" s="7">
        <v>8027.0</v>
      </c>
      <c r="B8040" s="14">
        <f t="shared" si="1"/>
        <v>0.09523850024</v>
      </c>
      <c r="C8040" s="39">
        <f t="array" ref="C8040">NPV(B8040,FCFF!$C$9:$I$9)+FCFF!$B$9+FCFF!$I$9*(1+Inputs!$B$6)/(B8040-Inputs!$B$6)/(1+B8040)^7</f>
        <v>-1239.016583</v>
      </c>
    </row>
    <row r="8041" ht="14.25" customHeight="1">
      <c r="A8041" s="7">
        <v>8028.0</v>
      </c>
      <c r="B8041" s="14">
        <f t="shared" si="1"/>
        <v>0.1155834541</v>
      </c>
      <c r="C8041" s="39">
        <f t="array" ref="C8041">NPV(B8041,FCFF!$C$9:$I$9)+FCFF!$B$9+FCFF!$I$9*(1+Inputs!$B$6)/(B8041-Inputs!$B$6)/(1+B8041)^7</f>
        <v>-1743.228501</v>
      </c>
    </row>
    <row r="8042" ht="14.25" customHeight="1">
      <c r="A8042" s="7">
        <v>8029.0</v>
      </c>
      <c r="B8042" s="14">
        <f t="shared" si="1"/>
        <v>0.1129961195</v>
      </c>
      <c r="C8042" s="39">
        <f t="array" ref="C8042">NPV(B8042,FCFF!$C$9:$I$9)+FCFF!$B$9+FCFF!$I$9*(1+Inputs!$B$6)/(B8042-Inputs!$B$6)/(1+B8042)^7</f>
        <v>-1693.154367</v>
      </c>
    </row>
    <row r="8043" ht="14.25" customHeight="1">
      <c r="A8043" s="7">
        <v>8030.0</v>
      </c>
      <c r="B8043" s="14">
        <f t="shared" si="1"/>
        <v>0.1264583677</v>
      </c>
      <c r="C8043" s="39">
        <f t="array" ref="C8043">NPV(B8043,FCFF!$C$9:$I$9)+FCFF!$B$9+FCFF!$I$9*(1+Inputs!$B$6)/(B8043-Inputs!$B$6)/(1+B8043)^7</f>
        <v>-1922.882246</v>
      </c>
    </row>
    <row r="8044" ht="14.25" customHeight="1">
      <c r="A8044" s="7">
        <v>8031.0</v>
      </c>
      <c r="B8044" s="14">
        <f t="shared" si="1"/>
        <v>0.124679317</v>
      </c>
      <c r="C8044" s="39">
        <f t="array" ref="C8044">NPV(B8044,FCFF!$C$9:$I$9)+FCFF!$B$9+FCFF!$I$9*(1+Inputs!$B$6)/(B8044-Inputs!$B$6)/(1+B8044)^7</f>
        <v>-1896.492089</v>
      </c>
    </row>
    <row r="8045" ht="14.25" customHeight="1">
      <c r="A8045" s="7">
        <v>8032.0</v>
      </c>
      <c r="B8045" s="14">
        <f t="shared" si="1"/>
        <v>0.1050173598</v>
      </c>
      <c r="C8045" s="39">
        <f t="array" ref="C8045">NPV(B8045,FCFF!$C$9:$I$9)+FCFF!$B$9+FCFF!$I$9*(1+Inputs!$B$6)/(B8045-Inputs!$B$6)/(1+B8045)^7</f>
        <v>-1516.151643</v>
      </c>
    </row>
    <row r="8046" ht="14.25" customHeight="1">
      <c r="A8046" s="7">
        <v>8033.0</v>
      </c>
      <c r="B8046" s="14">
        <f t="shared" si="1"/>
        <v>0.1172407196</v>
      </c>
      <c r="C8046" s="39">
        <f t="array" ref="C8046">NPV(B8046,FCFF!$C$9:$I$9)+FCFF!$B$9+FCFF!$I$9*(1+Inputs!$B$6)/(B8046-Inputs!$B$6)/(1+B8046)^7</f>
        <v>-1773.671289</v>
      </c>
    </row>
    <row r="8047" ht="14.25" customHeight="1">
      <c r="A8047" s="7">
        <v>8034.0</v>
      </c>
      <c r="B8047" s="14">
        <f t="shared" si="1"/>
        <v>0.1119342977</v>
      </c>
      <c r="C8047" s="39">
        <f t="array" ref="C8047">NPV(B8047,FCFF!$C$9:$I$9)+FCFF!$B$9+FCFF!$I$9*(1+Inputs!$B$6)/(B8047-Inputs!$B$6)/(1+B8047)^7</f>
        <v>-1671.65008</v>
      </c>
    </row>
    <row r="8048" ht="14.25" customHeight="1">
      <c r="A8048" s="7">
        <v>8035.0</v>
      </c>
      <c r="B8048" s="14">
        <f t="shared" si="1"/>
        <v>0.109232668</v>
      </c>
      <c r="C8048" s="39">
        <f t="array" ref="C8048">NPV(B8048,FCFF!$C$9:$I$9)+FCFF!$B$9+FCFF!$I$9*(1+Inputs!$B$6)/(B8048-Inputs!$B$6)/(1+B8048)^7</f>
        <v>-1614.240219</v>
      </c>
    </row>
    <row r="8049" ht="14.25" customHeight="1">
      <c r="A8049" s="7">
        <v>8036.0</v>
      </c>
      <c r="B8049" s="14">
        <f t="shared" si="1"/>
        <v>0.131392006</v>
      </c>
      <c r="C8049" s="39">
        <f t="array" ref="C8049">NPV(B8049,FCFF!$C$9:$I$9)+FCFF!$B$9+FCFF!$I$9*(1+Inputs!$B$6)/(B8049-Inputs!$B$6)/(1+B8049)^7</f>
        <v>-1990.857553</v>
      </c>
    </row>
    <row r="8050" ht="14.25" customHeight="1">
      <c r="A8050" s="7">
        <v>8037.0</v>
      </c>
      <c r="B8050" s="14">
        <f t="shared" si="1"/>
        <v>0.09627486654</v>
      </c>
      <c r="C8050" s="39">
        <f t="array" ref="C8050">NPV(B8050,FCFF!$C$9:$I$9)+FCFF!$B$9+FCFF!$I$9*(1+Inputs!$B$6)/(B8050-Inputs!$B$6)/(1+B8050)^7</f>
        <v>-1272.274099</v>
      </c>
    </row>
    <row r="8051" ht="14.25" customHeight="1">
      <c r="A8051" s="7">
        <v>8038.0</v>
      </c>
      <c r="B8051" s="14">
        <f t="shared" si="1"/>
        <v>0.1179136994</v>
      </c>
      <c r="C8051" s="39">
        <f t="array" ref="C8051">NPV(B8051,FCFF!$C$9:$I$9)+FCFF!$B$9+FCFF!$I$9*(1+Inputs!$B$6)/(B8051-Inputs!$B$6)/(1+B8051)^7</f>
        <v>-1785.689364</v>
      </c>
    </row>
    <row r="8052" ht="14.25" customHeight="1">
      <c r="A8052" s="7">
        <v>8039.0</v>
      </c>
      <c r="B8052" s="14">
        <f t="shared" si="1"/>
        <v>0.1292493492</v>
      </c>
      <c r="C8052" s="39">
        <f t="array" ref="C8052">NPV(B8052,FCFF!$C$9:$I$9)+FCFF!$B$9+FCFF!$I$9*(1+Inputs!$B$6)/(B8052-Inputs!$B$6)/(1+B8052)^7</f>
        <v>-1962.234712</v>
      </c>
    </row>
    <row r="8053" ht="14.25" customHeight="1">
      <c r="A8053" s="7">
        <v>8040.0</v>
      </c>
      <c r="B8053" s="14">
        <f t="shared" si="1"/>
        <v>0.1102416176</v>
      </c>
      <c r="C8053" s="39">
        <f t="array" ref="C8053">NPV(B8053,FCFF!$C$9:$I$9)+FCFF!$B$9+FCFF!$I$9*(1+Inputs!$B$6)/(B8053-Inputs!$B$6)/(1+B8053)^7</f>
        <v>-1636.148138</v>
      </c>
    </row>
    <row r="8054" ht="14.25" customHeight="1">
      <c r="A8054" s="7">
        <v>8041.0</v>
      </c>
      <c r="B8054" s="14">
        <f t="shared" si="1"/>
        <v>0.1320292203</v>
      </c>
      <c r="C8054" s="39">
        <f t="array" ref="C8054">NPV(B8054,FCFF!$C$9:$I$9)+FCFF!$B$9+FCFF!$I$9*(1+Inputs!$B$6)/(B8054-Inputs!$B$6)/(1+B8054)^7</f>
        <v>-1999.117847</v>
      </c>
    </row>
    <row r="8055" ht="14.25" customHeight="1">
      <c r="A8055" s="7">
        <v>8042.0</v>
      </c>
      <c r="B8055" s="14">
        <f t="shared" si="1"/>
        <v>0.1314772275</v>
      </c>
      <c r="C8055" s="39">
        <f t="array" ref="C8055">NPV(B8055,FCFF!$C$9:$I$9)+FCFF!$B$9+FCFF!$I$9*(1+Inputs!$B$6)/(B8055-Inputs!$B$6)/(1+B8055)^7</f>
        <v>-1991.968839</v>
      </c>
    </row>
    <row r="8056" ht="14.25" customHeight="1">
      <c r="A8056" s="7">
        <v>8043.0</v>
      </c>
      <c r="B8056" s="14">
        <f t="shared" si="1"/>
        <v>0.1050442385</v>
      </c>
      <c r="C8056" s="39">
        <f t="array" ref="C8056">NPV(B8056,FCFF!$C$9:$I$9)+FCFF!$B$9+FCFF!$I$9*(1+Inputs!$B$6)/(B8056-Inputs!$B$6)/(1+B8056)^7</f>
        <v>-1516.812838</v>
      </c>
    </row>
    <row r="8057" ht="14.25" customHeight="1">
      <c r="A8057" s="7">
        <v>8044.0</v>
      </c>
      <c r="B8057" s="14">
        <f t="shared" si="1"/>
        <v>0.09316981555</v>
      </c>
      <c r="C8057" s="39">
        <f t="array" ref="C8057">NPV(B8057,FCFF!$C$9:$I$9)+FCFF!$B$9+FCFF!$I$9*(1+Inputs!$B$6)/(B8057-Inputs!$B$6)/(1+B8057)^7</f>
        <v>-1169.392322</v>
      </c>
    </row>
    <row r="8058" ht="14.25" customHeight="1">
      <c r="A8058" s="7">
        <v>8045.0</v>
      </c>
      <c r="B8058" s="14">
        <f t="shared" si="1"/>
        <v>0.110045931</v>
      </c>
      <c r="C8058" s="39">
        <f t="array" ref="C8058">NPV(B8058,FCFF!$C$9:$I$9)+FCFF!$B$9+FCFF!$I$9*(1+Inputs!$B$6)/(B8058-Inputs!$B$6)/(1+B8058)^7</f>
        <v>-1631.943639</v>
      </c>
    </row>
    <row r="8059" ht="14.25" customHeight="1">
      <c r="A8059" s="7">
        <v>8046.0</v>
      </c>
      <c r="B8059" s="14">
        <f t="shared" si="1"/>
        <v>0.1248764892</v>
      </c>
      <c r="C8059" s="39">
        <f t="array" ref="C8059">NPV(B8059,FCFF!$C$9:$I$9)+FCFF!$B$9+FCFF!$I$9*(1+Inputs!$B$6)/(B8059-Inputs!$B$6)/(1+B8059)^7</f>
        <v>-1899.469246</v>
      </c>
    </row>
    <row r="8060" ht="14.25" customHeight="1">
      <c r="A8060" s="7">
        <v>8047.0</v>
      </c>
      <c r="B8060" s="14">
        <f t="shared" si="1"/>
        <v>0.09494029113</v>
      </c>
      <c r="C8060" s="39">
        <f t="array" ref="C8060">NPV(B8060,FCFF!$C$9:$I$9)+FCFF!$B$9+FCFF!$I$9*(1+Inputs!$B$6)/(B8060-Inputs!$B$6)/(1+B8060)^7</f>
        <v>-1229.251335</v>
      </c>
    </row>
    <row r="8061" ht="14.25" customHeight="1">
      <c r="A8061" s="7">
        <v>8048.0</v>
      </c>
      <c r="B8061" s="14">
        <f t="shared" si="1"/>
        <v>0.1126119192</v>
      </c>
      <c r="C8061" s="39">
        <f t="array" ref="C8061">NPV(B8061,FCFF!$C$9:$I$9)+FCFF!$B$9+FCFF!$I$9*(1+Inputs!$B$6)/(B8061-Inputs!$B$6)/(1+B8061)^7</f>
        <v>-1685.439769</v>
      </c>
    </row>
    <row r="8062" ht="14.25" customHeight="1">
      <c r="A8062" s="7">
        <v>8049.0</v>
      </c>
      <c r="B8062" s="14">
        <f t="shared" si="1"/>
        <v>0.1085151684</v>
      </c>
      <c r="C8062" s="39">
        <f t="array" ref="C8062">NPV(B8062,FCFF!$C$9:$I$9)+FCFF!$B$9+FCFF!$I$9*(1+Inputs!$B$6)/(B8062-Inputs!$B$6)/(1+B8062)^7</f>
        <v>-1598.307437</v>
      </c>
    </row>
    <row r="8063" ht="14.25" customHeight="1">
      <c r="A8063" s="7">
        <v>8050.0</v>
      </c>
      <c r="B8063" s="14">
        <f t="shared" si="1"/>
        <v>0.1153808225</v>
      </c>
      <c r="C8063" s="39">
        <f t="array" ref="C8063">NPV(B8063,FCFF!$C$9:$I$9)+FCFF!$B$9+FCFF!$I$9*(1+Inputs!$B$6)/(B8063-Inputs!$B$6)/(1+B8063)^7</f>
        <v>-1739.421253</v>
      </c>
    </row>
    <row r="8064" ht="14.25" customHeight="1">
      <c r="A8064" s="7">
        <v>8051.0</v>
      </c>
      <c r="B8064" s="14">
        <f t="shared" si="1"/>
        <v>0.1244348683</v>
      </c>
      <c r="C8064" s="39">
        <f t="array" ref="C8064">NPV(B8064,FCFF!$C$9:$I$9)+FCFF!$B$9+FCFF!$I$9*(1+Inputs!$B$6)/(B8064-Inputs!$B$6)/(1+B8064)^7</f>
        <v>-1892.782602</v>
      </c>
    </row>
    <row r="8065" ht="14.25" customHeight="1">
      <c r="A8065" s="7">
        <v>8052.0</v>
      </c>
      <c r="B8065" s="14">
        <f t="shared" si="1"/>
        <v>0.1075855989</v>
      </c>
      <c r="C8065" s="39">
        <f t="array" ref="C8065">NPV(B8065,FCFF!$C$9:$I$9)+FCFF!$B$9+FCFF!$I$9*(1+Inputs!$B$6)/(B8065-Inputs!$B$6)/(1+B8065)^7</f>
        <v>-1577.21453</v>
      </c>
    </row>
    <row r="8066" ht="14.25" customHeight="1">
      <c r="A8066" s="7">
        <v>8053.0</v>
      </c>
      <c r="B8066" s="14">
        <f t="shared" si="1"/>
        <v>0.1012641729</v>
      </c>
      <c r="C8066" s="39">
        <f t="array" ref="C8066">NPV(B8066,FCFF!$C$9:$I$9)+FCFF!$B$9+FCFF!$I$9*(1+Inputs!$B$6)/(B8066-Inputs!$B$6)/(1+B8066)^7</f>
        <v>-1418.84593</v>
      </c>
    </row>
    <row r="8067" ht="14.25" customHeight="1">
      <c r="A8067" s="7">
        <v>8054.0</v>
      </c>
      <c r="B8067" s="14">
        <f t="shared" si="1"/>
        <v>0.108595945</v>
      </c>
      <c r="C8067" s="39">
        <f t="array" ref="C8067">NPV(B8067,FCFF!$C$9:$I$9)+FCFF!$B$9+FCFF!$I$9*(1+Inputs!$B$6)/(B8067-Inputs!$B$6)/(1+B8067)^7</f>
        <v>-1600.11612</v>
      </c>
    </row>
    <row r="8068" ht="14.25" customHeight="1">
      <c r="A8068" s="7">
        <v>8055.0</v>
      </c>
      <c r="B8068" s="14">
        <f t="shared" si="1"/>
        <v>0.1079007315</v>
      </c>
      <c r="C8068" s="39">
        <f t="array" ref="C8068">NPV(B8068,FCFF!$C$9:$I$9)+FCFF!$B$9+FCFF!$I$9*(1+Inputs!$B$6)/(B8068-Inputs!$B$6)/(1+B8068)^7</f>
        <v>-1584.423172</v>
      </c>
    </row>
    <row r="8069" ht="14.25" customHeight="1">
      <c r="A8069" s="7">
        <v>8056.0</v>
      </c>
      <c r="B8069" s="14">
        <f t="shared" si="1"/>
        <v>0.09435199825</v>
      </c>
      <c r="C8069" s="39">
        <f t="array" ref="C8069">NPV(B8069,FCFF!$C$9:$I$9)+FCFF!$B$9+FCFF!$I$9*(1+Inputs!$B$6)/(B8069-Inputs!$B$6)/(1+B8069)^7</f>
        <v>-1209.723472</v>
      </c>
    </row>
    <row r="8070" ht="14.25" customHeight="1">
      <c r="A8070" s="7">
        <v>8057.0</v>
      </c>
      <c r="B8070" s="14">
        <f t="shared" si="1"/>
        <v>0.1071463347</v>
      </c>
      <c r="C8070" s="39">
        <f t="array" ref="C8070">NPV(B8070,FCFF!$C$9:$I$9)+FCFF!$B$9+FCFF!$I$9*(1+Inputs!$B$6)/(B8070-Inputs!$B$6)/(1+B8070)^7</f>
        <v>-1567.065527</v>
      </c>
    </row>
    <row r="8071" ht="14.25" customHeight="1">
      <c r="A8071" s="7">
        <v>8058.0</v>
      </c>
      <c r="B8071" s="14">
        <f t="shared" si="1"/>
        <v>0.09786799962</v>
      </c>
      <c r="C8071" s="39">
        <f t="array" ref="C8071">NPV(B8071,FCFF!$C$9:$I$9)+FCFF!$B$9+FCFF!$I$9*(1+Inputs!$B$6)/(B8071-Inputs!$B$6)/(1+B8071)^7</f>
        <v>-1321.423453</v>
      </c>
    </row>
    <row r="8072" ht="14.25" customHeight="1">
      <c r="A8072" s="7">
        <v>8059.0</v>
      </c>
      <c r="B8072" s="14">
        <f t="shared" si="1"/>
        <v>0.1178668868</v>
      </c>
      <c r="C8072" s="39">
        <f t="array" ref="C8072">NPV(B8072,FCFF!$C$9:$I$9)+FCFF!$B$9+FCFF!$I$9*(1+Inputs!$B$6)/(B8072-Inputs!$B$6)/(1+B8072)^7</f>
        <v>-1784.859654</v>
      </c>
    </row>
    <row r="8073" ht="14.25" customHeight="1">
      <c r="A8073" s="7">
        <v>8060.0</v>
      </c>
      <c r="B8073" s="14">
        <f t="shared" si="1"/>
        <v>0.1173547537</v>
      </c>
      <c r="C8073" s="39">
        <f t="array" ref="C8073">NPV(B8073,FCFF!$C$9:$I$9)+FCFF!$B$9+FCFF!$I$9*(1+Inputs!$B$6)/(B8073-Inputs!$B$6)/(1+B8073)^7</f>
        <v>-1775.721424</v>
      </c>
    </row>
    <row r="8074" ht="14.25" customHeight="1">
      <c r="A8074" s="7">
        <v>8061.0</v>
      </c>
      <c r="B8074" s="14">
        <f t="shared" si="1"/>
        <v>0.1000356326</v>
      </c>
      <c r="C8074" s="39">
        <f t="array" ref="C8074">NPV(B8074,FCFF!$C$9:$I$9)+FCFF!$B$9+FCFF!$I$9*(1+Inputs!$B$6)/(B8074-Inputs!$B$6)/(1+B8074)^7</f>
        <v>-1384.701051</v>
      </c>
    </row>
    <row r="8075" ht="14.25" customHeight="1">
      <c r="A8075" s="7">
        <v>8062.0</v>
      </c>
      <c r="B8075" s="14">
        <f t="shared" si="1"/>
        <v>0.1169568364</v>
      </c>
      <c r="C8075" s="39">
        <f t="array" ref="C8075">NPV(B8075,FCFF!$C$9:$I$9)+FCFF!$B$9+FCFF!$I$9*(1+Inputs!$B$6)/(B8075-Inputs!$B$6)/(1+B8075)^7</f>
        <v>-1768.543007</v>
      </c>
    </row>
    <row r="8076" ht="14.25" customHeight="1">
      <c r="A8076" s="7">
        <v>8063.0</v>
      </c>
      <c r="B8076" s="14">
        <f t="shared" si="1"/>
        <v>0.09680724104</v>
      </c>
      <c r="C8076" s="39">
        <f t="array" ref="C8076">NPV(B8076,FCFF!$C$9:$I$9)+FCFF!$B$9+FCFF!$I$9*(1+Inputs!$B$6)/(B8076-Inputs!$B$6)/(1+B8076)^7</f>
        <v>-1288.958637</v>
      </c>
    </row>
    <row r="8077" ht="14.25" customHeight="1">
      <c r="A8077" s="7">
        <v>8064.0</v>
      </c>
      <c r="B8077" s="14">
        <f t="shared" si="1"/>
        <v>0.1234996656</v>
      </c>
      <c r="C8077" s="39">
        <f t="array" ref="C8077">NPV(B8077,FCFF!$C$9:$I$9)+FCFF!$B$9+FCFF!$I$9*(1+Inputs!$B$6)/(B8077-Inputs!$B$6)/(1+B8077)^7</f>
        <v>-1878.399329</v>
      </c>
    </row>
    <row r="8078" ht="14.25" customHeight="1">
      <c r="A8078" s="7">
        <v>8065.0</v>
      </c>
      <c r="B8078" s="14">
        <f t="shared" si="1"/>
        <v>0.101639557</v>
      </c>
      <c r="C8078" s="39">
        <f t="array" ref="C8078">NPV(B8078,FCFF!$C$9:$I$9)+FCFF!$B$9+FCFF!$I$9*(1+Inputs!$B$6)/(B8078-Inputs!$B$6)/(1+B8078)^7</f>
        <v>-1429.043312</v>
      </c>
    </row>
    <row r="8079" ht="14.25" customHeight="1">
      <c r="A8079" s="7">
        <v>8066.0</v>
      </c>
      <c r="B8079" s="14">
        <f t="shared" si="1"/>
        <v>0.1039826697</v>
      </c>
      <c r="C8079" s="39">
        <f t="array" ref="C8079">NPV(B8079,FCFF!$C$9:$I$9)+FCFF!$B$9+FCFF!$I$9*(1+Inputs!$B$6)/(B8079-Inputs!$B$6)/(1+B8079)^7</f>
        <v>-1490.326938</v>
      </c>
    </row>
    <row r="8080" ht="14.25" customHeight="1">
      <c r="A8080" s="7">
        <v>8067.0</v>
      </c>
      <c r="B8080" s="14">
        <f t="shared" si="1"/>
        <v>0.1324978751</v>
      </c>
      <c r="C8080" s="39">
        <f t="array" ref="C8080">NPV(B8080,FCFF!$C$9:$I$9)+FCFF!$B$9+FCFF!$I$9*(1+Inputs!$B$6)/(B8080-Inputs!$B$6)/(1+B8080)^7</f>
        <v>-2005.121638</v>
      </c>
    </row>
    <row r="8081" ht="14.25" customHeight="1">
      <c r="A8081" s="7">
        <v>8068.0</v>
      </c>
      <c r="B8081" s="14">
        <f t="shared" si="1"/>
        <v>0.106783064</v>
      </c>
      <c r="C8081" s="39">
        <f t="array" ref="C8081">NPV(B8081,FCFF!$C$9:$I$9)+FCFF!$B$9+FCFF!$I$9*(1+Inputs!$B$6)/(B8081-Inputs!$B$6)/(1+B8081)^7</f>
        <v>-1558.582363</v>
      </c>
    </row>
    <row r="8082" ht="14.25" customHeight="1">
      <c r="A8082" s="7">
        <v>8069.0</v>
      </c>
      <c r="B8082" s="14">
        <f t="shared" si="1"/>
        <v>0.113601478</v>
      </c>
      <c r="C8082" s="39">
        <f t="array" ref="C8082">NPV(B8082,FCFF!$C$9:$I$9)+FCFF!$B$9+FCFF!$I$9*(1+Inputs!$B$6)/(B8082-Inputs!$B$6)/(1+B8082)^7</f>
        <v>-1705.160045</v>
      </c>
    </row>
    <row r="8083" ht="14.25" customHeight="1">
      <c r="A8083" s="7">
        <v>8070.0</v>
      </c>
      <c r="B8083" s="14">
        <f t="shared" si="1"/>
        <v>0.1117205954</v>
      </c>
      <c r="C8083" s="39">
        <f t="array" ref="C8083">NPV(B8083,FCFF!$C$9:$I$9)+FCFF!$B$9+FCFF!$I$9*(1+Inputs!$B$6)/(B8083-Inputs!$B$6)/(1+B8083)^7</f>
        <v>-1667.251958</v>
      </c>
    </row>
    <row r="8084" ht="14.25" customHeight="1">
      <c r="A8084" s="7">
        <v>8071.0</v>
      </c>
      <c r="B8084" s="14">
        <f t="shared" si="1"/>
        <v>0.1103865309</v>
      </c>
      <c r="C8084" s="39">
        <f t="array" ref="C8084">NPV(B8084,FCFF!$C$9:$I$9)+FCFF!$B$9+FCFF!$I$9*(1+Inputs!$B$6)/(B8084-Inputs!$B$6)/(1+B8084)^7</f>
        <v>-1639.248099</v>
      </c>
    </row>
    <row r="8085" ht="14.25" customHeight="1">
      <c r="A8085" s="7">
        <v>8072.0</v>
      </c>
      <c r="B8085" s="14">
        <f t="shared" si="1"/>
        <v>0.1104722489</v>
      </c>
      <c r="C8085" s="39">
        <f t="array" ref="C8085">NPV(B8085,FCFF!$C$9:$I$9)+FCFF!$B$9+FCFF!$I$9*(1+Inputs!$B$6)/(B8085-Inputs!$B$6)/(1+B8085)^7</f>
        <v>-1641.076332</v>
      </c>
    </row>
    <row r="8086" ht="14.25" customHeight="1">
      <c r="A8086" s="7">
        <v>8073.0</v>
      </c>
      <c r="B8086" s="14">
        <f t="shared" si="1"/>
        <v>0.1058711943</v>
      </c>
      <c r="C8086" s="39">
        <f t="array" ref="C8086">NPV(B8086,FCFF!$C$9:$I$9)+FCFF!$B$9+FCFF!$I$9*(1+Inputs!$B$6)/(B8086-Inputs!$B$6)/(1+B8086)^7</f>
        <v>-1536.921715</v>
      </c>
    </row>
    <row r="8087" ht="14.25" customHeight="1">
      <c r="A8087" s="7">
        <v>8074.0</v>
      </c>
      <c r="B8087" s="14">
        <f t="shared" si="1"/>
        <v>0.1126377173</v>
      </c>
      <c r="C8087" s="39">
        <f t="array" ref="C8087">NPV(B8087,FCFF!$C$9:$I$9)+FCFF!$B$9+FCFF!$I$9*(1+Inputs!$B$6)/(B8087-Inputs!$B$6)/(1+B8087)^7</f>
        <v>-1685.960121</v>
      </c>
    </row>
    <row r="8088" ht="14.25" customHeight="1">
      <c r="A8088" s="7">
        <v>8075.0</v>
      </c>
      <c r="B8088" s="14">
        <f t="shared" si="1"/>
        <v>0.1150507258</v>
      </c>
      <c r="C8088" s="39">
        <f t="array" ref="C8088">NPV(B8088,FCFF!$C$9:$I$9)+FCFF!$B$9+FCFF!$I$9*(1+Inputs!$B$6)/(B8088-Inputs!$B$6)/(1+B8088)^7</f>
        <v>-1733.178397</v>
      </c>
    </row>
    <row r="8089" ht="14.25" customHeight="1">
      <c r="A8089" s="7">
        <v>8076.0</v>
      </c>
      <c r="B8089" s="14">
        <f t="shared" si="1"/>
        <v>0.1104866819</v>
      </c>
      <c r="C8089" s="39">
        <f t="array" ref="C8089">NPV(B8089,FCFF!$C$9:$I$9)+FCFF!$B$9+FCFF!$I$9*(1+Inputs!$B$6)/(B8089-Inputs!$B$6)/(1+B8089)^7</f>
        <v>-1641.383768</v>
      </c>
    </row>
    <row r="8090" ht="14.25" customHeight="1">
      <c r="A8090" s="7">
        <v>8077.0</v>
      </c>
      <c r="B8090" s="14">
        <f t="shared" si="1"/>
        <v>0.125080268</v>
      </c>
      <c r="C8090" s="39">
        <f t="array" ref="C8090">NPV(B8090,FCFF!$C$9:$I$9)+FCFF!$B$9+FCFF!$I$9*(1+Inputs!$B$6)/(B8090-Inputs!$B$6)/(1+B8090)^7</f>
        <v>-1902.532254</v>
      </c>
    </row>
    <row r="8091" ht="14.25" customHeight="1">
      <c r="A8091" s="7">
        <v>8078.0</v>
      </c>
      <c r="B8091" s="14">
        <f t="shared" si="1"/>
        <v>0.09663799294</v>
      </c>
      <c r="C8091" s="39">
        <f t="array" ref="C8091">NPV(B8091,FCFF!$C$9:$I$9)+FCFF!$B$9+FCFF!$I$9*(1+Inputs!$B$6)/(B8091-Inputs!$B$6)/(1+B8091)^7</f>
        <v>-1283.683255</v>
      </c>
    </row>
    <row r="8092" ht="14.25" customHeight="1">
      <c r="A8092" s="7">
        <v>8079.0</v>
      </c>
      <c r="B8092" s="14">
        <f t="shared" si="1"/>
        <v>0.09770373134</v>
      </c>
      <c r="C8092" s="39">
        <f t="array" ref="C8092">NPV(B8092,FCFF!$C$9:$I$9)+FCFF!$B$9+FCFF!$I$9*(1+Inputs!$B$6)/(B8092-Inputs!$B$6)/(1+B8092)^7</f>
        <v>-1316.462531</v>
      </c>
    </row>
    <row r="8093" ht="14.25" customHeight="1">
      <c r="A8093" s="7">
        <v>8080.0</v>
      </c>
      <c r="B8093" s="14">
        <f t="shared" si="1"/>
        <v>0.1163239229</v>
      </c>
      <c r="C8093" s="39">
        <f t="array" ref="C8093">NPV(B8093,FCFF!$C$9:$I$9)+FCFF!$B$9+FCFF!$I$9*(1+Inputs!$B$6)/(B8093-Inputs!$B$6)/(1+B8093)^7</f>
        <v>-1756.981975</v>
      </c>
    </row>
    <row r="8094" ht="14.25" customHeight="1">
      <c r="A8094" s="7">
        <v>8081.0</v>
      </c>
      <c r="B8094" s="14">
        <f t="shared" si="1"/>
        <v>0.1196664989</v>
      </c>
      <c r="C8094" s="39">
        <f t="array" ref="C8094">NPV(B8094,FCFF!$C$9:$I$9)+FCFF!$B$9+FCFF!$I$9*(1+Inputs!$B$6)/(B8094-Inputs!$B$6)/(1+B8094)^7</f>
        <v>-1816.098857</v>
      </c>
    </row>
    <row r="8095" ht="14.25" customHeight="1">
      <c r="A8095" s="7">
        <v>8082.0</v>
      </c>
      <c r="B8095" s="14">
        <f t="shared" si="1"/>
        <v>0.1053001874</v>
      </c>
      <c r="C8095" s="39">
        <f t="array" ref="C8095">NPV(B8095,FCFF!$C$9:$I$9)+FCFF!$B$9+FCFF!$I$9*(1+Inputs!$B$6)/(B8095-Inputs!$B$6)/(1+B8095)^7</f>
        <v>-1523.084859</v>
      </c>
    </row>
    <row r="8096" ht="14.25" customHeight="1">
      <c r="A8096" s="7">
        <v>8083.0</v>
      </c>
      <c r="B8096" s="14">
        <f t="shared" si="1"/>
        <v>0.09784044782</v>
      </c>
      <c r="C8096" s="39">
        <f t="array" ref="C8096">NPV(B8096,FCFF!$C$9:$I$9)+FCFF!$B$9+FCFF!$I$9*(1+Inputs!$B$6)/(B8096-Inputs!$B$6)/(1+B8096)^7</f>
        <v>-1320.593064</v>
      </c>
    </row>
    <row r="8097" ht="14.25" customHeight="1">
      <c r="A8097" s="7">
        <v>8084.0</v>
      </c>
      <c r="B8097" s="14">
        <f t="shared" si="1"/>
        <v>0.09481962332</v>
      </c>
      <c r="C8097" s="39">
        <f t="array" ref="C8097">NPV(B8097,FCFF!$C$9:$I$9)+FCFF!$B$9+FCFF!$I$9*(1+Inputs!$B$6)/(B8097-Inputs!$B$6)/(1+B8097)^7</f>
        <v>-1225.27455</v>
      </c>
    </row>
    <row r="8098" ht="14.25" customHeight="1">
      <c r="A8098" s="7">
        <v>8085.0</v>
      </c>
      <c r="B8098" s="14">
        <f t="shared" si="1"/>
        <v>0.09774975698</v>
      </c>
      <c r="C8098" s="39">
        <f t="array" ref="C8098">NPV(B8098,FCFF!$C$9:$I$9)+FCFF!$B$9+FCFF!$I$9*(1+Inputs!$B$6)/(B8098-Inputs!$B$6)/(1+B8098)^7</f>
        <v>-1317.854938</v>
      </c>
    </row>
    <row r="8099" ht="14.25" customHeight="1">
      <c r="A8099" s="7">
        <v>8086.0</v>
      </c>
      <c r="B8099" s="14">
        <f t="shared" si="1"/>
        <v>0.1284646491</v>
      </c>
      <c r="C8099" s="39">
        <f t="array" ref="C8099">NPV(B8099,FCFF!$C$9:$I$9)+FCFF!$B$9+FCFF!$I$9*(1+Inputs!$B$6)/(B8099-Inputs!$B$6)/(1+B8099)^7</f>
        <v>-1951.413939</v>
      </c>
    </row>
    <row r="8100" ht="14.25" customHeight="1">
      <c r="A8100" s="7">
        <v>8087.0</v>
      </c>
      <c r="B8100" s="14">
        <f t="shared" si="1"/>
        <v>0.1044980333</v>
      </c>
      <c r="C8100" s="39">
        <f t="array" ref="C8100">NPV(B8100,FCFF!$C$9:$I$9)+FCFF!$B$9+FCFF!$I$9*(1+Inputs!$B$6)/(B8100-Inputs!$B$6)/(1+B8100)^7</f>
        <v>-1503.281146</v>
      </c>
    </row>
    <row r="8101" ht="14.25" customHeight="1">
      <c r="A8101" s="7">
        <v>8088.0</v>
      </c>
      <c r="B8101" s="14">
        <f t="shared" si="1"/>
        <v>0.1072261873</v>
      </c>
      <c r="C8101" s="39">
        <f t="array" ref="C8101">NPV(B8101,FCFF!$C$9:$I$9)+FCFF!$B$9+FCFF!$I$9*(1+Inputs!$B$6)/(B8101-Inputs!$B$6)/(1+B8101)^7</f>
        <v>-1568.919294</v>
      </c>
    </row>
    <row r="8102" ht="14.25" customHeight="1">
      <c r="A8102" s="7">
        <v>8089.0</v>
      </c>
      <c r="B8102" s="14">
        <f t="shared" si="1"/>
        <v>0.09926917028</v>
      </c>
      <c r="C8102" s="39">
        <f t="array" ref="C8102">NPV(B8102,FCFF!$C$9:$I$9)+FCFF!$B$9+FCFF!$I$9*(1+Inputs!$B$6)/(B8102-Inputs!$B$6)/(1+B8102)^7</f>
        <v>-1362.780856</v>
      </c>
    </row>
    <row r="8103" ht="14.25" customHeight="1">
      <c r="A8103" s="7">
        <v>8090.0</v>
      </c>
      <c r="B8103" s="14">
        <f t="shared" si="1"/>
        <v>0.1273449353</v>
      </c>
      <c r="C8103" s="39">
        <f t="array" ref="C8103">NPV(B8103,FCFF!$C$9:$I$9)+FCFF!$B$9+FCFF!$I$9*(1+Inputs!$B$6)/(B8103-Inputs!$B$6)/(1+B8103)^7</f>
        <v>-1935.64668</v>
      </c>
    </row>
    <row r="8104" ht="14.25" customHeight="1">
      <c r="A8104" s="7">
        <v>8091.0</v>
      </c>
      <c r="B8104" s="14">
        <f t="shared" si="1"/>
        <v>0.1062389556</v>
      </c>
      <c r="C8104" s="39">
        <f t="array" ref="C8104">NPV(B8104,FCFF!$C$9:$I$9)+FCFF!$B$9+FCFF!$I$9*(1+Inputs!$B$6)/(B8104-Inputs!$B$6)/(1+B8104)^7</f>
        <v>-1545.72134</v>
      </c>
    </row>
    <row r="8105" ht="14.25" customHeight="1">
      <c r="A8105" s="7">
        <v>8092.0</v>
      </c>
      <c r="B8105" s="14">
        <f t="shared" si="1"/>
        <v>0.1115400373</v>
      </c>
      <c r="C8105" s="39">
        <f t="array" ref="C8105">NPV(B8105,FCFF!$C$9:$I$9)+FCFF!$B$9+FCFF!$I$9*(1+Inputs!$B$6)/(B8105-Inputs!$B$6)/(1+B8105)^7</f>
        <v>-1663.517326</v>
      </c>
    </row>
    <row r="8106" ht="14.25" customHeight="1">
      <c r="A8106" s="7">
        <v>8093.0</v>
      </c>
      <c r="B8106" s="14">
        <f t="shared" si="1"/>
        <v>0.09564950037</v>
      </c>
      <c r="C8106" s="39">
        <f t="array" ref="C8106">NPV(B8106,FCFF!$C$9:$I$9)+FCFF!$B$9+FCFF!$I$9*(1+Inputs!$B$6)/(B8106-Inputs!$B$6)/(1+B8106)^7</f>
        <v>-1252.330806</v>
      </c>
    </row>
    <row r="8107" ht="14.25" customHeight="1">
      <c r="A8107" s="7">
        <v>8094.0</v>
      </c>
      <c r="B8107" s="14">
        <f t="shared" si="1"/>
        <v>0.1229106261</v>
      </c>
      <c r="C8107" s="39">
        <f t="array" ref="C8107">NPV(B8107,FCFF!$C$9:$I$9)+FCFF!$B$9+FCFF!$I$9*(1+Inputs!$B$6)/(B8107-Inputs!$B$6)/(1+B8107)^7</f>
        <v>-1869.181141</v>
      </c>
    </row>
    <row r="8108" ht="14.25" customHeight="1">
      <c r="A8108" s="7">
        <v>8095.0</v>
      </c>
      <c r="B8108" s="14">
        <f t="shared" si="1"/>
        <v>0.1288469381</v>
      </c>
      <c r="C8108" s="39">
        <f t="array" ref="C8108">NPV(B8108,FCFF!$C$9:$I$9)+FCFF!$B$9+FCFF!$I$9*(1+Inputs!$B$6)/(B8108-Inputs!$B$6)/(1+B8108)^7</f>
        <v>-1956.708811</v>
      </c>
    </row>
    <row r="8109" ht="14.25" customHeight="1">
      <c r="A8109" s="7">
        <v>8096.0</v>
      </c>
      <c r="B8109" s="14">
        <f t="shared" si="1"/>
        <v>0.09970273385</v>
      </c>
      <c r="C8109" s="39">
        <f t="array" ref="C8109">NPV(B8109,FCFF!$C$9:$I$9)+FCFF!$B$9+FCFF!$I$9*(1+Inputs!$B$6)/(B8109-Inputs!$B$6)/(1+B8109)^7</f>
        <v>-1375.239972</v>
      </c>
    </row>
    <row r="8110" ht="14.25" customHeight="1">
      <c r="A8110" s="7">
        <v>8097.0</v>
      </c>
      <c r="B8110" s="14">
        <f t="shared" si="1"/>
        <v>0.1282723287</v>
      </c>
      <c r="C8110" s="39">
        <f t="array" ref="C8110">NPV(B8110,FCFF!$C$9:$I$9)+FCFF!$B$9+FCFF!$I$9*(1+Inputs!$B$6)/(B8110-Inputs!$B$6)/(1+B8110)^7</f>
        <v>-1948.733372</v>
      </c>
    </row>
    <row r="8111" ht="14.25" customHeight="1">
      <c r="A8111" s="7">
        <v>8098.0</v>
      </c>
      <c r="B8111" s="14">
        <f t="shared" si="1"/>
        <v>0.09910797325</v>
      </c>
      <c r="C8111" s="39">
        <f t="array" ref="C8111">NPV(B8111,FCFF!$C$9:$I$9)+FCFF!$B$9+FCFF!$I$9*(1+Inputs!$B$6)/(B8111-Inputs!$B$6)/(1+B8111)^7</f>
        <v>-1358.108552</v>
      </c>
    </row>
    <row r="8112" ht="14.25" customHeight="1">
      <c r="A8112" s="7">
        <v>8099.0</v>
      </c>
      <c r="B8112" s="14">
        <f t="shared" si="1"/>
        <v>0.09585909821</v>
      </c>
      <c r="C8112" s="39">
        <f t="array" ref="C8112">NPV(B8112,FCFF!$C$9:$I$9)+FCFF!$B$9+FCFF!$I$9*(1+Inputs!$B$6)/(B8112-Inputs!$B$6)/(1+B8112)^7</f>
        <v>-1259.057018</v>
      </c>
    </row>
    <row r="8113" ht="14.25" customHeight="1">
      <c r="A8113" s="7">
        <v>8100.0</v>
      </c>
      <c r="B8113" s="14">
        <f t="shared" si="1"/>
        <v>0.09324649072</v>
      </c>
      <c r="C8113" s="39">
        <f t="array" ref="C8113">NPV(B8113,FCFF!$C$9:$I$9)+FCFF!$B$9+FCFF!$I$9*(1+Inputs!$B$6)/(B8113-Inputs!$B$6)/(1+B8113)^7</f>
        <v>-1172.053393</v>
      </c>
    </row>
    <row r="8114" ht="14.25" customHeight="1">
      <c r="A8114" s="7">
        <v>8101.0</v>
      </c>
      <c r="B8114" s="14">
        <f t="shared" si="1"/>
        <v>0.1212855152</v>
      </c>
      <c r="C8114" s="39">
        <f t="array" ref="C8114">NPV(B8114,FCFF!$C$9:$I$9)+FCFF!$B$9+FCFF!$I$9*(1+Inputs!$B$6)/(B8114-Inputs!$B$6)/(1+B8114)^7</f>
        <v>-1843.091051</v>
      </c>
    </row>
    <row r="8115" ht="14.25" customHeight="1">
      <c r="A8115" s="7">
        <v>8102.0</v>
      </c>
      <c r="B8115" s="14">
        <f t="shared" si="1"/>
        <v>0.09755535231</v>
      </c>
      <c r="C8115" s="39">
        <f t="array" ref="C8115">NPV(B8115,FCFF!$C$9:$I$9)+FCFF!$B$9+FCFF!$I$9*(1+Inputs!$B$6)/(B8115-Inputs!$B$6)/(1+B8115)^7</f>
        <v>-1311.960718</v>
      </c>
    </row>
    <row r="8116" ht="14.25" customHeight="1">
      <c r="A8116" s="7">
        <v>8103.0</v>
      </c>
      <c r="B8116" s="14">
        <f t="shared" si="1"/>
        <v>0.1294403767</v>
      </c>
      <c r="C8116" s="39">
        <f t="array" ref="C8116">NPV(B8116,FCFF!$C$9:$I$9)+FCFF!$B$9+FCFF!$I$9*(1+Inputs!$B$6)/(B8116-Inputs!$B$6)/(1+B8116)^7</f>
        <v>-1964.840947</v>
      </c>
    </row>
    <row r="8117" ht="14.25" customHeight="1">
      <c r="A8117" s="7">
        <v>8104.0</v>
      </c>
      <c r="B8117" s="14">
        <f t="shared" si="1"/>
        <v>0.1311499689</v>
      </c>
      <c r="C8117" s="39">
        <f t="array" ref="C8117">NPV(B8117,FCFF!$C$9:$I$9)+FCFF!$B$9+FCFF!$I$9*(1+Inputs!$B$6)/(B8117-Inputs!$B$6)/(1+B8117)^7</f>
        <v>-1987.690276</v>
      </c>
    </row>
    <row r="8118" ht="14.25" customHeight="1">
      <c r="A8118" s="7">
        <v>8105.0</v>
      </c>
      <c r="B8118" s="14">
        <f t="shared" si="1"/>
        <v>0.09479217135</v>
      </c>
      <c r="C8118" s="39">
        <f t="array" ref="C8118">NPV(B8118,FCFF!$C$9:$I$9)+FCFF!$B$9+FCFF!$I$9*(1+Inputs!$B$6)/(B8118-Inputs!$B$6)/(1+B8118)^7</f>
        <v>-1224.367776</v>
      </c>
    </row>
    <row r="8119" ht="14.25" customHeight="1">
      <c r="A8119" s="7">
        <v>8106.0</v>
      </c>
      <c r="B8119" s="14">
        <f t="shared" si="1"/>
        <v>0.1236707849</v>
      </c>
      <c r="C8119" s="39">
        <f t="array" ref="C8119">NPV(B8119,FCFF!$C$9:$I$9)+FCFF!$B$9+FCFF!$I$9*(1+Inputs!$B$6)/(B8119-Inputs!$B$6)/(1+B8119)^7</f>
        <v>-1881.054068</v>
      </c>
    </row>
    <row r="8120" ht="14.25" customHeight="1">
      <c r="A8120" s="7">
        <v>8107.0</v>
      </c>
      <c r="B8120" s="14">
        <f t="shared" si="1"/>
        <v>0.1177391772</v>
      </c>
      <c r="C8120" s="39">
        <f t="array" ref="C8120">NPV(B8120,FCFF!$C$9:$I$9)+FCFF!$B$9+FCFF!$I$9*(1+Inputs!$B$6)/(B8120-Inputs!$B$6)/(1+B8120)^7</f>
        <v>-1782.591382</v>
      </c>
    </row>
    <row r="8121" ht="14.25" customHeight="1">
      <c r="A8121" s="7">
        <v>8108.0</v>
      </c>
      <c r="B8121" s="14">
        <f t="shared" si="1"/>
        <v>0.1101155261</v>
      </c>
      <c r="C8121" s="39">
        <f t="array" ref="C8121">NPV(B8121,FCFF!$C$9:$I$9)+FCFF!$B$9+FCFF!$I$9*(1+Inputs!$B$6)/(B8121-Inputs!$B$6)/(1+B8121)^7</f>
        <v>-1633.441383</v>
      </c>
    </row>
    <row r="8122" ht="14.25" customHeight="1">
      <c r="A8122" s="7">
        <v>8109.0</v>
      </c>
      <c r="B8122" s="14">
        <f t="shared" si="1"/>
        <v>0.1212182393</v>
      </c>
      <c r="C8122" s="39">
        <f t="array" ref="C8122">NPV(B8122,FCFF!$C$9:$I$9)+FCFF!$B$9+FCFF!$I$9*(1+Inputs!$B$6)/(B8122-Inputs!$B$6)/(1+B8122)^7</f>
        <v>-1841.98966</v>
      </c>
    </row>
    <row r="8123" ht="14.25" customHeight="1">
      <c r="A8123" s="7">
        <v>8110.0</v>
      </c>
      <c r="B8123" s="14">
        <f t="shared" si="1"/>
        <v>0.1037591304</v>
      </c>
      <c r="C8123" s="39">
        <f t="array" ref="C8123">NPV(B8123,FCFF!$C$9:$I$9)+FCFF!$B$9+FCFF!$I$9*(1+Inputs!$B$6)/(B8123-Inputs!$B$6)/(1+B8123)^7</f>
        <v>-1484.650775</v>
      </c>
    </row>
    <row r="8124" ht="14.25" customHeight="1">
      <c r="A8124" s="7">
        <v>8111.0</v>
      </c>
      <c r="B8124" s="14">
        <f t="shared" si="1"/>
        <v>0.1297459394</v>
      </c>
      <c r="C8124" s="39">
        <f t="array" ref="C8124">NPV(B8124,FCFF!$C$9:$I$9)+FCFF!$B$9+FCFF!$I$9*(1+Inputs!$B$6)/(B8124-Inputs!$B$6)/(1+B8124)^7</f>
        <v>-1968.987324</v>
      </c>
    </row>
    <row r="8125" ht="14.25" customHeight="1">
      <c r="A8125" s="7">
        <v>8112.0</v>
      </c>
      <c r="B8125" s="14">
        <f t="shared" si="1"/>
        <v>0.1001744152</v>
      </c>
      <c r="C8125" s="39">
        <f t="array" ref="C8125">NPV(B8125,FCFF!$C$9:$I$9)+FCFF!$B$9+FCFF!$I$9*(1+Inputs!$B$6)/(B8125-Inputs!$B$6)/(1+B8125)^7</f>
        <v>-1388.618611</v>
      </c>
    </row>
    <row r="8126" ht="14.25" customHeight="1">
      <c r="A8126" s="7">
        <v>8113.0</v>
      </c>
      <c r="B8126" s="14">
        <f t="shared" si="1"/>
        <v>0.1106655474</v>
      </c>
      <c r="C8126" s="39">
        <f t="array" ref="C8126">NPV(B8126,FCFF!$C$9:$I$9)+FCFF!$B$9+FCFF!$I$9*(1+Inputs!$B$6)/(B8126-Inputs!$B$6)/(1+B8126)^7</f>
        <v>-1645.184343</v>
      </c>
    </row>
    <row r="8127" ht="14.25" customHeight="1">
      <c r="A8127" s="7">
        <v>8114.0</v>
      </c>
      <c r="B8127" s="14">
        <f t="shared" si="1"/>
        <v>0.1284068382</v>
      </c>
      <c r="C8127" s="39">
        <f t="array" ref="C8127">NPV(B8127,FCFF!$C$9:$I$9)+FCFF!$B$9+FCFF!$I$9*(1+Inputs!$B$6)/(B8127-Inputs!$B$6)/(1+B8127)^7</f>
        <v>-1950.60936</v>
      </c>
    </row>
    <row r="8128" ht="14.25" customHeight="1">
      <c r="A8128" s="7">
        <v>8115.0</v>
      </c>
      <c r="B8128" s="14">
        <f t="shared" si="1"/>
        <v>0.1198091983</v>
      </c>
      <c r="C8128" s="39">
        <f t="array" ref="C8128">NPV(B8128,FCFF!$C$9:$I$9)+FCFF!$B$9+FCFF!$I$9*(1+Inputs!$B$6)/(B8128-Inputs!$B$6)/(1+B8128)^7</f>
        <v>-1818.519382</v>
      </c>
    </row>
    <row r="8129" ht="14.25" customHeight="1">
      <c r="A8129" s="7">
        <v>8116.0</v>
      </c>
      <c r="B8129" s="14">
        <f t="shared" si="1"/>
        <v>0.1174717381</v>
      </c>
      <c r="C8129" s="39">
        <f t="array" ref="C8129">NPV(B8129,FCFF!$C$9:$I$9)+FCFF!$B$9+FCFF!$I$9*(1+Inputs!$B$6)/(B8129-Inputs!$B$6)/(1+B8129)^7</f>
        <v>-1777.818755</v>
      </c>
    </row>
    <row r="8130" ht="14.25" customHeight="1">
      <c r="A8130" s="7">
        <v>8117.0</v>
      </c>
      <c r="B8130" s="14">
        <f t="shared" si="1"/>
        <v>0.1003150428</v>
      </c>
      <c r="C8130" s="39">
        <f t="array" ref="C8130">NPV(B8130,FCFF!$C$9:$I$9)+FCFF!$B$9+FCFF!$I$9*(1+Inputs!$B$6)/(B8130-Inputs!$B$6)/(1+B8130)^7</f>
        <v>-1392.572367</v>
      </c>
    </row>
    <row r="8131" ht="14.25" customHeight="1">
      <c r="A8131" s="7">
        <v>8118.0</v>
      </c>
      <c r="B8131" s="14">
        <f t="shared" si="1"/>
        <v>0.1096024756</v>
      </c>
      <c r="C8131" s="39">
        <f t="array" ref="C8131">NPV(B8131,FCFF!$C$9:$I$9)+FCFF!$B$9+FCFF!$I$9*(1+Inputs!$B$6)/(B8131-Inputs!$B$6)/(1+B8131)^7</f>
        <v>-1622.336603</v>
      </c>
    </row>
    <row r="8132" ht="14.25" customHeight="1">
      <c r="A8132" s="7">
        <v>8119.0</v>
      </c>
      <c r="B8132" s="14">
        <f t="shared" si="1"/>
        <v>0.1313464669</v>
      </c>
      <c r="C8132" s="39">
        <f t="array" ref="C8132">NPV(B8132,FCFF!$C$9:$I$9)+FCFF!$B$9+FCFF!$I$9*(1+Inputs!$B$6)/(B8132-Inputs!$B$6)/(1+B8132)^7</f>
        <v>-1990.26289</v>
      </c>
    </row>
    <row r="8133" ht="14.25" customHeight="1">
      <c r="A8133" s="7">
        <v>8120.0</v>
      </c>
      <c r="B8133" s="14">
        <f t="shared" si="1"/>
        <v>0.1312782731</v>
      </c>
      <c r="C8133" s="39">
        <f t="array" ref="C8133">NPV(B8133,FCFF!$C$9:$I$9)+FCFF!$B$9+FCFF!$I$9*(1+Inputs!$B$6)/(B8133-Inputs!$B$6)/(1+B8133)^7</f>
        <v>-1989.371306</v>
      </c>
    </row>
    <row r="8134" ht="14.25" customHeight="1">
      <c r="A8134" s="7">
        <v>8121.0</v>
      </c>
      <c r="B8134" s="14">
        <f t="shared" si="1"/>
        <v>0.1184527159</v>
      </c>
      <c r="C8134" s="39">
        <f t="array" ref="C8134">NPV(B8134,FCFF!$C$9:$I$9)+FCFF!$B$9+FCFF!$I$9*(1+Inputs!$B$6)/(B8134-Inputs!$B$6)/(1+B8134)^7</f>
        <v>-1795.176257</v>
      </c>
    </row>
    <row r="8135" ht="14.25" customHeight="1">
      <c r="A8135" s="7">
        <v>8122.0</v>
      </c>
      <c r="B8135" s="14">
        <f t="shared" si="1"/>
        <v>0.1273215603</v>
      </c>
      <c r="C8135" s="39">
        <f t="array" ref="C8135">NPV(B8135,FCFF!$C$9:$I$9)+FCFF!$B$9+FCFF!$I$9*(1+Inputs!$B$6)/(B8135-Inputs!$B$6)/(1+B8135)^7</f>
        <v>-1935.313352</v>
      </c>
    </row>
    <row r="8136" ht="14.25" customHeight="1">
      <c r="A8136" s="7">
        <v>8123.0</v>
      </c>
      <c r="B8136" s="14">
        <f t="shared" si="1"/>
        <v>0.1229201205</v>
      </c>
      <c r="C8136" s="39">
        <f t="array" ref="C8136">NPV(B8136,FCFF!$C$9:$I$9)+FCFF!$B$9+FCFF!$I$9*(1+Inputs!$B$6)/(B8136-Inputs!$B$6)/(1+B8136)^7</f>
        <v>-1869.330712</v>
      </c>
    </row>
    <row r="8137" ht="14.25" customHeight="1">
      <c r="A8137" s="7">
        <v>8124.0</v>
      </c>
      <c r="B8137" s="14">
        <f t="shared" si="1"/>
        <v>0.1137216166</v>
      </c>
      <c r="C8137" s="39">
        <f t="array" ref="C8137">NPV(B8137,FCFF!$C$9:$I$9)+FCFF!$B$9+FCFF!$I$9*(1+Inputs!$B$6)/(B8137-Inputs!$B$6)/(1+B8137)^7</f>
        <v>-1707.521171</v>
      </c>
    </row>
    <row r="8138" ht="14.25" customHeight="1">
      <c r="A8138" s="7">
        <v>8125.0</v>
      </c>
      <c r="B8138" s="14">
        <f t="shared" si="1"/>
        <v>0.09544853488</v>
      </c>
      <c r="C8138" s="39">
        <f t="array" ref="C8138">NPV(B8138,FCFF!$C$9:$I$9)+FCFF!$B$9+FCFF!$I$9*(1+Inputs!$B$6)/(B8138-Inputs!$B$6)/(1+B8138)^7</f>
        <v>-1245.841365</v>
      </c>
    </row>
    <row r="8139" ht="14.25" customHeight="1">
      <c r="A8139" s="7">
        <v>8126.0</v>
      </c>
      <c r="B8139" s="14">
        <f t="shared" si="1"/>
        <v>0.1058845341</v>
      </c>
      <c r="C8139" s="39">
        <f t="array" ref="C8139">NPV(B8139,FCFF!$C$9:$I$9)+FCFF!$B$9+FCFF!$I$9*(1+Inputs!$B$6)/(B8139-Inputs!$B$6)/(1+B8139)^7</f>
        <v>-1537.242428</v>
      </c>
    </row>
    <row r="8140" ht="14.25" customHeight="1">
      <c r="A8140" s="7">
        <v>8127.0</v>
      </c>
      <c r="B8140" s="14">
        <f t="shared" si="1"/>
        <v>0.1197312586</v>
      </c>
      <c r="C8140" s="39">
        <f t="array" ref="C8140">NPV(B8140,FCFF!$C$9:$I$9)+FCFF!$B$9+FCFF!$I$9*(1+Inputs!$B$6)/(B8140-Inputs!$B$6)/(1+B8140)^7</f>
        <v>-1817.198346</v>
      </c>
    </row>
    <row r="8141" ht="14.25" customHeight="1">
      <c r="A8141" s="7">
        <v>8128.0</v>
      </c>
      <c r="B8141" s="14">
        <f t="shared" si="1"/>
        <v>0.1284243649</v>
      </c>
      <c r="C8141" s="39">
        <f t="array" ref="C8141">NPV(B8141,FCFF!$C$9:$I$9)+FCFF!$B$9+FCFF!$I$9*(1+Inputs!$B$6)/(B8141-Inputs!$B$6)/(1+B8141)^7</f>
        <v>-1950.853395</v>
      </c>
    </row>
    <row r="8142" ht="14.25" customHeight="1">
      <c r="A8142" s="7">
        <v>8129.0</v>
      </c>
      <c r="B8142" s="14">
        <f t="shared" si="1"/>
        <v>0.1020265223</v>
      </c>
      <c r="C8142" s="39">
        <f t="array" ref="C8142">NPV(B8142,FCFF!$C$9:$I$9)+FCFF!$B$9+FCFF!$I$9*(1+Inputs!$B$6)/(B8142-Inputs!$B$6)/(1+B8142)^7</f>
        <v>-1439.44284</v>
      </c>
    </row>
    <row r="8143" ht="14.25" customHeight="1">
      <c r="A8143" s="7">
        <v>8130.0</v>
      </c>
      <c r="B8143" s="14">
        <f t="shared" si="1"/>
        <v>0.1212170193</v>
      </c>
      <c r="C8143" s="39">
        <f t="array" ref="C8143">NPV(B8143,FCFF!$C$9:$I$9)+FCFF!$B$9+FCFF!$I$9*(1+Inputs!$B$6)/(B8143-Inputs!$B$6)/(1+B8143)^7</f>
        <v>-1841.969672</v>
      </c>
    </row>
    <row r="8144" ht="14.25" customHeight="1">
      <c r="A8144" s="7">
        <v>8131.0</v>
      </c>
      <c r="B8144" s="14">
        <f t="shared" si="1"/>
        <v>0.1197173318</v>
      </c>
      <c r="C8144" s="39">
        <f t="array" ref="C8144">NPV(B8144,FCFF!$C$9:$I$9)+FCFF!$B$9+FCFF!$I$9*(1+Inputs!$B$6)/(B8144-Inputs!$B$6)/(1+B8144)^7</f>
        <v>-1816.96204</v>
      </c>
    </row>
    <row r="8145" ht="14.25" customHeight="1">
      <c r="A8145" s="7">
        <v>8132.0</v>
      </c>
      <c r="B8145" s="14">
        <f t="shared" si="1"/>
        <v>0.1181824156</v>
      </c>
      <c r="C8145" s="39">
        <f t="array" ref="C8145">NPV(B8145,FCFF!$C$9:$I$9)+FCFF!$B$9+FCFF!$I$9*(1+Inputs!$B$6)/(B8145-Inputs!$B$6)/(1+B8145)^7</f>
        <v>-1790.43415</v>
      </c>
    </row>
    <row r="8146" ht="14.25" customHeight="1">
      <c r="A8146" s="7">
        <v>8133.0</v>
      </c>
      <c r="B8146" s="14">
        <f t="shared" si="1"/>
        <v>0.1294219288</v>
      </c>
      <c r="C8146" s="39">
        <f t="array" ref="C8146">NPV(B8146,FCFF!$C$9:$I$9)+FCFF!$B$9+FCFF!$I$9*(1+Inputs!$B$6)/(B8146-Inputs!$B$6)/(1+B8146)^7</f>
        <v>-1964.589731</v>
      </c>
    </row>
    <row r="8147" ht="14.25" customHeight="1">
      <c r="A8147" s="7">
        <v>8134.0</v>
      </c>
      <c r="B8147" s="14">
        <f t="shared" si="1"/>
        <v>0.1172118391</v>
      </c>
      <c r="C8147" s="39">
        <f t="array" ref="C8147">NPV(B8147,FCFF!$C$9:$I$9)+FCFF!$B$9+FCFF!$I$9*(1+Inputs!$B$6)/(B8147-Inputs!$B$6)/(1+B8147)^7</f>
        <v>-1773.151175</v>
      </c>
    </row>
    <row r="8148" ht="14.25" customHeight="1">
      <c r="A8148" s="7">
        <v>8135.0</v>
      </c>
      <c r="B8148" s="14">
        <f t="shared" si="1"/>
        <v>0.0958221408</v>
      </c>
      <c r="C8148" s="39">
        <f t="array" ref="C8148">NPV(B8148,FCFF!$C$9:$I$9)+FCFF!$B$9+FCFF!$I$9*(1+Inputs!$B$6)/(B8148-Inputs!$B$6)/(1+B8148)^7</f>
        <v>-1257.874112</v>
      </c>
    </row>
    <row r="8149" ht="14.25" customHeight="1">
      <c r="A8149" s="7">
        <v>8136.0</v>
      </c>
      <c r="B8149" s="14">
        <f t="shared" si="1"/>
        <v>0.1120117324</v>
      </c>
      <c r="C8149" s="39">
        <f t="array" ref="C8149">NPV(B8149,FCFF!$C$9:$I$9)+FCFF!$B$9+FCFF!$I$9*(1+Inputs!$B$6)/(B8149-Inputs!$B$6)/(1+B8149)^7</f>
        <v>-1673.237861</v>
      </c>
    </row>
    <row r="8150" ht="14.25" customHeight="1">
      <c r="A8150" s="7">
        <v>8137.0</v>
      </c>
      <c r="B8150" s="14">
        <f t="shared" si="1"/>
        <v>0.1265292557</v>
      </c>
      <c r="C8150" s="39">
        <f t="array" ref="C8150">NPV(B8150,FCFF!$C$9:$I$9)+FCFF!$B$9+FCFF!$I$9*(1+Inputs!$B$6)/(B8150-Inputs!$B$6)/(1+B8150)^7</f>
        <v>-1923.91215</v>
      </c>
    </row>
    <row r="8151" ht="14.25" customHeight="1">
      <c r="A8151" s="7">
        <v>8138.0</v>
      </c>
      <c r="B8151" s="14">
        <f t="shared" si="1"/>
        <v>0.102712559</v>
      </c>
      <c r="C8151" s="39">
        <f t="array" ref="C8151">NPV(B8151,FCFF!$C$9:$I$9)+FCFF!$B$9+FCFF!$I$9*(1+Inputs!$B$6)/(B8151-Inputs!$B$6)/(1+B8151)^7</f>
        <v>-1457.604443</v>
      </c>
    </row>
    <row r="8152" ht="14.25" customHeight="1">
      <c r="A8152" s="7">
        <v>8139.0</v>
      </c>
      <c r="B8152" s="14">
        <f t="shared" si="1"/>
        <v>0.09463962288</v>
      </c>
      <c r="C8152" s="39">
        <f t="array" ref="C8152">NPV(B8152,FCFF!$C$9:$I$9)+FCFF!$B$9+FCFF!$I$9*(1+Inputs!$B$6)/(B8152-Inputs!$B$6)/(1+B8152)^7</f>
        <v>-1219.314981</v>
      </c>
    </row>
    <row r="8153" ht="14.25" customHeight="1">
      <c r="A8153" s="7">
        <v>8140.0</v>
      </c>
      <c r="B8153" s="14">
        <f t="shared" si="1"/>
        <v>0.1083372841</v>
      </c>
      <c r="C8153" s="39">
        <f t="array" ref="C8153">NPV(B8153,FCFF!$C$9:$I$9)+FCFF!$B$9+FCFF!$I$9*(1+Inputs!$B$6)/(B8153-Inputs!$B$6)/(1+B8153)^7</f>
        <v>-1594.310863</v>
      </c>
    </row>
    <row r="8154" ht="14.25" customHeight="1">
      <c r="A8154" s="7">
        <v>8141.0</v>
      </c>
      <c r="B8154" s="14">
        <f t="shared" si="1"/>
        <v>0.1159027034</v>
      </c>
      <c r="C8154" s="39">
        <f t="array" ref="C8154">NPV(B8154,FCFF!$C$9:$I$9)+FCFF!$B$9+FCFF!$I$9*(1+Inputs!$B$6)/(B8154-Inputs!$B$6)/(1+B8154)^7</f>
        <v>-1749.188718</v>
      </c>
    </row>
    <row r="8155" ht="14.25" customHeight="1">
      <c r="A8155" s="7">
        <v>8142.0</v>
      </c>
      <c r="B8155" s="14">
        <f t="shared" si="1"/>
        <v>0.1302086442</v>
      </c>
      <c r="C8155" s="39">
        <f t="array" ref="C8155">NPV(B8155,FCFF!$C$9:$I$9)+FCFF!$B$9+FCFF!$I$9*(1+Inputs!$B$6)/(B8155-Inputs!$B$6)/(1+B8155)^7</f>
        <v>-1975.21387</v>
      </c>
    </row>
    <row r="8156" ht="14.25" customHeight="1">
      <c r="A8156" s="7">
        <v>8143.0</v>
      </c>
      <c r="B8156" s="14">
        <f t="shared" si="1"/>
        <v>0.1165156511</v>
      </c>
      <c r="C8156" s="39">
        <f t="array" ref="C8156">NPV(B8156,FCFF!$C$9:$I$9)+FCFF!$B$9+FCFF!$I$9*(1+Inputs!$B$6)/(B8156-Inputs!$B$6)/(1+B8156)^7</f>
        <v>-1760.502905</v>
      </c>
    </row>
    <row r="8157" ht="14.25" customHeight="1">
      <c r="A8157" s="7">
        <v>8144.0</v>
      </c>
      <c r="B8157" s="14">
        <f t="shared" si="1"/>
        <v>0.1037931207</v>
      </c>
      <c r="C8157" s="39">
        <f t="array" ref="C8157">NPV(B8157,FCFF!$C$9:$I$9)+FCFF!$B$9+FCFF!$I$9*(1+Inputs!$B$6)/(B8157-Inputs!$B$6)/(1+B8157)^7</f>
        <v>-1485.516119</v>
      </c>
    </row>
    <row r="8158" ht="14.25" customHeight="1">
      <c r="A8158" s="7">
        <v>8145.0</v>
      </c>
      <c r="B8158" s="14">
        <f t="shared" si="1"/>
        <v>0.1234784311</v>
      </c>
      <c r="C8158" s="39">
        <f t="array" ref="C8158">NPV(B8158,FCFF!$C$9:$I$9)+FCFF!$B$9+FCFF!$I$9*(1+Inputs!$B$6)/(B8158-Inputs!$B$6)/(1+B8158)^7</f>
        <v>-1878.069174</v>
      </c>
    </row>
    <row r="8159" ht="14.25" customHeight="1">
      <c r="A8159" s="7">
        <v>8146.0</v>
      </c>
      <c r="B8159" s="14">
        <f t="shared" si="1"/>
        <v>0.1231526438</v>
      </c>
      <c r="C8159" s="39">
        <f t="array" ref="C8159">NPV(B8159,FCFF!$C$9:$I$9)+FCFF!$B$9+FCFF!$I$9*(1+Inputs!$B$6)/(B8159-Inputs!$B$6)/(1+B8159)^7</f>
        <v>-1872.98366</v>
      </c>
    </row>
    <row r="8160" ht="14.25" customHeight="1">
      <c r="A8160" s="7">
        <v>8147.0</v>
      </c>
      <c r="B8160" s="14">
        <f t="shared" si="1"/>
        <v>0.09332489496</v>
      </c>
      <c r="C8160" s="39">
        <f t="array" ref="C8160">NPV(B8160,FCFF!$C$9:$I$9)+FCFF!$B$9+FCFF!$I$9*(1+Inputs!$B$6)/(B8160-Inputs!$B$6)/(1+B8160)^7</f>
        <v>-1174.767886</v>
      </c>
    </row>
    <row r="8161" ht="14.25" customHeight="1">
      <c r="A8161" s="7">
        <v>8148.0</v>
      </c>
      <c r="B8161" s="14">
        <f t="shared" si="1"/>
        <v>0.1060479212</v>
      </c>
      <c r="C8161" s="39">
        <f t="array" ref="C8161">NPV(B8161,FCFF!$C$9:$I$9)+FCFF!$B$9+FCFF!$I$9*(1+Inputs!$B$6)/(B8161-Inputs!$B$6)/(1+B8161)^7</f>
        <v>-1541.161217</v>
      </c>
    </row>
    <row r="8162" ht="14.25" customHeight="1">
      <c r="A8162" s="7">
        <v>8149.0</v>
      </c>
      <c r="B8162" s="14">
        <f t="shared" si="1"/>
        <v>0.09614581743</v>
      </c>
      <c r="C8162" s="39">
        <f t="array" ref="C8162">NPV(B8162,FCFF!$C$9:$I$9)+FCFF!$B$9+FCFF!$I$9*(1+Inputs!$B$6)/(B8162-Inputs!$B$6)/(1+B8162)^7</f>
        <v>-1268.189402</v>
      </c>
    </row>
    <row r="8163" ht="14.25" customHeight="1">
      <c r="A8163" s="7">
        <v>8150.0</v>
      </c>
      <c r="B8163" s="14">
        <f t="shared" si="1"/>
        <v>0.1208800901</v>
      </c>
      <c r="C8163" s="39">
        <f t="array" ref="C8163">NPV(B8163,FCFF!$C$9:$I$9)+FCFF!$B$9+FCFF!$I$9*(1+Inputs!$B$6)/(B8163-Inputs!$B$6)/(1+B8163)^7</f>
        <v>-1836.42751</v>
      </c>
    </row>
    <row r="8164" ht="14.25" customHeight="1">
      <c r="A8164" s="7">
        <v>8151.0</v>
      </c>
      <c r="B8164" s="14">
        <f t="shared" si="1"/>
        <v>0.09752258438</v>
      </c>
      <c r="C8164" s="39">
        <f t="array" ref="C8164">NPV(B8164,FCFF!$C$9:$I$9)+FCFF!$B$9+FCFF!$I$9*(1+Inputs!$B$6)/(B8164-Inputs!$B$6)/(1+B8164)^7</f>
        <v>-1310.963873</v>
      </c>
    </row>
    <row r="8165" ht="14.25" customHeight="1">
      <c r="A8165" s="7">
        <v>8152.0</v>
      </c>
      <c r="B8165" s="14">
        <f t="shared" si="1"/>
        <v>0.09426561399</v>
      </c>
      <c r="C8165" s="39">
        <f t="array" ref="C8165">NPV(B8165,FCFF!$C$9:$I$9)+FCFF!$B$9+FCFF!$I$9*(1+Inputs!$B$6)/(B8165-Inputs!$B$6)/(1+B8165)^7</f>
        <v>-1206.826165</v>
      </c>
    </row>
    <row r="8166" ht="14.25" customHeight="1">
      <c r="A8166" s="7">
        <v>8153.0</v>
      </c>
      <c r="B8166" s="14">
        <f t="shared" si="1"/>
        <v>0.1068027456</v>
      </c>
      <c r="C8166" s="39">
        <f t="array" ref="C8166">NPV(B8166,FCFF!$C$9:$I$9)+FCFF!$B$9+FCFF!$I$9*(1+Inputs!$B$6)/(B8166-Inputs!$B$6)/(1+B8166)^7</f>
        <v>-1559.044078</v>
      </c>
    </row>
    <row r="8167" ht="14.25" customHeight="1">
      <c r="A8167" s="7">
        <v>8154.0</v>
      </c>
      <c r="B8167" s="14">
        <f t="shared" si="1"/>
        <v>0.1084331647</v>
      </c>
      <c r="C8167" s="39">
        <f t="array" ref="C8167">NPV(B8167,FCFF!$C$9:$I$9)+FCFF!$B$9+FCFF!$I$9*(1+Inputs!$B$6)/(B8167-Inputs!$B$6)/(1+B8167)^7</f>
        <v>-1596.467353</v>
      </c>
    </row>
    <row r="8168" ht="14.25" customHeight="1">
      <c r="A8168" s="7">
        <v>8155.0</v>
      </c>
      <c r="B8168" s="14">
        <f t="shared" si="1"/>
        <v>0.1197038559</v>
      </c>
      <c r="C8168" s="39">
        <f t="array" ref="C8168">NPV(B8168,FCFF!$C$9:$I$9)+FCFF!$B$9+FCFF!$I$9*(1+Inputs!$B$6)/(B8168-Inputs!$B$6)/(1+B8168)^7</f>
        <v>-1816.733308</v>
      </c>
    </row>
    <row r="8169" ht="14.25" customHeight="1">
      <c r="A8169" s="7">
        <v>8156.0</v>
      </c>
      <c r="B8169" s="14">
        <f t="shared" si="1"/>
        <v>0.1322560034</v>
      </c>
      <c r="C8169" s="39">
        <f t="array" ref="C8169">NPV(B8169,FCFF!$C$9:$I$9)+FCFF!$B$9+FCFF!$I$9*(1+Inputs!$B$6)/(B8169-Inputs!$B$6)/(1+B8169)^7</f>
        <v>-2002.030593</v>
      </c>
    </row>
    <row r="8170" ht="14.25" customHeight="1">
      <c r="A8170" s="7">
        <v>8157.0</v>
      </c>
      <c r="B8170" s="14">
        <f t="shared" si="1"/>
        <v>0.1182877206</v>
      </c>
      <c r="C8170" s="39">
        <f t="array" ref="C8170">NPV(B8170,FCFF!$C$9:$I$9)+FCFF!$B$9+FCFF!$I$9*(1+Inputs!$B$6)/(B8170-Inputs!$B$6)/(1+B8170)^7</f>
        <v>-1792.285245</v>
      </c>
    </row>
    <row r="8171" ht="14.25" customHeight="1">
      <c r="A8171" s="7">
        <v>8158.0</v>
      </c>
      <c r="B8171" s="14">
        <f t="shared" si="1"/>
        <v>0.09315945216</v>
      </c>
      <c r="C8171" s="39">
        <f t="array" ref="C8171">NPV(B8171,FCFF!$C$9:$I$9)+FCFF!$B$9+FCFF!$I$9*(1+Inputs!$B$6)/(B8171-Inputs!$B$6)/(1+B8171)^7</f>
        <v>-1169.032163</v>
      </c>
    </row>
    <row r="8172" ht="14.25" customHeight="1">
      <c r="A8172" s="7">
        <v>8159.0</v>
      </c>
      <c r="B8172" s="14">
        <f t="shared" si="1"/>
        <v>0.1017861508</v>
      </c>
      <c r="C8172" s="39">
        <f t="array" ref="C8172">NPV(B8172,FCFF!$C$9:$I$9)+FCFF!$B$9+FCFF!$I$9*(1+Inputs!$B$6)/(B8172-Inputs!$B$6)/(1+B8172)^7</f>
        <v>-1432.996299</v>
      </c>
    </row>
    <row r="8173" ht="14.25" customHeight="1">
      <c r="A8173" s="7">
        <v>8160.0</v>
      </c>
      <c r="B8173" s="14">
        <f t="shared" si="1"/>
        <v>0.1170656619</v>
      </c>
      <c r="C8173" s="39">
        <f t="array" ref="C8173">NPV(B8173,FCFF!$C$9:$I$9)+FCFF!$B$9+FCFF!$I$9*(1+Inputs!$B$6)/(B8173-Inputs!$B$6)/(1+B8173)^7</f>
        <v>-1770.513069</v>
      </c>
    </row>
    <row r="8174" ht="14.25" customHeight="1">
      <c r="A8174" s="7">
        <v>8161.0</v>
      </c>
      <c r="B8174" s="14">
        <f t="shared" si="1"/>
        <v>0.1155894616</v>
      </c>
      <c r="C8174" s="39">
        <f t="array" ref="C8174">NPV(B8174,FCFF!$C$9:$I$9)+FCFF!$B$9+FCFF!$I$9*(1+Inputs!$B$6)/(B8174-Inputs!$B$6)/(1+B8174)^7</f>
        <v>-1743.341087</v>
      </c>
    </row>
    <row r="8175" ht="14.25" customHeight="1">
      <c r="A8175" s="7">
        <v>8162.0</v>
      </c>
      <c r="B8175" s="14">
        <f t="shared" si="1"/>
        <v>0.1207774402</v>
      </c>
      <c r="C8175" s="39">
        <f t="array" ref="C8175">NPV(B8175,FCFF!$C$9:$I$9)+FCFF!$B$9+FCFF!$I$9*(1+Inputs!$B$6)/(B8175-Inputs!$B$6)/(1+B8175)^7</f>
        <v>-1834.730339</v>
      </c>
    </row>
    <row r="8176" ht="14.25" customHeight="1">
      <c r="A8176" s="7">
        <v>8163.0</v>
      </c>
      <c r="B8176" s="14">
        <f t="shared" si="1"/>
        <v>0.1290629555</v>
      </c>
      <c r="C8176" s="39">
        <f t="array" ref="C8176">NPV(B8176,FCFF!$C$9:$I$9)+FCFF!$B$9+FCFF!$I$9*(1+Inputs!$B$6)/(B8176-Inputs!$B$6)/(1+B8176)^7</f>
        <v>-1959.6812</v>
      </c>
    </row>
    <row r="8177" ht="14.25" customHeight="1">
      <c r="A8177" s="7">
        <v>8164.0</v>
      </c>
      <c r="B8177" s="14">
        <f t="shared" si="1"/>
        <v>0.1197046211</v>
      </c>
      <c r="C8177" s="39">
        <f t="array" ref="C8177">NPV(B8177,FCFF!$C$9:$I$9)+FCFF!$B$9+FCFF!$I$9*(1+Inputs!$B$6)/(B8177-Inputs!$B$6)/(1+B8177)^7</f>
        <v>-1816.746298</v>
      </c>
    </row>
    <row r="8178" ht="14.25" customHeight="1">
      <c r="A8178" s="7">
        <v>8165.0</v>
      </c>
      <c r="B8178" s="14">
        <f t="shared" si="1"/>
        <v>0.1199924197</v>
      </c>
      <c r="C8178" s="39">
        <f t="array" ref="C8178">NPV(B8178,FCFF!$C$9:$I$9)+FCFF!$B$9+FCFF!$I$9*(1+Inputs!$B$6)/(B8178-Inputs!$B$6)/(1+B8178)^7</f>
        <v>-1821.615347</v>
      </c>
    </row>
    <row r="8179" ht="14.25" customHeight="1">
      <c r="A8179" s="7">
        <v>8166.0</v>
      </c>
      <c r="B8179" s="14">
        <f t="shared" si="1"/>
        <v>0.1306707241</v>
      </c>
      <c r="C8179" s="39">
        <f t="array" ref="C8179">NPV(B8179,FCFF!$C$9:$I$9)+FCFF!$B$9+FCFF!$I$9*(1+Inputs!$B$6)/(B8179-Inputs!$B$6)/(1+B8179)^7</f>
        <v>-1981.370014</v>
      </c>
    </row>
    <row r="8180" ht="14.25" customHeight="1">
      <c r="A8180" s="7">
        <v>8167.0</v>
      </c>
      <c r="B8180" s="14">
        <f t="shared" si="1"/>
        <v>0.1267599992</v>
      </c>
      <c r="C8180" s="39">
        <f t="array" ref="C8180">NPV(B8180,FCFF!$C$9:$I$9)+FCFF!$B$9+FCFF!$I$9*(1+Inputs!$B$6)/(B8180-Inputs!$B$6)/(1+B8180)^7</f>
        <v>-1927.253284</v>
      </c>
    </row>
    <row r="8181" ht="14.25" customHeight="1">
      <c r="A8181" s="7">
        <v>8168.0</v>
      </c>
      <c r="B8181" s="14">
        <f t="shared" si="1"/>
        <v>0.104899751</v>
      </c>
      <c r="C8181" s="39">
        <f t="array" ref="C8181">NPV(B8181,FCFF!$C$9:$I$9)+FCFF!$B$9+FCFF!$I$9*(1+Inputs!$B$6)/(B8181-Inputs!$B$6)/(1+B8181)^7</f>
        <v>-1513.252869</v>
      </c>
    </row>
    <row r="8182" ht="14.25" customHeight="1">
      <c r="A8182" s="7">
        <v>8169.0</v>
      </c>
      <c r="B8182" s="14">
        <f t="shared" si="1"/>
        <v>0.1093244665</v>
      </c>
      <c r="C8182" s="39">
        <f t="array" ref="C8182">NPV(B8182,FCFF!$C$9:$I$9)+FCFF!$B$9+FCFF!$I$9*(1+Inputs!$B$6)/(B8182-Inputs!$B$6)/(1+B8182)^7</f>
        <v>-1616.257273</v>
      </c>
    </row>
    <row r="8183" ht="14.25" customHeight="1">
      <c r="A8183" s="7">
        <v>8170.0</v>
      </c>
      <c r="B8183" s="14">
        <f t="shared" si="1"/>
        <v>0.09349319077</v>
      </c>
      <c r="C8183" s="39">
        <f t="array" ref="C8183">NPV(B8183,FCFF!$C$9:$I$9)+FCFF!$B$9+FCFF!$I$9*(1+Inputs!$B$6)/(B8183-Inputs!$B$6)/(1+B8183)^7</f>
        <v>-1180.572199</v>
      </c>
    </row>
    <row r="8184" ht="14.25" customHeight="1">
      <c r="A8184" s="7">
        <v>8171.0</v>
      </c>
      <c r="B8184" s="14">
        <f t="shared" si="1"/>
        <v>0.1153578067</v>
      </c>
      <c r="C8184" s="39">
        <f t="array" ref="C8184">NPV(B8184,FCFF!$C$9:$I$9)+FCFF!$B$9+FCFF!$I$9*(1+Inputs!$B$6)/(B8184-Inputs!$B$6)/(1+B8184)^7</f>
        <v>-1738.987613</v>
      </c>
    </row>
    <row r="8185" ht="14.25" customHeight="1">
      <c r="A8185" s="7">
        <v>8172.0</v>
      </c>
      <c r="B8185" s="14">
        <f t="shared" si="1"/>
        <v>0.1232109964</v>
      </c>
      <c r="C8185" s="39">
        <f t="array" ref="C8185">NPV(B8185,FCFF!$C$9:$I$9)+FCFF!$B$9+FCFF!$I$9*(1+Inputs!$B$6)/(B8185-Inputs!$B$6)/(1+B8185)^7</f>
        <v>-1873.897329</v>
      </c>
    </row>
    <row r="8186" ht="14.25" customHeight="1">
      <c r="A8186" s="7">
        <v>8173.0</v>
      </c>
      <c r="B8186" s="14">
        <f t="shared" si="1"/>
        <v>0.105230847</v>
      </c>
      <c r="C8186" s="39">
        <f t="array" ref="C8186">NPV(B8186,FCFF!$C$9:$I$9)+FCFF!$B$9+FCFF!$I$9*(1+Inputs!$B$6)/(B8186-Inputs!$B$6)/(1+B8186)^7</f>
        <v>-1521.389973</v>
      </c>
    </row>
    <row r="8187" ht="14.25" customHeight="1">
      <c r="A8187" s="7">
        <v>8174.0</v>
      </c>
      <c r="B8187" s="14">
        <f t="shared" si="1"/>
        <v>0.1137377781</v>
      </c>
      <c r="C8187" s="39">
        <f t="array" ref="C8187">NPV(B8187,FCFF!$C$9:$I$9)+FCFF!$B$9+FCFF!$I$9*(1+Inputs!$B$6)/(B8187-Inputs!$B$6)/(1+B8187)^7</f>
        <v>-1707.83826</v>
      </c>
    </row>
    <row r="8188" ht="14.25" customHeight="1">
      <c r="A8188" s="7">
        <v>8175.0</v>
      </c>
      <c r="B8188" s="14">
        <f t="shared" si="1"/>
        <v>0.0938273546</v>
      </c>
      <c r="C8188" s="39">
        <f t="array" ref="C8188">NPV(B8188,FCFF!$C$9:$I$9)+FCFF!$B$9+FCFF!$I$9*(1+Inputs!$B$6)/(B8188-Inputs!$B$6)/(1+B8188)^7</f>
        <v>-1192.007339</v>
      </c>
    </row>
    <row r="8189" ht="14.25" customHeight="1">
      <c r="A8189" s="7">
        <v>8176.0</v>
      </c>
      <c r="B8189" s="14">
        <f t="shared" si="1"/>
        <v>0.1315419709</v>
      </c>
      <c r="C8189" s="39">
        <f t="array" ref="C8189">NPV(B8189,FCFF!$C$9:$I$9)+FCFF!$B$9+FCFF!$I$9*(1+Inputs!$B$6)/(B8189-Inputs!$B$6)/(1+B8189)^7</f>
        <v>-1992.811732</v>
      </c>
    </row>
    <row r="8190" ht="14.25" customHeight="1">
      <c r="A8190" s="7">
        <v>8177.0</v>
      </c>
      <c r="B8190" s="14">
        <f t="shared" si="1"/>
        <v>0.1314062578</v>
      </c>
      <c r="C8190" s="39">
        <f t="array" ref="C8190">NPV(B8190,FCFF!$C$9:$I$9)+FCFF!$B$9+FCFF!$I$9*(1+Inputs!$B$6)/(B8190-Inputs!$B$6)/(1+B8190)^7</f>
        <v>-1991.043537</v>
      </c>
    </row>
    <row r="8191" ht="14.25" customHeight="1">
      <c r="A8191" s="7">
        <v>8178.0</v>
      </c>
      <c r="B8191" s="14">
        <f t="shared" si="1"/>
        <v>0.1157417025</v>
      </c>
      <c r="C8191" s="39">
        <f t="array" ref="C8191">NPV(B8191,FCFF!$C$9:$I$9)+FCFF!$B$9+FCFF!$I$9*(1+Inputs!$B$6)/(B8191-Inputs!$B$6)/(1+B8191)^7</f>
        <v>-1746.188728</v>
      </c>
    </row>
    <row r="8192" ht="14.25" customHeight="1">
      <c r="A8192" s="7">
        <v>8179.0</v>
      </c>
      <c r="B8192" s="14">
        <f t="shared" si="1"/>
        <v>0.1010583517</v>
      </c>
      <c r="C8192" s="39">
        <f t="array" ref="C8192">NPV(B8192,FCFF!$C$9:$I$9)+FCFF!$B$9+FCFF!$I$9*(1+Inputs!$B$6)/(B8192-Inputs!$B$6)/(1+B8192)^7</f>
        <v>-1413.208569</v>
      </c>
    </row>
    <row r="8193" ht="14.25" customHeight="1">
      <c r="A8193" s="7">
        <v>8180.0</v>
      </c>
      <c r="B8193" s="14">
        <f t="shared" si="1"/>
        <v>0.09702171414</v>
      </c>
      <c r="C8193" s="39">
        <f t="array" ref="C8193">NPV(B8193,FCFF!$C$9:$I$9)+FCFF!$B$9+FCFF!$I$9*(1+Inputs!$B$6)/(B8193-Inputs!$B$6)/(1+B8193)^7</f>
        <v>-1295.60546</v>
      </c>
    </row>
    <row r="8194" ht="14.25" customHeight="1">
      <c r="A8194" s="7">
        <v>8181.0</v>
      </c>
      <c r="B8194" s="14">
        <f t="shared" si="1"/>
        <v>0.115974773</v>
      </c>
      <c r="C8194" s="39">
        <f t="array" ref="C8194">NPV(B8194,FCFF!$C$9:$I$9)+FCFF!$B$9+FCFF!$I$9*(1+Inputs!$B$6)/(B8194-Inputs!$B$6)/(1+B8194)^7</f>
        <v>-1750.527802</v>
      </c>
    </row>
    <row r="8195" ht="14.25" customHeight="1">
      <c r="A8195" s="7">
        <v>8182.0</v>
      </c>
      <c r="B8195" s="14">
        <f t="shared" si="1"/>
        <v>0.123671364</v>
      </c>
      <c r="C8195" s="39">
        <f t="array" ref="C8195">NPV(B8195,FCFF!$C$9:$I$9)+FCFF!$B$9+FCFF!$I$9*(1+Inputs!$B$6)/(B8195-Inputs!$B$6)/(1+B8195)^7</f>
        <v>-1881.063036</v>
      </c>
    </row>
    <row r="8196" ht="14.25" customHeight="1">
      <c r="A8196" s="7">
        <v>8183.0</v>
      </c>
      <c r="B8196" s="14">
        <f t="shared" si="1"/>
        <v>0.1131425166</v>
      </c>
      <c r="C8196" s="39">
        <f t="array" ref="C8196">NPV(B8196,FCFF!$C$9:$I$9)+FCFF!$B$9+FCFF!$I$9*(1+Inputs!$B$6)/(B8196-Inputs!$B$6)/(1+B8196)^7</f>
        <v>-1696.074453</v>
      </c>
    </row>
    <row r="8197" ht="14.25" customHeight="1">
      <c r="A8197" s="7">
        <v>8184.0</v>
      </c>
      <c r="B8197" s="14">
        <f t="shared" si="1"/>
        <v>0.09442972685</v>
      </c>
      <c r="C8197" s="39">
        <f t="array" ref="C8197">NPV(B8197,FCFF!$C$9:$I$9)+FCFF!$B$9+FCFF!$I$9*(1+Inputs!$B$6)/(B8197-Inputs!$B$6)/(1+B8197)^7</f>
        <v>-1212.323886</v>
      </c>
    </row>
    <row r="8198" ht="14.25" customHeight="1">
      <c r="A8198" s="7">
        <v>8185.0</v>
      </c>
      <c r="B8198" s="14">
        <f t="shared" si="1"/>
        <v>0.1067151009</v>
      </c>
      <c r="C8198" s="39">
        <f t="array" ref="C8198">NPV(B8198,FCFF!$C$9:$I$9)+FCFF!$B$9+FCFF!$I$9*(1+Inputs!$B$6)/(B8198-Inputs!$B$6)/(1+B8198)^7</f>
        <v>-1556.986134</v>
      </c>
    </row>
    <row r="8199" ht="14.25" customHeight="1">
      <c r="A8199" s="7">
        <v>8186.0</v>
      </c>
      <c r="B8199" s="14">
        <f t="shared" si="1"/>
        <v>0.1143504651</v>
      </c>
      <c r="C8199" s="39">
        <f t="array" ref="C8199">NPV(B8199,FCFF!$C$9:$I$9)+FCFF!$B$9+FCFF!$I$9*(1+Inputs!$B$6)/(B8199-Inputs!$B$6)/(1+B8199)^7</f>
        <v>-1719.765735</v>
      </c>
    </row>
    <row r="8200" ht="14.25" customHeight="1">
      <c r="A8200" s="7">
        <v>8187.0</v>
      </c>
      <c r="B8200" s="14">
        <f t="shared" si="1"/>
        <v>0.1278070051</v>
      </c>
      <c r="C8200" s="39">
        <f t="array" ref="C8200">NPV(B8200,FCFF!$C$9:$I$9)+FCFF!$B$9+FCFF!$I$9*(1+Inputs!$B$6)/(B8200-Inputs!$B$6)/(1+B8200)^7</f>
        <v>-1942.200552</v>
      </c>
    </row>
    <row r="8201" ht="14.25" customHeight="1">
      <c r="A8201" s="7">
        <v>8188.0</v>
      </c>
      <c r="B8201" s="14">
        <f t="shared" si="1"/>
        <v>0.1187817231</v>
      </c>
      <c r="C8201" s="39">
        <f t="array" ref="C8201">NPV(B8201,FCFF!$C$9:$I$9)+FCFF!$B$9+FCFF!$I$9*(1+Inputs!$B$6)/(B8201-Inputs!$B$6)/(1+B8201)^7</f>
        <v>-1800.907218</v>
      </c>
    </row>
    <row r="8202" ht="14.25" customHeight="1">
      <c r="A8202" s="7">
        <v>8189.0</v>
      </c>
      <c r="B8202" s="14">
        <f t="shared" si="1"/>
        <v>0.1095865229</v>
      </c>
      <c r="C8202" s="39">
        <f t="array" ref="C8202">NPV(B8202,FCFF!$C$9:$I$9)+FCFF!$B$9+FCFF!$I$9*(1+Inputs!$B$6)/(B8202-Inputs!$B$6)/(1+B8202)^7</f>
        <v>-1621.988944</v>
      </c>
    </row>
    <row r="8203" ht="14.25" customHeight="1">
      <c r="A8203" s="7">
        <v>8190.0</v>
      </c>
      <c r="B8203" s="14">
        <f t="shared" si="1"/>
        <v>0.1263651786</v>
      </c>
      <c r="C8203" s="39">
        <f t="array" ref="C8203">NPV(B8203,FCFF!$C$9:$I$9)+FCFF!$B$9+FCFF!$I$9*(1+Inputs!$B$6)/(B8203-Inputs!$B$6)/(1+B8203)^7</f>
        <v>-1921.52586</v>
      </c>
    </row>
    <row r="8204" ht="14.25" customHeight="1">
      <c r="A8204" s="7">
        <v>8191.0</v>
      </c>
      <c r="B8204" s="14">
        <f t="shared" si="1"/>
        <v>0.1071759707</v>
      </c>
      <c r="C8204" s="39">
        <f t="array" ref="C8204">NPV(B8204,FCFF!$C$9:$I$9)+FCFF!$B$9+FCFF!$I$9*(1+Inputs!$B$6)/(B8204-Inputs!$B$6)/(1+B8204)^7</f>
        <v>-1567.753982</v>
      </c>
    </row>
    <row r="8205" ht="14.25" customHeight="1">
      <c r="A8205" s="7">
        <v>8192.0</v>
      </c>
      <c r="B8205" s="14">
        <f t="shared" si="1"/>
        <v>0.10238884</v>
      </c>
      <c r="C8205" s="39">
        <f t="array" ref="C8205">NPV(B8205,FCFF!$C$9:$I$9)+FCFF!$B$9+FCFF!$I$9*(1+Inputs!$B$6)/(B8205-Inputs!$B$6)/(1+B8205)^7</f>
        <v>-1449.077998</v>
      </c>
    </row>
    <row r="8206" ht="14.25" customHeight="1">
      <c r="A8206" s="7">
        <v>8193.0</v>
      </c>
      <c r="B8206" s="14">
        <f t="shared" si="1"/>
        <v>0.1290186186</v>
      </c>
      <c r="C8206" s="39">
        <f t="array" ref="C8206">NPV(B8206,FCFF!$C$9:$I$9)+FCFF!$B$9+FCFF!$I$9*(1+Inputs!$B$6)/(B8206-Inputs!$B$6)/(1+B8206)^7</f>
        <v>-1959.072271</v>
      </c>
    </row>
    <row r="8207" ht="14.25" customHeight="1">
      <c r="A8207" s="7">
        <v>8194.0</v>
      </c>
      <c r="B8207" s="14">
        <f t="shared" si="1"/>
        <v>0.1097005032</v>
      </c>
      <c r="C8207" s="39">
        <f t="array" ref="C8207">NPV(B8207,FCFF!$C$9:$I$9)+FCFF!$B$9+FCFF!$I$9*(1+Inputs!$B$6)/(B8207-Inputs!$B$6)/(1+B8207)^7</f>
        <v>-1624.469776</v>
      </c>
    </row>
    <row r="8208" ht="14.25" customHeight="1">
      <c r="A8208" s="7">
        <v>8195.0</v>
      </c>
      <c r="B8208" s="14">
        <f t="shared" si="1"/>
        <v>0.1161710485</v>
      </c>
      <c r="C8208" s="39">
        <f t="array" ref="C8208">NPV(B8208,FCFF!$C$9:$I$9)+FCFF!$B$9+FCFF!$I$9*(1+Inputs!$B$6)/(B8208-Inputs!$B$6)/(1+B8208)^7</f>
        <v>-1754.162783</v>
      </c>
    </row>
    <row r="8209" ht="14.25" customHeight="1">
      <c r="A8209" s="7">
        <v>8196.0</v>
      </c>
      <c r="B8209" s="14">
        <f t="shared" si="1"/>
        <v>0.1096483569</v>
      </c>
      <c r="C8209" s="39">
        <f t="array" ref="C8209">NPV(B8209,FCFF!$C$9:$I$9)+FCFF!$B$9+FCFF!$I$9*(1+Inputs!$B$6)/(B8209-Inputs!$B$6)/(1+B8209)^7</f>
        <v>-1623.335698</v>
      </c>
    </row>
    <row r="8210" ht="14.25" customHeight="1">
      <c r="A8210" s="7">
        <v>8197.0</v>
      </c>
      <c r="B8210" s="14">
        <f t="shared" si="1"/>
        <v>0.1026857494</v>
      </c>
      <c r="C8210" s="39">
        <f t="array" ref="C8210">NPV(B8210,FCFF!$C$9:$I$9)+FCFF!$B$9+FCFF!$I$9*(1+Inputs!$B$6)/(B8210-Inputs!$B$6)/(1+B8210)^7</f>
        <v>-1456.901228</v>
      </c>
    </row>
    <row r="8211" ht="14.25" customHeight="1">
      <c r="A8211" s="7">
        <v>8198.0</v>
      </c>
      <c r="B8211" s="14">
        <f t="shared" si="1"/>
        <v>0.09723228358</v>
      </c>
      <c r="C8211" s="39">
        <f t="array" ref="C8211">NPV(B8211,FCFF!$C$9:$I$9)+FCFF!$B$9+FCFF!$I$9*(1+Inputs!$B$6)/(B8211-Inputs!$B$6)/(1+B8211)^7</f>
        <v>-1302.090105</v>
      </c>
    </row>
    <row r="8212" ht="14.25" customHeight="1">
      <c r="A8212" s="7">
        <v>8199.0</v>
      </c>
      <c r="B8212" s="14">
        <f t="shared" si="1"/>
        <v>0.1262443662</v>
      </c>
      <c r="C8212" s="39">
        <f t="array" ref="C8212">NPV(B8212,FCFF!$C$9:$I$9)+FCFF!$B$9+FCFF!$I$9*(1+Inputs!$B$6)/(B8212-Inputs!$B$6)/(1+B8212)^7</f>
        <v>-1919.763204</v>
      </c>
    </row>
    <row r="8213" ht="14.25" customHeight="1">
      <c r="A8213" s="7">
        <v>8200.0</v>
      </c>
      <c r="B8213" s="14">
        <f t="shared" si="1"/>
        <v>0.1230193035</v>
      </c>
      <c r="C8213" s="39">
        <f t="array" ref="C8213">NPV(B8213,FCFF!$C$9:$I$9)+FCFF!$B$9+FCFF!$I$9*(1+Inputs!$B$6)/(B8213-Inputs!$B$6)/(1+B8213)^7</f>
        <v>-1870.891263</v>
      </c>
    </row>
    <row r="8214" ht="14.25" customHeight="1">
      <c r="A8214" s="7">
        <v>8201.0</v>
      </c>
      <c r="B8214" s="14">
        <f t="shared" si="1"/>
        <v>0.1039950496</v>
      </c>
      <c r="C8214" s="39">
        <f t="array" ref="C8214">NPV(B8214,FCFF!$C$9:$I$9)+FCFF!$B$9+FCFF!$I$9*(1+Inputs!$B$6)/(B8214-Inputs!$B$6)/(1+B8214)^7</f>
        <v>-1490.64027</v>
      </c>
    </row>
    <row r="8215" ht="14.25" customHeight="1">
      <c r="A8215" s="7">
        <v>8202.0</v>
      </c>
      <c r="B8215" s="14">
        <f t="shared" si="1"/>
        <v>0.1127196698</v>
      </c>
      <c r="C8215" s="39">
        <f t="array" ref="C8215">NPV(B8215,FCFF!$C$9:$I$9)+FCFF!$B$9+FCFF!$I$9*(1+Inputs!$B$6)/(B8215-Inputs!$B$6)/(1+B8215)^7</f>
        <v>-1687.610881</v>
      </c>
    </row>
    <row r="8216" ht="14.25" customHeight="1">
      <c r="A8216" s="7">
        <v>8203.0</v>
      </c>
      <c r="B8216" s="14">
        <f t="shared" si="1"/>
        <v>0.1127705013</v>
      </c>
      <c r="C8216" s="39">
        <f t="array" ref="C8216">NPV(B8216,FCFF!$C$9:$I$9)+FCFF!$B$9+FCFF!$I$9*(1+Inputs!$B$6)/(B8216-Inputs!$B$6)/(1+B8216)^7</f>
        <v>-1688.633066</v>
      </c>
    </row>
    <row r="8217" ht="14.25" customHeight="1">
      <c r="A8217" s="7">
        <v>8204.0</v>
      </c>
      <c r="B8217" s="14">
        <f t="shared" si="1"/>
        <v>0.1100816261</v>
      </c>
      <c r="C8217" s="39">
        <f t="array" ref="C8217">NPV(B8217,FCFF!$C$9:$I$9)+FCFF!$B$9+FCFF!$I$9*(1+Inputs!$B$6)/(B8217-Inputs!$B$6)/(1+B8217)^7</f>
        <v>-1632.712163</v>
      </c>
    </row>
    <row r="8218" ht="14.25" customHeight="1">
      <c r="A8218" s="7">
        <v>8205.0</v>
      </c>
      <c r="B8218" s="14">
        <f t="shared" si="1"/>
        <v>0.1122744953</v>
      </c>
      <c r="C8218" s="39">
        <f t="array" ref="C8218">NPV(B8218,FCFF!$C$9:$I$9)+FCFF!$B$9+FCFF!$I$9*(1+Inputs!$B$6)/(B8218-Inputs!$B$6)/(1+B8218)^7</f>
        <v>-1678.602637</v>
      </c>
    </row>
    <row r="8219" ht="14.25" customHeight="1">
      <c r="A8219" s="7">
        <v>8206.0</v>
      </c>
      <c r="B8219" s="14">
        <f t="shared" si="1"/>
        <v>0.1195130896</v>
      </c>
      <c r="C8219" s="39">
        <f t="array" ref="C8219">NPV(B8219,FCFF!$C$9:$I$9)+FCFF!$B$9+FCFF!$I$9*(1+Inputs!$B$6)/(B8219-Inputs!$B$6)/(1+B8219)^7</f>
        <v>-1813.487558</v>
      </c>
    </row>
    <row r="8220" ht="14.25" customHeight="1">
      <c r="A8220" s="7">
        <v>8207.0</v>
      </c>
      <c r="B8220" s="14">
        <f t="shared" si="1"/>
        <v>0.0993066046</v>
      </c>
      <c r="C8220" s="39">
        <f t="array" ref="C8220">NPV(B8220,FCFF!$C$9:$I$9)+FCFF!$B$9+FCFF!$I$9*(1+Inputs!$B$6)/(B8220-Inputs!$B$6)/(1+B8220)^7</f>
        <v>-1363.862768</v>
      </c>
    </row>
    <row r="8221" ht="14.25" customHeight="1">
      <c r="A8221" s="7">
        <v>8208.0</v>
      </c>
      <c r="B8221" s="14">
        <f t="shared" si="1"/>
        <v>0.09427292167</v>
      </c>
      <c r="C8221" s="39">
        <f t="array" ref="C8221">NPV(B8221,FCFF!$C$9:$I$9)+FCFF!$B$9+FCFF!$I$9*(1+Inputs!$B$6)/(B8221-Inputs!$B$6)/(1+B8221)^7</f>
        <v>-1207.071561</v>
      </c>
    </row>
    <row r="8222" ht="14.25" customHeight="1">
      <c r="A8222" s="7">
        <v>8209.0</v>
      </c>
      <c r="B8222" s="14">
        <f t="shared" si="1"/>
        <v>0.1036554409</v>
      </c>
      <c r="C8222" s="39">
        <f t="array" ref="C8222">NPV(B8222,FCFF!$C$9:$I$9)+FCFF!$B$9+FCFF!$I$9*(1+Inputs!$B$6)/(B8222-Inputs!$B$6)/(1+B8222)^7</f>
        <v>-1482.005978</v>
      </c>
    </row>
    <row r="8223" ht="14.25" customHeight="1">
      <c r="A8223" s="7">
        <v>8210.0</v>
      </c>
      <c r="B8223" s="14">
        <f t="shared" si="1"/>
        <v>0.1000131528</v>
      </c>
      <c r="C8223" s="39">
        <f t="array" ref="C8223">NPV(B8223,FCFF!$C$9:$I$9)+FCFF!$B$9+FCFF!$I$9*(1+Inputs!$B$6)/(B8223-Inputs!$B$6)/(1+B8223)^7</f>
        <v>-1384.065017</v>
      </c>
    </row>
    <row r="8224" ht="14.25" customHeight="1">
      <c r="A8224" s="7">
        <v>8211.0</v>
      </c>
      <c r="B8224" s="14">
        <f t="shared" si="1"/>
        <v>0.09306273936</v>
      </c>
      <c r="C8224" s="39">
        <f t="array" ref="C8224">NPV(B8224,FCFF!$C$9:$I$9)+FCFF!$B$9+FCFF!$I$9*(1+Inputs!$B$6)/(B8224-Inputs!$B$6)/(1+B8224)^7</f>
        <v>-1165.66546</v>
      </c>
    </row>
    <row r="8225" ht="14.25" customHeight="1">
      <c r="A8225" s="7">
        <v>8212.0</v>
      </c>
      <c r="B8225" s="14">
        <f t="shared" si="1"/>
        <v>0.100842028</v>
      </c>
      <c r="C8225" s="39">
        <f t="array" ref="C8225">NPV(B8225,FCFF!$C$9:$I$9)+FCFF!$B$9+FCFF!$I$9*(1+Inputs!$B$6)/(B8225-Inputs!$B$6)/(1+B8225)^7</f>
        <v>-1407.247909</v>
      </c>
    </row>
    <row r="8226" ht="14.25" customHeight="1">
      <c r="A8226" s="7">
        <v>8213.0</v>
      </c>
      <c r="B8226" s="14">
        <f t="shared" si="1"/>
        <v>0.1149018179</v>
      </c>
      <c r="C8226" s="39">
        <f t="array" ref="C8226">NPV(B8226,FCFF!$C$9:$I$9)+FCFF!$B$9+FCFF!$I$9*(1+Inputs!$B$6)/(B8226-Inputs!$B$6)/(1+B8226)^7</f>
        <v>-1730.3456</v>
      </c>
    </row>
    <row r="8227" ht="14.25" customHeight="1">
      <c r="A8227" s="7">
        <v>8214.0</v>
      </c>
      <c r="B8227" s="14">
        <f t="shared" si="1"/>
        <v>0.1179861847</v>
      </c>
      <c r="C8227" s="39">
        <f t="array" ref="C8227">NPV(B8227,FCFF!$C$9:$I$9)+FCFF!$B$9+FCFF!$I$9*(1+Inputs!$B$6)/(B8227-Inputs!$B$6)/(1+B8227)^7</f>
        <v>-1786.972262</v>
      </c>
    </row>
    <row r="8228" ht="14.25" customHeight="1">
      <c r="A8228" s="7">
        <v>8215.0</v>
      </c>
      <c r="B8228" s="14">
        <f t="shared" si="1"/>
        <v>0.09330729028</v>
      </c>
      <c r="C8228" s="39">
        <f t="array" ref="C8228">NPV(B8228,FCFF!$C$9:$I$9)+FCFF!$B$9+FCFF!$I$9*(1+Inputs!$B$6)/(B8228-Inputs!$B$6)/(1+B8228)^7</f>
        <v>-1174.158959</v>
      </c>
    </row>
    <row r="8229" ht="14.25" customHeight="1">
      <c r="A8229" s="7">
        <v>8216.0</v>
      </c>
      <c r="B8229" s="14">
        <f t="shared" si="1"/>
        <v>0.1147541043</v>
      </c>
      <c r="C8229" s="39">
        <f t="array" ref="C8229">NPV(B8229,FCFF!$C$9:$I$9)+FCFF!$B$9+FCFF!$I$9*(1+Inputs!$B$6)/(B8229-Inputs!$B$6)/(1+B8229)^7</f>
        <v>-1727.525239</v>
      </c>
    </row>
    <row r="8230" ht="14.25" customHeight="1">
      <c r="A8230" s="7">
        <v>8217.0</v>
      </c>
      <c r="B8230" s="14">
        <f t="shared" si="1"/>
        <v>0.1179460079</v>
      </c>
      <c r="C8230" s="39">
        <f t="array" ref="C8230">NPV(B8230,FCFF!$C$9:$I$9)+FCFF!$B$9+FCFF!$I$9*(1+Inputs!$B$6)/(B8230-Inputs!$B$6)/(1+B8230)^7</f>
        <v>-1786.261458</v>
      </c>
    </row>
    <row r="8231" ht="14.25" customHeight="1">
      <c r="A8231" s="7">
        <v>8218.0</v>
      </c>
      <c r="B8231" s="14">
        <f t="shared" si="1"/>
        <v>0.1141624264</v>
      </c>
      <c r="C8231" s="39">
        <f t="array" ref="C8231">NPV(B8231,FCFF!$C$9:$I$9)+FCFF!$B$9+FCFF!$I$9*(1+Inputs!$B$6)/(B8231-Inputs!$B$6)/(1+B8231)^7</f>
        <v>-1716.124365</v>
      </c>
    </row>
    <row r="8232" ht="14.25" customHeight="1">
      <c r="A8232" s="7">
        <v>8219.0</v>
      </c>
      <c r="B8232" s="14">
        <f t="shared" si="1"/>
        <v>0.09806509555</v>
      </c>
      <c r="C8232" s="39">
        <f t="array" ref="C8232">NPV(B8232,FCFF!$C$9:$I$9)+FCFF!$B$9+FCFF!$I$9*(1+Inputs!$B$6)/(B8232-Inputs!$B$6)/(1+B8232)^7</f>
        <v>-1327.344146</v>
      </c>
    </row>
    <row r="8233" ht="14.25" customHeight="1">
      <c r="A8233" s="7">
        <v>8220.0</v>
      </c>
      <c r="B8233" s="14">
        <f t="shared" si="1"/>
        <v>0.1287271265</v>
      </c>
      <c r="C8233" s="39">
        <f t="array" ref="C8233">NPV(B8233,FCFF!$C$9:$I$9)+FCFF!$B$9+FCFF!$I$9*(1+Inputs!$B$6)/(B8233-Inputs!$B$6)/(1+B8233)^7</f>
        <v>-1955.054139</v>
      </c>
    </row>
    <row r="8234" ht="14.25" customHeight="1">
      <c r="A8234" s="7">
        <v>8221.0</v>
      </c>
      <c r="B8234" s="14">
        <f t="shared" si="1"/>
        <v>0.09464920728</v>
      </c>
      <c r="C8234" s="39">
        <f t="array" ref="C8234">NPV(B8234,FCFF!$C$9:$I$9)+FCFF!$B$9+FCFF!$I$9*(1+Inputs!$B$6)/(B8234-Inputs!$B$6)/(1+B8234)^7</f>
        <v>-1219.633137</v>
      </c>
    </row>
    <row r="8235" ht="14.25" customHeight="1">
      <c r="A8235" s="7">
        <v>8222.0</v>
      </c>
      <c r="B8235" s="14">
        <f t="shared" si="1"/>
        <v>0.1001132328</v>
      </c>
      <c r="C8235" s="39">
        <f t="array" ref="C8235">NPV(B8235,FCFF!$C$9:$I$9)+FCFF!$B$9+FCFF!$I$9*(1+Inputs!$B$6)/(B8235-Inputs!$B$6)/(1+B8235)^7</f>
        <v>-1386.893476</v>
      </c>
    </row>
    <row r="8236" ht="14.25" customHeight="1">
      <c r="A8236" s="7">
        <v>8223.0</v>
      </c>
      <c r="B8236" s="14">
        <f t="shared" si="1"/>
        <v>0.1243488</v>
      </c>
      <c r="C8236" s="39">
        <f t="array" ref="C8236">NPV(B8236,FCFF!$C$9:$I$9)+FCFF!$B$9+FCFF!$I$9*(1+Inputs!$B$6)/(B8236-Inputs!$B$6)/(1+B8236)^7</f>
        <v>-1891.471625</v>
      </c>
    </row>
    <row r="8237" ht="14.25" customHeight="1">
      <c r="A8237" s="7">
        <v>8224.0</v>
      </c>
      <c r="B8237" s="14">
        <f t="shared" si="1"/>
        <v>0.09727504319</v>
      </c>
      <c r="C8237" s="39">
        <f t="array" ref="C8237">NPV(B8237,FCFF!$C$9:$I$9)+FCFF!$B$9+FCFF!$I$9*(1+Inputs!$B$6)/(B8237-Inputs!$B$6)/(1+B8237)^7</f>
        <v>-1303.401966</v>
      </c>
    </row>
    <row r="8238" ht="14.25" customHeight="1">
      <c r="A8238" s="7">
        <v>8225.0</v>
      </c>
      <c r="B8238" s="14">
        <f t="shared" si="1"/>
        <v>0.09931192396</v>
      </c>
      <c r="C8238" s="39">
        <f t="array" ref="C8238">NPV(B8238,FCFF!$C$9:$I$9)+FCFF!$B$9+FCFF!$I$9*(1+Inputs!$B$6)/(B8238-Inputs!$B$6)/(1+B8238)^7</f>
        <v>-1364.01641</v>
      </c>
    </row>
    <row r="8239" ht="14.25" customHeight="1">
      <c r="A8239" s="7">
        <v>8226.0</v>
      </c>
      <c r="B8239" s="14">
        <f t="shared" si="1"/>
        <v>0.1062239199</v>
      </c>
      <c r="C8239" s="39">
        <f t="array" ref="C8239">NPV(B8239,FCFF!$C$9:$I$9)+FCFF!$B$9+FCFF!$I$9*(1+Inputs!$B$6)/(B8239-Inputs!$B$6)/(1+B8239)^7</f>
        <v>-1545.363274</v>
      </c>
    </row>
    <row r="8240" ht="14.25" customHeight="1">
      <c r="A8240" s="7">
        <v>8227.0</v>
      </c>
      <c r="B8240" s="14">
        <f t="shared" si="1"/>
        <v>0.09329670076</v>
      </c>
      <c r="C8240" s="39">
        <f t="array" ref="C8240">NPV(B8240,FCFF!$C$9:$I$9)+FCFF!$B$9+FCFF!$I$9*(1+Inputs!$B$6)/(B8240-Inputs!$B$6)/(1+B8240)^7</f>
        <v>-1173.792518</v>
      </c>
    </row>
    <row r="8241" ht="14.25" customHeight="1">
      <c r="A8241" s="7">
        <v>8228.0</v>
      </c>
      <c r="B8241" s="14">
        <f t="shared" si="1"/>
        <v>0.1065781506</v>
      </c>
      <c r="C8241" s="39">
        <f t="array" ref="C8241">NPV(B8241,FCFF!$C$9:$I$9)+FCFF!$B$9+FCFF!$I$9*(1+Inputs!$B$6)/(B8241-Inputs!$B$6)/(1+B8241)^7</f>
        <v>-1553.760811</v>
      </c>
    </row>
    <row r="8242" ht="14.25" customHeight="1">
      <c r="A8242" s="7">
        <v>8229.0</v>
      </c>
      <c r="B8242" s="14">
        <f t="shared" si="1"/>
        <v>0.100718054</v>
      </c>
      <c r="C8242" s="39">
        <f t="array" ref="C8242">NPV(B8242,FCFF!$C$9:$I$9)+FCFF!$B$9+FCFF!$I$9*(1+Inputs!$B$6)/(B8242-Inputs!$B$6)/(1+B8242)^7</f>
        <v>-1403.815302</v>
      </c>
    </row>
    <row r="8243" ht="14.25" customHeight="1">
      <c r="A8243" s="7">
        <v>8230.0</v>
      </c>
      <c r="B8243" s="14">
        <f t="shared" si="1"/>
        <v>0.1066492194</v>
      </c>
      <c r="C8243" s="39">
        <f t="array" ref="C8243">NPV(B8243,FCFF!$C$9:$I$9)+FCFF!$B$9+FCFF!$I$9*(1+Inputs!$B$6)/(B8243-Inputs!$B$6)/(1+B8243)^7</f>
        <v>-1555.43603</v>
      </c>
    </row>
    <row r="8244" ht="14.25" customHeight="1">
      <c r="A8244" s="7">
        <v>8231.0</v>
      </c>
      <c r="B8244" s="14">
        <f t="shared" si="1"/>
        <v>0.09397320853</v>
      </c>
      <c r="C8244" s="39">
        <f t="array" ref="C8244">NPV(B8244,FCFF!$C$9:$I$9)+FCFF!$B$9+FCFF!$I$9*(1+Inputs!$B$6)/(B8244-Inputs!$B$6)/(1+B8244)^7</f>
        <v>-1196.961413</v>
      </c>
    </row>
    <row r="8245" ht="14.25" customHeight="1">
      <c r="A8245" s="7">
        <v>8232.0</v>
      </c>
      <c r="B8245" s="14">
        <f t="shared" si="1"/>
        <v>0.120196547</v>
      </c>
      <c r="C8245" s="39">
        <f t="array" ref="C8245">NPV(B8245,FCFF!$C$9:$I$9)+FCFF!$B$9+FCFF!$I$9*(1+Inputs!$B$6)/(B8245-Inputs!$B$6)/(1+B8245)^7</f>
        <v>-1825.048888</v>
      </c>
    </row>
    <row r="8246" ht="14.25" customHeight="1">
      <c r="A8246" s="7">
        <v>8233.0</v>
      </c>
      <c r="B8246" s="14">
        <f t="shared" si="1"/>
        <v>0.1260037871</v>
      </c>
      <c r="C8246" s="39">
        <f t="array" ref="C8246">NPV(B8246,FCFF!$C$9:$I$9)+FCFF!$B$9+FCFF!$I$9*(1+Inputs!$B$6)/(B8246-Inputs!$B$6)/(1+B8246)^7</f>
        <v>-1916.238942</v>
      </c>
    </row>
    <row r="8247" ht="14.25" customHeight="1">
      <c r="A8247" s="7">
        <v>8234.0</v>
      </c>
      <c r="B8247" s="14">
        <f t="shared" si="1"/>
        <v>0.1074586358</v>
      </c>
      <c r="C8247" s="39">
        <f t="array" ref="C8247">NPV(B8247,FCFF!$C$9:$I$9)+FCFF!$B$9+FCFF!$I$9*(1+Inputs!$B$6)/(B8247-Inputs!$B$6)/(1+B8247)^7</f>
        <v>-1574.293238</v>
      </c>
    </row>
    <row r="8248" ht="14.25" customHeight="1">
      <c r="A8248" s="7">
        <v>8235.0</v>
      </c>
      <c r="B8248" s="14">
        <f t="shared" si="1"/>
        <v>0.1082208156</v>
      </c>
      <c r="C8248" s="39">
        <f t="array" ref="C8248">NPV(B8248,FCFF!$C$9:$I$9)+FCFF!$B$9+FCFF!$I$9*(1+Inputs!$B$6)/(B8248-Inputs!$B$6)/(1+B8248)^7</f>
        <v>-1591.684006</v>
      </c>
    </row>
    <row r="8249" ht="14.25" customHeight="1">
      <c r="A8249" s="7">
        <v>8236.0</v>
      </c>
      <c r="B8249" s="14">
        <f t="shared" si="1"/>
        <v>0.1070878651</v>
      </c>
      <c r="C8249" s="39">
        <f t="array" ref="C8249">NPV(B8249,FCFF!$C$9:$I$9)+FCFF!$B$9+FCFF!$I$9*(1+Inputs!$B$6)/(B8249-Inputs!$B$6)/(1+B8249)^7</f>
        <v>-1565.705667</v>
      </c>
    </row>
    <row r="8250" ht="14.25" customHeight="1">
      <c r="A8250" s="7">
        <v>8237.0</v>
      </c>
      <c r="B8250" s="14">
        <f t="shared" si="1"/>
        <v>0.1254004277</v>
      </c>
      <c r="C8250" s="39">
        <f t="array" ref="C8250">NPV(B8250,FCFF!$C$9:$I$9)+FCFF!$B$9+FCFF!$I$9*(1+Inputs!$B$6)/(B8250-Inputs!$B$6)/(1+B8250)^7</f>
        <v>-1907.316257</v>
      </c>
    </row>
    <row r="8251" ht="14.25" customHeight="1">
      <c r="A8251" s="7">
        <v>8238.0</v>
      </c>
      <c r="B8251" s="14">
        <f t="shared" si="1"/>
        <v>0.1237492629</v>
      </c>
      <c r="C8251" s="39">
        <f t="array" ref="C8251">NPV(B8251,FCFF!$C$9:$I$9)+FCFF!$B$9+FCFF!$I$9*(1+Inputs!$B$6)/(B8251-Inputs!$B$6)/(1+B8251)^7</f>
        <v>-1882.268111</v>
      </c>
    </row>
    <row r="8252" ht="14.25" customHeight="1">
      <c r="A8252" s="7">
        <v>8239.0</v>
      </c>
      <c r="B8252" s="14">
        <f t="shared" si="1"/>
        <v>0.1138353327</v>
      </c>
      <c r="C8252" s="39">
        <f t="array" ref="C8252">NPV(B8252,FCFF!$C$9:$I$9)+FCFF!$B$9+FCFF!$I$9*(1+Inputs!$B$6)/(B8252-Inputs!$B$6)/(1+B8252)^7</f>
        <v>-1709.749575</v>
      </c>
    </row>
    <row r="8253" ht="14.25" customHeight="1">
      <c r="A8253" s="7">
        <v>8240.0</v>
      </c>
      <c r="B8253" s="14">
        <f t="shared" si="1"/>
        <v>0.1210857586</v>
      </c>
      <c r="C8253" s="39">
        <f t="array" ref="C8253">NPV(B8253,FCFF!$C$9:$I$9)+FCFF!$B$9+FCFF!$I$9*(1+Inputs!$B$6)/(B8253-Inputs!$B$6)/(1+B8253)^7</f>
        <v>-1839.815735</v>
      </c>
    </row>
    <row r="8254" ht="14.25" customHeight="1">
      <c r="A8254" s="7">
        <v>8241.0</v>
      </c>
      <c r="B8254" s="14">
        <f t="shared" si="1"/>
        <v>0.1199080095</v>
      </c>
      <c r="C8254" s="39">
        <f t="array" ref="C8254">NPV(B8254,FCFF!$C$9:$I$9)+FCFF!$B$9+FCFF!$I$9*(1+Inputs!$B$6)/(B8254-Inputs!$B$6)/(1+B8254)^7</f>
        <v>-1820.190694</v>
      </c>
    </row>
    <row r="8255" ht="14.25" customHeight="1">
      <c r="A8255" s="7">
        <v>8242.0</v>
      </c>
      <c r="B8255" s="14">
        <f t="shared" si="1"/>
        <v>0.127323985</v>
      </c>
      <c r="C8255" s="39">
        <f t="array" ref="C8255">NPV(B8255,FCFF!$C$9:$I$9)+FCFF!$B$9+FCFF!$I$9*(1+Inputs!$B$6)/(B8255-Inputs!$B$6)/(1+B8255)^7</f>
        <v>-1935.347936</v>
      </c>
    </row>
    <row r="8256" ht="14.25" customHeight="1">
      <c r="A8256" s="7">
        <v>8243.0</v>
      </c>
      <c r="B8256" s="14">
        <f t="shared" si="1"/>
        <v>0.1044688958</v>
      </c>
      <c r="C8256" s="39">
        <f t="array" ref="C8256">NPV(B8256,FCFF!$C$9:$I$9)+FCFF!$B$9+FCFF!$I$9*(1+Inputs!$B$6)/(B8256-Inputs!$B$6)/(1+B8256)^7</f>
        <v>-1502.553612</v>
      </c>
    </row>
    <row r="8257" ht="14.25" customHeight="1">
      <c r="A8257" s="7">
        <v>8244.0</v>
      </c>
      <c r="B8257" s="14">
        <f t="shared" si="1"/>
        <v>0.09994095894</v>
      </c>
      <c r="C8257" s="39">
        <f t="array" ref="C8257">NPV(B8257,FCFF!$C$9:$I$9)+FCFF!$B$9+FCFF!$I$9*(1+Inputs!$B$6)/(B8257-Inputs!$B$6)/(1+B8257)^7</f>
        <v>-1382.019619</v>
      </c>
    </row>
    <row r="8258" ht="14.25" customHeight="1">
      <c r="A8258" s="7">
        <v>8245.0</v>
      </c>
      <c r="B8258" s="14">
        <f t="shared" si="1"/>
        <v>0.103214395</v>
      </c>
      <c r="C8258" s="39">
        <f t="array" ref="C8258">NPV(B8258,FCFF!$C$9:$I$9)+FCFF!$B$9+FCFF!$I$9*(1+Inputs!$B$6)/(B8258-Inputs!$B$6)/(1+B8258)^7</f>
        <v>-1470.671231</v>
      </c>
    </row>
    <row r="8259" ht="14.25" customHeight="1">
      <c r="A8259" s="7">
        <v>8246.0</v>
      </c>
      <c r="B8259" s="14">
        <f t="shared" si="1"/>
        <v>0.09860326981</v>
      </c>
      <c r="C8259" s="39">
        <f t="array" ref="C8259">NPV(B8259,FCFF!$C$9:$I$9)+FCFF!$B$9+FCFF!$I$9*(1+Inputs!$B$6)/(B8259-Inputs!$B$6)/(1+B8259)^7</f>
        <v>-1343.337156</v>
      </c>
    </row>
    <row r="8260" ht="14.25" customHeight="1">
      <c r="A8260" s="7">
        <v>8247.0</v>
      </c>
      <c r="B8260" s="14">
        <f t="shared" si="1"/>
        <v>0.132048136</v>
      </c>
      <c r="C8260" s="39">
        <f t="array" ref="C8260">NPV(B8260,FCFF!$C$9:$I$9)+FCFF!$B$9+FCFF!$I$9*(1+Inputs!$B$6)/(B8260-Inputs!$B$6)/(1+B8260)^7</f>
        <v>-1999.361334</v>
      </c>
    </row>
    <row r="8261" ht="14.25" customHeight="1">
      <c r="A8261" s="7">
        <v>8248.0</v>
      </c>
      <c r="B8261" s="14">
        <f t="shared" si="1"/>
        <v>0.1072220243</v>
      </c>
      <c r="C8261" s="39">
        <f t="array" ref="C8261">NPV(B8261,FCFF!$C$9:$I$9)+FCFF!$B$9+FCFF!$I$9*(1+Inputs!$B$6)/(B8261-Inputs!$B$6)/(1+B8261)^7</f>
        <v>-1568.822747</v>
      </c>
    </row>
    <row r="8262" ht="14.25" customHeight="1">
      <c r="A8262" s="7">
        <v>8249.0</v>
      </c>
      <c r="B8262" s="14">
        <f t="shared" si="1"/>
        <v>0.1246823852</v>
      </c>
      <c r="C8262" s="39">
        <f t="array" ref="C8262">NPV(B8262,FCFF!$C$9:$I$9)+FCFF!$B$9+FCFF!$I$9*(1+Inputs!$B$6)/(B8262-Inputs!$B$6)/(1+B8262)^7</f>
        <v>-1896.538519</v>
      </c>
    </row>
    <row r="8263" ht="14.25" customHeight="1">
      <c r="A8263" s="7">
        <v>8250.0</v>
      </c>
      <c r="B8263" s="14">
        <f t="shared" si="1"/>
        <v>0.1047590661</v>
      </c>
      <c r="C8263" s="39">
        <f t="array" ref="C8263">NPV(B8263,FCFF!$C$9:$I$9)+FCFF!$B$9+FCFF!$I$9*(1+Inputs!$B$6)/(B8263-Inputs!$B$6)/(1+B8263)^7</f>
        <v>-1509.773113</v>
      </c>
    </row>
    <row r="8264" ht="14.25" customHeight="1">
      <c r="A8264" s="7">
        <v>8251.0</v>
      </c>
      <c r="B8264" s="14">
        <f t="shared" si="1"/>
        <v>0.1111276479</v>
      </c>
      <c r="C8264" s="39">
        <f t="array" ref="C8264">NPV(B8264,FCFF!$C$9:$I$9)+FCFF!$B$9+FCFF!$I$9*(1+Inputs!$B$6)/(B8264-Inputs!$B$6)/(1+B8264)^7</f>
        <v>-1654.922909</v>
      </c>
    </row>
    <row r="8265" ht="14.25" customHeight="1">
      <c r="A8265" s="7">
        <v>8252.0</v>
      </c>
      <c r="B8265" s="14">
        <f t="shared" si="1"/>
        <v>0.1318182012</v>
      </c>
      <c r="C8265" s="39">
        <f t="array" ref="C8265">NPV(B8265,FCFF!$C$9:$I$9)+FCFF!$B$9+FCFF!$I$9*(1+Inputs!$B$6)/(B8265-Inputs!$B$6)/(1+B8265)^7</f>
        <v>-1996.394856</v>
      </c>
    </row>
    <row r="8266" ht="14.25" customHeight="1">
      <c r="A8266" s="7">
        <v>8253.0</v>
      </c>
      <c r="B8266" s="14">
        <f t="shared" si="1"/>
        <v>0.1019851438</v>
      </c>
      <c r="C8266" s="39">
        <f t="array" ref="C8266">NPV(B8266,FCFF!$C$9:$I$9)+FCFF!$B$9+FCFF!$I$9*(1+Inputs!$B$6)/(B8266-Inputs!$B$6)/(1+B8266)^7</f>
        <v>-1438.33621</v>
      </c>
    </row>
    <row r="8267" ht="14.25" customHeight="1">
      <c r="A8267" s="7">
        <v>8254.0</v>
      </c>
      <c r="B8267" s="14">
        <f t="shared" si="1"/>
        <v>0.1306296667</v>
      </c>
      <c r="C8267" s="39">
        <f t="array" ref="C8267">NPV(B8267,FCFF!$C$9:$I$9)+FCFF!$B$9+FCFF!$I$9*(1+Inputs!$B$6)/(B8267-Inputs!$B$6)/(1+B8267)^7</f>
        <v>-1980.825504</v>
      </c>
    </row>
    <row r="8268" ht="14.25" customHeight="1">
      <c r="A8268" s="7">
        <v>8255.0</v>
      </c>
      <c r="B8268" s="14">
        <f t="shared" si="1"/>
        <v>0.1044817499</v>
      </c>
      <c r="C8268" s="39">
        <f t="array" ref="C8268">NPV(B8268,FCFF!$C$9:$I$9)+FCFF!$B$9+FCFF!$I$9*(1+Inputs!$B$6)/(B8268-Inputs!$B$6)/(1+B8268)^7</f>
        <v>-1502.874638</v>
      </c>
    </row>
    <row r="8269" ht="14.25" customHeight="1">
      <c r="A8269" s="7">
        <v>8256.0</v>
      </c>
      <c r="B8269" s="14">
        <f t="shared" si="1"/>
        <v>0.1074821558</v>
      </c>
      <c r="C8269" s="39">
        <f t="array" ref="C8269">NPV(B8269,FCFF!$C$9:$I$9)+FCFF!$B$9+FCFF!$I$9*(1+Inputs!$B$6)/(B8269-Inputs!$B$6)/(1+B8269)^7</f>
        <v>-1574.835151</v>
      </c>
    </row>
    <row r="8270" ht="14.25" customHeight="1">
      <c r="A8270" s="7">
        <v>8257.0</v>
      </c>
      <c r="B8270" s="14">
        <f t="shared" si="1"/>
        <v>0.1199780832</v>
      </c>
      <c r="C8270" s="39">
        <f t="array" ref="C8270">NPV(B8270,FCFF!$C$9:$I$9)+FCFF!$B$9+FCFF!$I$9*(1+Inputs!$B$6)/(B8270-Inputs!$B$6)/(1+B8270)^7</f>
        <v>-1821.37358</v>
      </c>
    </row>
    <row r="8271" ht="14.25" customHeight="1">
      <c r="A8271" s="7">
        <v>8258.0</v>
      </c>
      <c r="B8271" s="14">
        <f t="shared" si="1"/>
        <v>0.1297946619</v>
      </c>
      <c r="C8271" s="39">
        <f t="array" ref="C8271">NPV(B8271,FCFF!$C$9:$I$9)+FCFF!$B$9+FCFF!$I$9*(1+Inputs!$B$6)/(B8271-Inputs!$B$6)/(1+B8271)^7</f>
        <v>-1969.645927</v>
      </c>
    </row>
    <row r="8272" ht="14.25" customHeight="1">
      <c r="A8272" s="7">
        <v>8259.0</v>
      </c>
      <c r="B8272" s="14">
        <f t="shared" si="1"/>
        <v>0.09537032598</v>
      </c>
      <c r="C8272" s="39">
        <f t="array" ref="C8272">NPV(B8272,FCFF!$C$9:$I$9)+FCFF!$B$9+FCFF!$I$9*(1+Inputs!$B$6)/(B8272-Inputs!$B$6)/(1+B8272)^7</f>
        <v>-1243.305171</v>
      </c>
    </row>
    <row r="8273" ht="14.25" customHeight="1">
      <c r="A8273" s="7">
        <v>8260.0</v>
      </c>
      <c r="B8273" s="14">
        <f t="shared" si="1"/>
        <v>0.1187956203</v>
      </c>
      <c r="C8273" s="39">
        <f t="array" ref="C8273">NPV(B8273,FCFF!$C$9:$I$9)+FCFF!$B$9+FCFF!$I$9*(1+Inputs!$B$6)/(B8273-Inputs!$B$6)/(1+B8273)^7</f>
        <v>-1801.148306</v>
      </c>
    </row>
    <row r="8274" ht="14.25" customHeight="1">
      <c r="A8274" s="7">
        <v>8261.0</v>
      </c>
      <c r="B8274" s="14">
        <f t="shared" si="1"/>
        <v>0.1066531564</v>
      </c>
      <c r="C8274" s="39">
        <f t="array" ref="C8274">NPV(B8274,FCFF!$C$9:$I$9)+FCFF!$B$9+FCFF!$I$9*(1+Inputs!$B$6)/(B8274-Inputs!$B$6)/(1+B8274)^7</f>
        <v>-1555.528738</v>
      </c>
    </row>
    <row r="8275" ht="14.25" customHeight="1">
      <c r="A8275" s="7">
        <v>8262.0</v>
      </c>
      <c r="B8275" s="14">
        <f t="shared" si="1"/>
        <v>0.1202594679</v>
      </c>
      <c r="C8275" s="39">
        <f t="array" ref="C8275">NPV(B8275,FCFF!$C$9:$I$9)+FCFF!$B$9+FCFF!$I$9*(1+Inputs!$B$6)/(B8275-Inputs!$B$6)/(1+B8275)^7</f>
        <v>-1826.103936</v>
      </c>
    </row>
    <row r="8276" ht="14.25" customHeight="1">
      <c r="A8276" s="7">
        <v>8263.0</v>
      </c>
      <c r="B8276" s="14">
        <f t="shared" si="1"/>
        <v>0.1242973514</v>
      </c>
      <c r="C8276" s="39">
        <f t="array" ref="C8276">NPV(B8276,FCFF!$C$9:$I$9)+FCFF!$B$9+FCFF!$I$9*(1+Inputs!$B$6)/(B8276-Inputs!$B$6)/(1+B8276)^7</f>
        <v>-1890.686745</v>
      </c>
    </row>
    <row r="8277" ht="14.25" customHeight="1">
      <c r="A8277" s="7">
        <v>8264.0</v>
      </c>
      <c r="B8277" s="14">
        <f t="shared" si="1"/>
        <v>0.1001363345</v>
      </c>
      <c r="C8277" s="39">
        <f t="array" ref="C8277">NPV(B8277,FCFF!$C$9:$I$9)+FCFF!$B$9+FCFF!$I$9*(1+Inputs!$B$6)/(B8277-Inputs!$B$6)/(1+B8277)^7</f>
        <v>-1387.545222</v>
      </c>
    </row>
    <row r="8278" ht="14.25" customHeight="1">
      <c r="A8278" s="7">
        <v>8265.0</v>
      </c>
      <c r="B8278" s="14">
        <f t="shared" si="1"/>
        <v>0.1175293126</v>
      </c>
      <c r="C8278" s="39">
        <f t="array" ref="C8278">NPV(B8278,FCFF!$C$9:$I$9)+FCFF!$B$9+FCFF!$I$9*(1+Inputs!$B$6)/(B8278-Inputs!$B$6)/(1+B8278)^7</f>
        <v>-1778.848803</v>
      </c>
    </row>
    <row r="8279" ht="14.25" customHeight="1">
      <c r="A8279" s="7">
        <v>8266.0</v>
      </c>
      <c r="B8279" s="14">
        <f t="shared" si="1"/>
        <v>0.12251919</v>
      </c>
      <c r="C8279" s="39">
        <f t="array" ref="C8279">NPV(B8279,FCFF!$C$9:$I$9)+FCFF!$B$9+FCFF!$I$9*(1+Inputs!$B$6)/(B8279-Inputs!$B$6)/(1+B8279)^7</f>
        <v>-1862.986087</v>
      </c>
    </row>
    <row r="8280" ht="14.25" customHeight="1">
      <c r="A8280" s="7">
        <v>8267.0</v>
      </c>
      <c r="B8280" s="14">
        <f t="shared" si="1"/>
        <v>0.1267135124</v>
      </c>
      <c r="C8280" s="39">
        <f t="array" ref="C8280">NPV(B8280,FCFF!$C$9:$I$9)+FCFF!$B$9+FCFF!$I$9*(1+Inputs!$B$6)/(B8280-Inputs!$B$6)/(1+B8280)^7</f>
        <v>-1926.581542</v>
      </c>
    </row>
    <row r="8281" ht="14.25" customHeight="1">
      <c r="A8281" s="7">
        <v>8268.0</v>
      </c>
      <c r="B8281" s="14">
        <f t="shared" si="1"/>
        <v>0.1106699513</v>
      </c>
      <c r="C8281" s="39">
        <f t="array" ref="C8281">NPV(B8281,FCFF!$C$9:$I$9)+FCFF!$B$9+FCFF!$I$9*(1+Inputs!$B$6)/(B8281-Inputs!$B$6)/(1+B8281)^7</f>
        <v>-1645.277699</v>
      </c>
    </row>
    <row r="8282" ht="14.25" customHeight="1">
      <c r="A8282" s="7">
        <v>8269.0</v>
      </c>
      <c r="B8282" s="14">
        <f t="shared" si="1"/>
        <v>0.1265906873</v>
      </c>
      <c r="C8282" s="39">
        <f t="array" ref="C8282">NPV(B8282,FCFF!$C$9:$I$9)+FCFF!$B$9+FCFF!$I$9*(1+Inputs!$B$6)/(B8282-Inputs!$B$6)/(1+B8282)^7</f>
        <v>-1924.803348</v>
      </c>
    </row>
    <row r="8283" ht="14.25" customHeight="1">
      <c r="A8283" s="7">
        <v>8270.0</v>
      </c>
      <c r="B8283" s="14">
        <f t="shared" si="1"/>
        <v>0.1273419185</v>
      </c>
      <c r="C8283" s="39">
        <f t="array" ref="C8283">NPV(B8283,FCFF!$C$9:$I$9)+FCFF!$B$9+FCFF!$I$9*(1+Inputs!$B$6)/(B8283-Inputs!$B$6)/(1+B8283)^7</f>
        <v>-1935.60367</v>
      </c>
    </row>
    <row r="8284" ht="14.25" customHeight="1">
      <c r="A8284" s="7">
        <v>8271.0</v>
      </c>
      <c r="B8284" s="14">
        <f t="shared" si="1"/>
        <v>0.1329971618</v>
      </c>
      <c r="C8284" s="39">
        <f t="array" ref="C8284">NPV(B8284,FCFF!$C$9:$I$9)+FCFF!$B$9+FCFF!$I$9*(1+Inputs!$B$6)/(B8284-Inputs!$B$6)/(1+B8284)^7</f>
        <v>-2011.452238</v>
      </c>
    </row>
    <row r="8285" ht="14.25" customHeight="1">
      <c r="A8285" s="7">
        <v>8272.0</v>
      </c>
      <c r="B8285" s="14">
        <f t="shared" si="1"/>
        <v>0.121085914</v>
      </c>
      <c r="C8285" s="39">
        <f t="array" ref="C8285">NPV(B8285,FCFF!$C$9:$I$9)+FCFF!$B$9+FCFF!$I$9*(1+Inputs!$B$6)/(B8285-Inputs!$B$6)/(1+B8285)^7</f>
        <v>-1839.818288</v>
      </c>
    </row>
    <row r="8286" ht="14.25" customHeight="1">
      <c r="A8286" s="7">
        <v>8273.0</v>
      </c>
      <c r="B8286" s="14">
        <f t="shared" si="1"/>
        <v>0.0948919203</v>
      </c>
      <c r="C8286" s="39">
        <f t="array" ref="C8286">NPV(B8286,FCFF!$C$9:$I$9)+FCFF!$B$9+FCFF!$I$9*(1+Inputs!$B$6)/(B8286-Inputs!$B$6)/(1+B8286)^7</f>
        <v>-1227.658966</v>
      </c>
    </row>
    <row r="8287" ht="14.25" customHeight="1">
      <c r="A8287" s="7">
        <v>8274.0</v>
      </c>
      <c r="B8287" s="14">
        <f t="shared" si="1"/>
        <v>0.1264318555</v>
      </c>
      <c r="C8287" s="39">
        <f t="array" ref="C8287">NPV(B8287,FCFF!$C$9:$I$9)+FCFF!$B$9+FCFF!$I$9*(1+Inputs!$B$6)/(B8287-Inputs!$B$6)/(1+B8287)^7</f>
        <v>-1922.496642</v>
      </c>
    </row>
    <row r="8288" ht="14.25" customHeight="1">
      <c r="A8288" s="7">
        <v>8275.0</v>
      </c>
      <c r="B8288" s="14">
        <f t="shared" si="1"/>
        <v>0.1231806384</v>
      </c>
      <c r="C8288" s="39">
        <f t="array" ref="C8288">NPV(B8288,FCFF!$C$9:$I$9)+FCFF!$B$9+FCFF!$I$9*(1+Inputs!$B$6)/(B8288-Inputs!$B$6)/(1+B8288)^7</f>
        <v>-1873.422144</v>
      </c>
    </row>
    <row r="8289" ht="14.25" customHeight="1">
      <c r="A8289" s="7">
        <v>8276.0</v>
      </c>
      <c r="B8289" s="14">
        <f t="shared" si="1"/>
        <v>0.09674160147</v>
      </c>
      <c r="C8289" s="39">
        <f t="array" ref="C8289">NPV(B8289,FCFF!$C$9:$I$9)+FCFF!$B$9+FCFF!$I$9*(1+Inputs!$B$6)/(B8289-Inputs!$B$6)/(1+B8289)^7</f>
        <v>-1286.915852</v>
      </c>
    </row>
    <row r="8290" ht="14.25" customHeight="1">
      <c r="A8290" s="7">
        <v>8277.0</v>
      </c>
      <c r="B8290" s="14">
        <f t="shared" si="1"/>
        <v>0.1272077858</v>
      </c>
      <c r="C8290" s="39">
        <f t="array" ref="C8290">NPV(B8290,FCFF!$C$9:$I$9)+FCFF!$B$9+FCFF!$I$9*(1+Inputs!$B$6)/(B8290-Inputs!$B$6)/(1+B8290)^7</f>
        <v>-1933.688455</v>
      </c>
    </row>
    <row r="8291" ht="14.25" customHeight="1">
      <c r="A8291" s="7">
        <v>8278.0</v>
      </c>
      <c r="B8291" s="14">
        <f t="shared" si="1"/>
        <v>0.1012029774</v>
      </c>
      <c r="C8291" s="39">
        <f t="array" ref="C8291">NPV(B8291,FCFF!$C$9:$I$9)+FCFF!$B$9+FCFF!$I$9*(1+Inputs!$B$6)/(B8291-Inputs!$B$6)/(1+B8291)^7</f>
        <v>-1417.173248</v>
      </c>
    </row>
    <row r="8292" ht="14.25" customHeight="1">
      <c r="A8292" s="7">
        <v>8279.0</v>
      </c>
      <c r="B8292" s="14">
        <f t="shared" si="1"/>
        <v>0.1262718063</v>
      </c>
      <c r="C8292" s="39">
        <f t="array" ref="C8292">NPV(B8292,FCFF!$C$9:$I$9)+FCFF!$B$9+FCFF!$I$9*(1+Inputs!$B$6)/(B8292-Inputs!$B$6)/(1+B8292)^7</f>
        <v>-1920.163974</v>
      </c>
    </row>
    <row r="8293" ht="14.25" customHeight="1">
      <c r="A8293" s="7">
        <v>8280.0</v>
      </c>
      <c r="B8293" s="14">
        <f t="shared" si="1"/>
        <v>0.1270743645</v>
      </c>
      <c r="C8293" s="39">
        <f t="array" ref="C8293">NPV(B8293,FCFF!$C$9:$I$9)+FCFF!$B$9+FCFF!$I$9*(1+Inputs!$B$6)/(B8293-Inputs!$B$6)/(1+B8293)^7</f>
        <v>-1931.777737</v>
      </c>
    </row>
    <row r="8294" ht="14.25" customHeight="1">
      <c r="A8294" s="7">
        <v>8281.0</v>
      </c>
      <c r="B8294" s="14">
        <f t="shared" si="1"/>
        <v>0.1326121592</v>
      </c>
      <c r="C8294" s="39">
        <f t="array" ref="C8294">NPV(B8294,FCFF!$C$9:$I$9)+FCFF!$B$9+FCFF!$I$9*(1+Inputs!$B$6)/(B8294-Inputs!$B$6)/(1+B8294)^7</f>
        <v>-2006.576619</v>
      </c>
    </row>
    <row r="8295" ht="14.25" customHeight="1">
      <c r="A8295" s="7">
        <v>8282.0</v>
      </c>
      <c r="B8295" s="14">
        <f t="shared" si="1"/>
        <v>0.1032142716</v>
      </c>
      <c r="C8295" s="39">
        <f t="array" ref="C8295">NPV(B8295,FCFF!$C$9:$I$9)+FCFF!$B$9+FCFF!$I$9*(1+Inputs!$B$6)/(B8295-Inputs!$B$6)/(1+B8295)^7</f>
        <v>-1470.66804</v>
      </c>
    </row>
    <row r="8296" ht="14.25" customHeight="1">
      <c r="A8296" s="7">
        <v>8283.0</v>
      </c>
      <c r="B8296" s="14">
        <f t="shared" si="1"/>
        <v>0.1176534936</v>
      </c>
      <c r="C8296" s="39">
        <f t="array" ref="C8296">NPV(B8296,FCFF!$C$9:$I$9)+FCFF!$B$9+FCFF!$I$9*(1+Inputs!$B$6)/(B8296-Inputs!$B$6)/(1+B8296)^7</f>
        <v>-1781.06564</v>
      </c>
    </row>
    <row r="8297" ht="14.25" customHeight="1">
      <c r="A8297" s="7">
        <v>8284.0</v>
      </c>
      <c r="B8297" s="14">
        <f t="shared" si="1"/>
        <v>0.1125863872</v>
      </c>
      <c r="C8297" s="39">
        <f t="array" ref="C8297">NPV(B8297,FCFF!$C$9:$I$9)+FCFF!$B$9+FCFF!$I$9*(1+Inputs!$B$6)/(B8297-Inputs!$B$6)/(1+B8297)^7</f>
        <v>-1684.924452</v>
      </c>
    </row>
    <row r="8298" ht="14.25" customHeight="1">
      <c r="A8298" s="7">
        <v>8285.0</v>
      </c>
      <c r="B8298" s="14">
        <f t="shared" si="1"/>
        <v>0.09662912586</v>
      </c>
      <c r="C8298" s="39">
        <f t="array" ref="C8298">NPV(B8298,FCFF!$C$9:$I$9)+FCFF!$B$9+FCFF!$I$9*(1+Inputs!$B$6)/(B8298-Inputs!$B$6)/(1+B8298)^7</f>
        <v>-1283.406136</v>
      </c>
    </row>
    <row r="8299" ht="14.25" customHeight="1">
      <c r="A8299" s="7">
        <v>8286.0</v>
      </c>
      <c r="B8299" s="14">
        <f t="shared" si="1"/>
        <v>0.09438787592</v>
      </c>
      <c r="C8299" s="39">
        <f t="array" ref="C8299">NPV(B8299,FCFF!$C$9:$I$9)+FCFF!$B$9+FCFF!$I$9*(1+Inputs!$B$6)/(B8299-Inputs!$B$6)/(1+B8299)^7</f>
        <v>-1210.924534</v>
      </c>
    </row>
    <row r="8300" ht="14.25" customHeight="1">
      <c r="A8300" s="7">
        <v>8287.0</v>
      </c>
      <c r="B8300" s="14">
        <f t="shared" si="1"/>
        <v>0.09792628247</v>
      </c>
      <c r="C8300" s="39">
        <f t="array" ref="C8300">NPV(B8300,FCFF!$C$9:$I$9)+FCFF!$B$9+FCFF!$I$9*(1+Inputs!$B$6)/(B8300-Inputs!$B$6)/(1+B8300)^7</f>
        <v>-1323.177831</v>
      </c>
    </row>
    <row r="8301" ht="14.25" customHeight="1">
      <c r="A8301" s="7">
        <v>8288.0</v>
      </c>
      <c r="B8301" s="14">
        <f t="shared" si="1"/>
        <v>0.1184026114</v>
      </c>
      <c r="C8301" s="39">
        <f t="array" ref="C8301">NPV(B8301,FCFF!$C$9:$I$9)+FCFF!$B$9+FCFF!$I$9*(1+Inputs!$B$6)/(B8301-Inputs!$B$6)/(1+B8301)^7</f>
        <v>-1794.29954</v>
      </c>
    </row>
    <row r="8302" ht="14.25" customHeight="1">
      <c r="A8302" s="7">
        <v>8289.0</v>
      </c>
      <c r="B8302" s="14">
        <f t="shared" si="1"/>
        <v>0.1306068848</v>
      </c>
      <c r="C8302" s="39">
        <f t="array" ref="C8302">NPV(B8302,FCFF!$C$9:$I$9)+FCFF!$B$9+FCFF!$I$9*(1+Inputs!$B$6)/(B8302-Inputs!$B$6)/(1+B8302)^7</f>
        <v>-1980.52316</v>
      </c>
    </row>
    <row r="8303" ht="14.25" customHeight="1">
      <c r="A8303" s="7">
        <v>8290.0</v>
      </c>
      <c r="B8303" s="14">
        <f t="shared" si="1"/>
        <v>0.1259517756</v>
      </c>
      <c r="C8303" s="39">
        <f t="array" ref="C8303">NPV(B8303,FCFF!$C$9:$I$9)+FCFF!$B$9+FCFF!$I$9*(1+Inputs!$B$6)/(B8303-Inputs!$B$6)/(1+B8303)^7</f>
        <v>-1915.474525</v>
      </c>
    </row>
    <row r="8304" ht="14.25" customHeight="1">
      <c r="A8304" s="7">
        <v>8291.0</v>
      </c>
      <c r="B8304" s="14">
        <f t="shared" si="1"/>
        <v>0.1126929739</v>
      </c>
      <c r="C8304" s="39">
        <f t="array" ref="C8304">NPV(B8304,FCFF!$C$9:$I$9)+FCFF!$B$9+FCFF!$I$9*(1+Inputs!$B$6)/(B8304-Inputs!$B$6)/(1+B8304)^7</f>
        <v>-1687.073523</v>
      </c>
    </row>
    <row r="8305" ht="14.25" customHeight="1">
      <c r="A8305" s="7">
        <v>8292.0</v>
      </c>
      <c r="B8305" s="14">
        <f t="shared" si="1"/>
        <v>0.09734728898</v>
      </c>
      <c r="C8305" s="39">
        <f t="array" ref="C8305">NPV(B8305,FCFF!$C$9:$I$9)+FCFF!$B$9+FCFF!$I$9*(1+Inputs!$B$6)/(B8305-Inputs!$B$6)/(1+B8305)^7</f>
        <v>-1305.614678</v>
      </c>
    </row>
    <row r="8306" ht="14.25" customHeight="1">
      <c r="A8306" s="7">
        <v>8293.0</v>
      </c>
      <c r="B8306" s="14">
        <f t="shared" si="1"/>
        <v>0.1282228785</v>
      </c>
      <c r="C8306" s="39">
        <f t="array" ref="C8306">NPV(B8306,FCFF!$C$9:$I$9)+FCFF!$B$9+FCFF!$I$9*(1+Inputs!$B$6)/(B8306-Inputs!$B$6)/(1+B8306)^7</f>
        <v>-1948.042301</v>
      </c>
    </row>
    <row r="8307" ht="14.25" customHeight="1">
      <c r="A8307" s="7">
        <v>8294.0</v>
      </c>
      <c r="B8307" s="14">
        <f t="shared" si="1"/>
        <v>0.1221190136</v>
      </c>
      <c r="C8307" s="39">
        <f t="array" ref="C8307">NPV(B8307,FCFF!$C$9:$I$9)+FCFF!$B$9+FCFF!$I$9*(1+Inputs!$B$6)/(B8307-Inputs!$B$6)/(1+B8307)^7</f>
        <v>-1856.594704</v>
      </c>
    </row>
    <row r="8308" ht="14.25" customHeight="1">
      <c r="A8308" s="7">
        <v>8295.0</v>
      </c>
      <c r="B8308" s="14">
        <f t="shared" si="1"/>
        <v>0.09516579795</v>
      </c>
      <c r="C8308" s="39">
        <f t="array" ref="C8308">NPV(B8308,FCFF!$C$9:$I$9)+FCFF!$B$9+FCFF!$I$9*(1+Inputs!$B$6)/(B8308-Inputs!$B$6)/(1+B8308)^7</f>
        <v>-1236.644036</v>
      </c>
    </row>
    <row r="8309" ht="14.25" customHeight="1">
      <c r="A8309" s="7">
        <v>8296.0</v>
      </c>
      <c r="B8309" s="14">
        <f t="shared" si="1"/>
        <v>0.115680021</v>
      </c>
      <c r="C8309" s="39">
        <f t="array" ref="C8309">NPV(B8309,FCFF!$C$9:$I$9)+FCFF!$B$9+FCFF!$I$9*(1+Inputs!$B$6)/(B8309-Inputs!$B$6)/(1+B8309)^7</f>
        <v>-1745.036262</v>
      </c>
    </row>
    <row r="8310" ht="14.25" customHeight="1">
      <c r="A8310" s="7">
        <v>8297.0</v>
      </c>
      <c r="B8310" s="14">
        <f t="shared" si="1"/>
        <v>0.1295364229</v>
      </c>
      <c r="C8310" s="39">
        <f t="array" ref="C8310">NPV(B8310,FCFF!$C$9:$I$9)+FCFF!$B$9+FCFF!$I$9*(1+Inputs!$B$6)/(B8310-Inputs!$B$6)/(1+B8310)^7</f>
        <v>-1966.147234</v>
      </c>
    </row>
    <row r="8311" ht="14.25" customHeight="1">
      <c r="A8311" s="7">
        <v>8298.0</v>
      </c>
      <c r="B8311" s="14">
        <f t="shared" si="1"/>
        <v>0.1178357074</v>
      </c>
      <c r="C8311" s="39">
        <f t="array" ref="C8311">NPV(B8311,FCFF!$C$9:$I$9)+FCFF!$B$9+FCFF!$I$9*(1+Inputs!$B$6)/(B8311-Inputs!$B$6)/(1+B8311)^7</f>
        <v>-1784.306513</v>
      </c>
    </row>
    <row r="8312" ht="14.25" customHeight="1">
      <c r="A8312" s="7">
        <v>8299.0</v>
      </c>
      <c r="B8312" s="14">
        <f t="shared" si="1"/>
        <v>0.1221103169</v>
      </c>
      <c r="C8312" s="39">
        <f t="array" ref="C8312">NPV(B8312,FCFF!$C$9:$I$9)+FCFF!$B$9+FCFF!$I$9*(1+Inputs!$B$6)/(B8312-Inputs!$B$6)/(1+B8312)^7</f>
        <v>-1856.455149</v>
      </c>
    </row>
    <row r="8313" ht="14.25" customHeight="1">
      <c r="A8313" s="7">
        <v>8300.0</v>
      </c>
      <c r="B8313" s="14">
        <f t="shared" si="1"/>
        <v>0.1210774776</v>
      </c>
      <c r="C8313" s="39">
        <f t="array" ref="C8313">NPV(B8313,FCFF!$C$9:$I$9)+FCFF!$B$9+FCFF!$I$9*(1+Inputs!$B$6)/(B8313-Inputs!$B$6)/(1+B8313)^7</f>
        <v>-1839.679625</v>
      </c>
    </row>
    <row r="8314" ht="14.25" customHeight="1">
      <c r="A8314" s="7">
        <v>8301.0</v>
      </c>
      <c r="B8314" s="14">
        <f t="shared" si="1"/>
        <v>0.1297628947</v>
      </c>
      <c r="C8314" s="39">
        <f t="array" ref="C8314">NPV(B8314,FCFF!$C$9:$I$9)+FCFF!$B$9+FCFF!$I$9*(1+Inputs!$B$6)/(B8314-Inputs!$B$6)/(1+B8314)^7</f>
        <v>-1969.216596</v>
      </c>
    </row>
    <row r="8315" ht="14.25" customHeight="1">
      <c r="A8315" s="7">
        <v>8302.0</v>
      </c>
      <c r="B8315" s="14">
        <f t="shared" si="1"/>
        <v>0.1195004322</v>
      </c>
      <c r="C8315" s="39">
        <f t="array" ref="C8315">NPV(B8315,FCFF!$C$9:$I$9)+FCFF!$B$9+FCFF!$I$9*(1+Inputs!$B$6)/(B8315-Inputs!$B$6)/(1+B8315)^7</f>
        <v>-1813.271684</v>
      </c>
    </row>
    <row r="8316" ht="14.25" customHeight="1">
      <c r="A8316" s="7">
        <v>8303.0</v>
      </c>
      <c r="B8316" s="14">
        <f t="shared" si="1"/>
        <v>0.1285227192</v>
      </c>
      <c r="C8316" s="39">
        <f t="array" ref="C8316">NPV(B8316,FCFF!$C$9:$I$9)+FCFF!$B$9+FCFF!$I$9*(1+Inputs!$B$6)/(B8316-Inputs!$B$6)/(1+B8316)^7</f>
        <v>-1952.221099</v>
      </c>
    </row>
    <row r="8317" ht="14.25" customHeight="1">
      <c r="A8317" s="7">
        <v>8304.0</v>
      </c>
      <c r="B8317" s="14">
        <f t="shared" si="1"/>
        <v>0.1151422792</v>
      </c>
      <c r="C8317" s="39">
        <f t="array" ref="C8317">NPV(B8317,FCFF!$C$9:$I$9)+FCFF!$B$9+FCFF!$I$9*(1+Inputs!$B$6)/(B8317-Inputs!$B$6)/(1+B8317)^7</f>
        <v>-1734.91495</v>
      </c>
    </row>
    <row r="8318" ht="14.25" customHeight="1">
      <c r="A8318" s="7">
        <v>8305.0</v>
      </c>
      <c r="B8318" s="14">
        <f t="shared" si="1"/>
        <v>0.1129513729</v>
      </c>
      <c r="C8318" s="39">
        <f t="array" ref="C8318">NPV(B8318,FCFF!$C$9:$I$9)+FCFF!$B$9+FCFF!$I$9*(1+Inputs!$B$6)/(B8318-Inputs!$B$6)/(1+B8318)^7</f>
        <v>-1692.259697</v>
      </c>
    </row>
    <row r="8319" ht="14.25" customHeight="1">
      <c r="A8319" s="7">
        <v>8306.0</v>
      </c>
      <c r="B8319" s="14">
        <f t="shared" si="1"/>
        <v>0.09337789911</v>
      </c>
      <c r="C8319" s="39">
        <f t="array" ref="C8319">NPV(B8319,FCFF!$C$9:$I$9)+FCFF!$B$9+FCFF!$I$9*(1+Inputs!$B$6)/(B8319-Inputs!$B$6)/(1+B8319)^7</f>
        <v>-1176.599221</v>
      </c>
    </row>
    <row r="8320" ht="14.25" customHeight="1">
      <c r="A8320" s="7">
        <v>8307.0</v>
      </c>
      <c r="B8320" s="14">
        <f t="shared" si="1"/>
        <v>0.1275700755</v>
      </c>
      <c r="C8320" s="39">
        <f t="array" ref="C8320">NPV(B8320,FCFF!$C$9:$I$9)+FCFF!$B$9+FCFF!$I$9*(1+Inputs!$B$6)/(B8320-Inputs!$B$6)/(1+B8320)^7</f>
        <v>-1938.848372</v>
      </c>
    </row>
    <row r="8321" ht="14.25" customHeight="1">
      <c r="A8321" s="7">
        <v>8308.0</v>
      </c>
      <c r="B8321" s="14">
        <f t="shared" si="1"/>
        <v>0.1316658588</v>
      </c>
      <c r="C8321" s="39">
        <f t="array" ref="C8321">NPV(B8321,FCFF!$C$9:$I$9)+FCFF!$B$9+FCFF!$I$9*(1+Inputs!$B$6)/(B8321-Inputs!$B$6)/(1+B8321)^7</f>
        <v>-1994.421369</v>
      </c>
    </row>
    <row r="8322" ht="14.25" customHeight="1">
      <c r="A8322" s="7">
        <v>8309.0</v>
      </c>
      <c r="B8322" s="14">
        <f t="shared" si="1"/>
        <v>0.100005431</v>
      </c>
      <c r="C8322" s="39">
        <f t="array" ref="C8322">NPV(B8322,FCFF!$C$9:$I$9)+FCFF!$B$9+FCFF!$I$9*(1+Inputs!$B$6)/(B8322-Inputs!$B$6)/(1+B8322)^7</f>
        <v>-1383.846446</v>
      </c>
    </row>
    <row r="8323" ht="14.25" customHeight="1">
      <c r="A8323" s="7">
        <v>8310.0</v>
      </c>
      <c r="B8323" s="14">
        <f t="shared" si="1"/>
        <v>0.09850012191</v>
      </c>
      <c r="C8323" s="39">
        <f t="array" ref="C8323">NPV(B8323,FCFF!$C$9:$I$9)+FCFF!$B$9+FCFF!$I$9*(1+Inputs!$B$6)/(B8323-Inputs!$B$6)/(1+B8323)^7</f>
        <v>-1340.291403</v>
      </c>
    </row>
    <row r="8324" ht="14.25" customHeight="1">
      <c r="A8324" s="7">
        <v>8311.0</v>
      </c>
      <c r="B8324" s="14">
        <f t="shared" si="1"/>
        <v>0.1297058821</v>
      </c>
      <c r="C8324" s="39">
        <f t="array" ref="C8324">NPV(B8324,FCFF!$C$9:$I$9)+FCFF!$B$9+FCFF!$I$9*(1+Inputs!$B$6)/(B8324-Inputs!$B$6)/(1+B8324)^7</f>
        <v>-1968.44533</v>
      </c>
    </row>
    <row r="8325" ht="14.25" customHeight="1">
      <c r="A8325" s="7">
        <v>8312.0</v>
      </c>
      <c r="B8325" s="14">
        <f t="shared" si="1"/>
        <v>0.1170674137</v>
      </c>
      <c r="C8325" s="39">
        <f t="array" ref="C8325">NPV(B8325,FCFF!$C$9:$I$9)+FCFF!$B$9+FCFF!$I$9*(1+Inputs!$B$6)/(B8325-Inputs!$B$6)/(1+B8325)^7</f>
        <v>-1770.544739</v>
      </c>
    </row>
    <row r="8326" ht="14.25" customHeight="1">
      <c r="A8326" s="7">
        <v>8313.0</v>
      </c>
      <c r="B8326" s="14">
        <f t="shared" si="1"/>
        <v>0.09599457636</v>
      </c>
      <c r="C8326" s="39">
        <f t="array" ref="C8326">NPV(B8326,FCFF!$C$9:$I$9)+FCFF!$B$9+FCFF!$I$9*(1+Inputs!$B$6)/(B8326-Inputs!$B$6)/(1+B8326)^7</f>
        <v>-1263.382023</v>
      </c>
    </row>
    <row r="8327" ht="14.25" customHeight="1">
      <c r="A8327" s="7">
        <v>8314.0</v>
      </c>
      <c r="B8327" s="14">
        <f t="shared" si="1"/>
        <v>0.1091686107</v>
      </c>
      <c r="C8327" s="39">
        <f t="array" ref="C8327">NPV(B8327,FCFF!$C$9:$I$9)+FCFF!$B$9+FCFF!$I$9*(1+Inputs!$B$6)/(B8327-Inputs!$B$6)/(1+B8327)^7</f>
        <v>-1612.829856</v>
      </c>
    </row>
    <row r="8328" ht="14.25" customHeight="1">
      <c r="A8328" s="7">
        <v>8315.0</v>
      </c>
      <c r="B8328" s="14">
        <f t="shared" si="1"/>
        <v>0.1285060809</v>
      </c>
      <c r="C8328" s="39">
        <f t="array" ref="C8328">NPV(B8328,FCFF!$C$9:$I$9)+FCFF!$B$9+FCFF!$I$9*(1+Inputs!$B$6)/(B8328-Inputs!$B$6)/(1+B8328)^7</f>
        <v>-1951.989936</v>
      </c>
    </row>
    <row r="8329" ht="14.25" customHeight="1">
      <c r="A8329" s="7">
        <v>8316.0</v>
      </c>
      <c r="B8329" s="14">
        <f t="shared" si="1"/>
        <v>0.100876386</v>
      </c>
      <c r="C8329" s="39">
        <f t="array" ref="C8329">NPV(B8329,FCFF!$C$9:$I$9)+FCFF!$B$9+FCFF!$I$9*(1+Inputs!$B$6)/(B8329-Inputs!$B$6)/(1+B8329)^7</f>
        <v>-1408.197074</v>
      </c>
    </row>
    <row r="8330" ht="14.25" customHeight="1">
      <c r="A8330" s="7">
        <v>8317.0</v>
      </c>
      <c r="B8330" s="14">
        <f t="shared" si="1"/>
        <v>0.1234616808</v>
      </c>
      <c r="C8330" s="39">
        <f t="array" ref="C8330">NPV(B8330,FCFF!$C$9:$I$9)+FCFF!$B$9+FCFF!$I$9*(1+Inputs!$B$6)/(B8330-Inputs!$B$6)/(1+B8330)^7</f>
        <v>-1877.808625</v>
      </c>
    </row>
    <row r="8331" ht="14.25" customHeight="1">
      <c r="A8331" s="7">
        <v>8318.0</v>
      </c>
      <c r="B8331" s="14">
        <f t="shared" si="1"/>
        <v>0.09674141503</v>
      </c>
      <c r="C8331" s="39">
        <f t="array" ref="C8331">NPV(B8331,FCFF!$C$9:$I$9)+FCFF!$B$9+FCFF!$I$9*(1+Inputs!$B$6)/(B8331-Inputs!$B$6)/(1+B8331)^7</f>
        <v>-1286.910044</v>
      </c>
    </row>
    <row r="8332" ht="14.25" customHeight="1">
      <c r="A8332" s="7">
        <v>8319.0</v>
      </c>
      <c r="B8332" s="14">
        <f t="shared" si="1"/>
        <v>0.1206535172</v>
      </c>
      <c r="C8332" s="39">
        <f t="array" ref="C8332">NPV(B8332,FCFF!$C$9:$I$9)+FCFF!$B$9+FCFF!$I$9*(1+Inputs!$B$6)/(B8332-Inputs!$B$6)/(1+B8332)^7</f>
        <v>-1832.676014</v>
      </c>
    </row>
    <row r="8333" ht="14.25" customHeight="1">
      <c r="A8333" s="7">
        <v>8320.0</v>
      </c>
      <c r="B8333" s="14">
        <f t="shared" si="1"/>
        <v>0.1318212111</v>
      </c>
      <c r="C8333" s="39">
        <f t="array" ref="C8333">NPV(B8333,FCFF!$C$9:$I$9)+FCFF!$B$9+FCFF!$I$9*(1+Inputs!$B$6)/(B8333-Inputs!$B$6)/(1+B8333)^7</f>
        <v>-1996.433783</v>
      </c>
    </row>
    <row r="8334" ht="14.25" customHeight="1">
      <c r="A8334" s="7">
        <v>8321.0</v>
      </c>
      <c r="B8334" s="14">
        <f t="shared" si="1"/>
        <v>0.1164395161</v>
      </c>
      <c r="C8334" s="39">
        <f t="array" ref="C8334">NPV(B8334,FCFF!$C$9:$I$9)+FCFF!$B$9+FCFF!$I$9*(1+Inputs!$B$6)/(B8334-Inputs!$B$6)/(1+B8334)^7</f>
        <v>-1759.10671</v>
      </c>
    </row>
    <row r="8335" ht="14.25" customHeight="1">
      <c r="A8335" s="7">
        <v>8322.0</v>
      </c>
      <c r="B8335" s="14">
        <f t="shared" si="1"/>
        <v>0.1012091858</v>
      </c>
      <c r="C8335" s="39">
        <f t="array" ref="C8335">NPV(B8335,FCFF!$C$9:$I$9)+FCFF!$B$9+FCFF!$I$9*(1+Inputs!$B$6)/(B8335-Inputs!$B$6)/(1+B8335)^7</f>
        <v>-1417.343075</v>
      </c>
    </row>
    <row r="8336" ht="14.25" customHeight="1">
      <c r="A8336" s="7">
        <v>8323.0</v>
      </c>
      <c r="B8336" s="14">
        <f t="shared" si="1"/>
        <v>0.1136316407</v>
      </c>
      <c r="C8336" s="39">
        <f t="array" ref="C8336">NPV(B8336,FCFF!$C$9:$I$9)+FCFF!$B$9+FCFF!$I$9*(1+Inputs!$B$6)/(B8336-Inputs!$B$6)/(1+B8336)^7</f>
        <v>-1705.753508</v>
      </c>
    </row>
    <row r="8337" ht="14.25" customHeight="1">
      <c r="A8337" s="7">
        <v>8324.0</v>
      </c>
      <c r="B8337" s="14">
        <f t="shared" si="1"/>
        <v>0.09903239418</v>
      </c>
      <c r="C8337" s="39">
        <f t="array" ref="C8337">NPV(B8337,FCFF!$C$9:$I$9)+FCFF!$B$9+FCFF!$I$9*(1+Inputs!$B$6)/(B8337-Inputs!$B$6)/(1+B8337)^7</f>
        <v>-1355.910344</v>
      </c>
    </row>
    <row r="8338" ht="14.25" customHeight="1">
      <c r="A8338" s="7">
        <v>8325.0</v>
      </c>
      <c r="B8338" s="14">
        <f t="shared" si="1"/>
        <v>0.1241473543</v>
      </c>
      <c r="C8338" s="39">
        <f t="array" ref="C8338">NPV(B8338,FCFF!$C$9:$I$9)+FCFF!$B$9+FCFF!$I$9*(1+Inputs!$B$6)/(B8338-Inputs!$B$6)/(1+B8338)^7</f>
        <v>-1888.393209</v>
      </c>
    </row>
    <row r="8339" ht="14.25" customHeight="1">
      <c r="A8339" s="7">
        <v>8326.0</v>
      </c>
      <c r="B8339" s="14">
        <f t="shared" si="1"/>
        <v>0.1201347027</v>
      </c>
      <c r="C8339" s="39">
        <f t="array" ref="C8339">NPV(B8339,FCFF!$C$9:$I$9)+FCFF!$B$9+FCFF!$I$9*(1+Inputs!$B$6)/(B8339-Inputs!$B$6)/(1+B8339)^7</f>
        <v>-1824.01037</v>
      </c>
    </row>
    <row r="8340" ht="14.25" customHeight="1">
      <c r="A8340" s="7">
        <v>8327.0</v>
      </c>
      <c r="B8340" s="14">
        <f t="shared" si="1"/>
        <v>0.1270710393</v>
      </c>
      <c r="C8340" s="39">
        <f t="array" ref="C8340">NPV(B8340,FCFF!$C$9:$I$9)+FCFF!$B$9+FCFF!$I$9*(1+Inputs!$B$6)/(B8340-Inputs!$B$6)/(1+B8340)^7</f>
        <v>-1931.730045</v>
      </c>
    </row>
    <row r="8341" ht="14.25" customHeight="1">
      <c r="A8341" s="7">
        <v>8328.0</v>
      </c>
      <c r="B8341" s="14">
        <f t="shared" si="1"/>
        <v>0.1180632817</v>
      </c>
      <c r="C8341" s="39">
        <f t="array" ref="C8341">NPV(B8341,FCFF!$C$9:$I$9)+FCFF!$B$9+FCFF!$I$9*(1+Inputs!$B$6)/(B8341-Inputs!$B$6)/(1+B8341)^7</f>
        <v>-1788.334339</v>
      </c>
    </row>
    <row r="8342" ht="14.25" customHeight="1">
      <c r="A8342" s="7">
        <v>8329.0</v>
      </c>
      <c r="B8342" s="14">
        <f t="shared" si="1"/>
        <v>0.1138463921</v>
      </c>
      <c r="C8342" s="39">
        <f t="array" ref="C8342">NPV(B8342,FCFF!$C$9:$I$9)+FCFF!$B$9+FCFF!$I$9*(1+Inputs!$B$6)/(B8342-Inputs!$B$6)/(1+B8342)^7</f>
        <v>-1709.965961</v>
      </c>
    </row>
    <row r="8343" ht="14.25" customHeight="1">
      <c r="A8343" s="7">
        <v>8330.0</v>
      </c>
      <c r="B8343" s="14">
        <f t="shared" si="1"/>
        <v>0.115850652</v>
      </c>
      <c r="C8343" s="39">
        <f t="array" ref="C8343">NPV(B8343,FCFF!$C$9:$I$9)+FCFF!$B$9+FCFF!$I$9*(1+Inputs!$B$6)/(B8343-Inputs!$B$6)/(1+B8343)^7</f>
        <v>-1748.220113</v>
      </c>
    </row>
    <row r="8344" ht="14.25" customHeight="1">
      <c r="A8344" s="7">
        <v>8331.0</v>
      </c>
      <c r="B8344" s="14">
        <f t="shared" si="1"/>
        <v>0.1123252315</v>
      </c>
      <c r="C8344" s="39">
        <f t="array" ref="C8344">NPV(B8344,FCFF!$C$9:$I$9)+FCFF!$B$9+FCFF!$I$9*(1+Inputs!$B$6)/(B8344-Inputs!$B$6)/(1+B8344)^7</f>
        <v>-1679.63441</v>
      </c>
    </row>
    <row r="8345" ht="14.25" customHeight="1">
      <c r="A8345" s="7">
        <v>8332.0</v>
      </c>
      <c r="B8345" s="14">
        <f t="shared" si="1"/>
        <v>0.1178772079</v>
      </c>
      <c r="C8345" s="39">
        <f t="array" ref="C8345">NPV(B8345,FCFF!$C$9:$I$9)+FCFF!$B$9+FCFF!$I$9*(1+Inputs!$B$6)/(B8345-Inputs!$B$6)/(1+B8345)^7</f>
        <v>-1785.042666</v>
      </c>
    </row>
    <row r="8346" ht="14.25" customHeight="1">
      <c r="A8346" s="7">
        <v>8333.0</v>
      </c>
      <c r="B8346" s="14">
        <f t="shared" si="1"/>
        <v>0.1090905602</v>
      </c>
      <c r="C8346" s="39">
        <f t="array" ref="C8346">NPV(B8346,FCFF!$C$9:$I$9)+FCFF!$B$9+FCFF!$I$9*(1+Inputs!$B$6)/(B8346-Inputs!$B$6)/(1+B8346)^7</f>
        <v>-1611.10822</v>
      </c>
    </row>
    <row r="8347" ht="14.25" customHeight="1">
      <c r="A8347" s="7">
        <v>8334.0</v>
      </c>
      <c r="B8347" s="14">
        <f t="shared" si="1"/>
        <v>0.1313807399</v>
      </c>
      <c r="C8347" s="39">
        <f t="array" ref="C8347">NPV(B8347,FCFF!$C$9:$I$9)+FCFF!$B$9+FCFF!$I$9*(1+Inputs!$B$6)/(B8347-Inputs!$B$6)/(1+B8347)^7</f>
        <v>-1990.710491</v>
      </c>
    </row>
    <row r="8348" ht="14.25" customHeight="1">
      <c r="A8348" s="7">
        <v>8335.0</v>
      </c>
      <c r="B8348" s="14">
        <f t="shared" si="1"/>
        <v>0.0997349464</v>
      </c>
      <c r="C8348" s="39">
        <f t="array" ref="C8348">NPV(B8348,FCFF!$C$9:$I$9)+FCFF!$B$9+FCFF!$I$9*(1+Inputs!$B$6)/(B8348-Inputs!$B$6)/(1+B8348)^7</f>
        <v>-1376.159433</v>
      </c>
    </row>
    <row r="8349" ht="14.25" customHeight="1">
      <c r="A8349" s="7">
        <v>8336.0</v>
      </c>
      <c r="B8349" s="14">
        <f t="shared" si="1"/>
        <v>0.09764501641</v>
      </c>
      <c r="C8349" s="39">
        <f t="array" ref="C8349">NPV(B8349,FCFF!$C$9:$I$9)+FCFF!$B$9+FCFF!$I$9*(1+Inputs!$B$6)/(B8349-Inputs!$B$6)/(1+B8349)^7</f>
        <v>-1314.683484</v>
      </c>
    </row>
    <row r="8350" ht="14.25" customHeight="1">
      <c r="A8350" s="7">
        <v>8337.0</v>
      </c>
      <c r="B8350" s="14">
        <f t="shared" si="1"/>
        <v>0.1326171214</v>
      </c>
      <c r="C8350" s="39">
        <f t="array" ref="C8350">NPV(B8350,FCFF!$C$9:$I$9)+FCFF!$B$9+FCFF!$I$9*(1+Inputs!$B$6)/(B8350-Inputs!$B$6)/(1+B8350)^7</f>
        <v>-2006.639713</v>
      </c>
    </row>
    <row r="8351" ht="14.25" customHeight="1">
      <c r="A8351" s="7">
        <v>8338.0</v>
      </c>
      <c r="B8351" s="14">
        <f t="shared" si="1"/>
        <v>0.1313695387</v>
      </c>
      <c r="C8351" s="39">
        <f t="array" ref="C8351">NPV(B8351,FCFF!$C$9:$I$9)+FCFF!$B$9+FCFF!$I$9*(1+Inputs!$B$6)/(B8351-Inputs!$B$6)/(1+B8351)^7</f>
        <v>-1990.564241</v>
      </c>
    </row>
    <row r="8352" ht="14.25" customHeight="1">
      <c r="A8352" s="7">
        <v>8339.0</v>
      </c>
      <c r="B8352" s="14">
        <f t="shared" si="1"/>
        <v>0.09417292336</v>
      </c>
      <c r="C8352" s="39">
        <f t="array" ref="C8352">NPV(B8352,FCFF!$C$9:$I$9)+FCFF!$B$9+FCFF!$I$9*(1+Inputs!$B$6)/(B8352-Inputs!$B$6)/(1+B8352)^7</f>
        <v>-1203.708745</v>
      </c>
    </row>
    <row r="8353" ht="14.25" customHeight="1">
      <c r="A8353" s="7">
        <v>8340.0</v>
      </c>
      <c r="B8353" s="14">
        <f t="shared" si="1"/>
        <v>0.1111422572</v>
      </c>
      <c r="C8353" s="39">
        <f t="array" ref="C8353">NPV(B8353,FCFF!$C$9:$I$9)+FCFF!$B$9+FCFF!$I$9*(1+Inputs!$B$6)/(B8353-Inputs!$B$6)/(1+B8353)^7</f>
        <v>-1655.228921</v>
      </c>
    </row>
    <row r="8354" ht="14.25" customHeight="1">
      <c r="A8354" s="7">
        <v>8341.0</v>
      </c>
      <c r="B8354" s="14">
        <f t="shared" si="1"/>
        <v>0.1223792355</v>
      </c>
      <c r="C8354" s="39">
        <f t="array" ref="C8354">NPV(B8354,FCFF!$C$9:$I$9)+FCFF!$B$9+FCFF!$I$9*(1+Inputs!$B$6)/(B8354-Inputs!$B$6)/(1+B8354)^7</f>
        <v>-1860.757521</v>
      </c>
    </row>
    <row r="8355" ht="14.25" customHeight="1">
      <c r="A8355" s="7">
        <v>8342.0</v>
      </c>
      <c r="B8355" s="14">
        <f t="shared" si="1"/>
        <v>0.1063767843</v>
      </c>
      <c r="C8355" s="39">
        <f t="array" ref="C8355">NPV(B8355,FCFF!$C$9:$I$9)+FCFF!$B$9+FCFF!$I$9*(1+Inputs!$B$6)/(B8355-Inputs!$B$6)/(1+B8355)^7</f>
        <v>-1548.996916</v>
      </c>
    </row>
    <row r="8356" ht="14.25" customHeight="1">
      <c r="A8356" s="7">
        <v>8343.0</v>
      </c>
      <c r="B8356" s="14">
        <f t="shared" si="1"/>
        <v>0.1168440896</v>
      </c>
      <c r="C8356" s="39">
        <f t="array" ref="C8356">NPV(B8356,FCFF!$C$9:$I$9)+FCFF!$B$9+FCFF!$I$9*(1+Inputs!$B$6)/(B8356-Inputs!$B$6)/(1+B8356)^7</f>
        <v>-1766.496486</v>
      </c>
    </row>
    <row r="8357" ht="14.25" customHeight="1">
      <c r="A8357" s="7">
        <v>8344.0</v>
      </c>
      <c r="B8357" s="14">
        <f t="shared" si="1"/>
        <v>0.1017306836</v>
      </c>
      <c r="C8357" s="39">
        <f t="array" ref="C8357">NPV(B8357,FCFF!$C$9:$I$9)+FCFF!$B$9+FCFF!$I$9*(1+Inputs!$B$6)/(B8357-Inputs!$B$6)/(1+B8357)^7</f>
        <v>-1431.502515</v>
      </c>
    </row>
    <row r="8358" ht="14.25" customHeight="1">
      <c r="A8358" s="7">
        <v>8345.0</v>
      </c>
      <c r="B8358" s="14">
        <f t="shared" si="1"/>
        <v>0.09473051385</v>
      </c>
      <c r="C8358" s="39">
        <f t="array" ref="C8358">NPV(B8358,FCFF!$C$9:$I$9)+FCFF!$B$9+FCFF!$I$9*(1+Inputs!$B$6)/(B8358-Inputs!$B$6)/(1+B8358)^7</f>
        <v>-1222.328368</v>
      </c>
    </row>
    <row r="8359" ht="14.25" customHeight="1">
      <c r="A8359" s="7">
        <v>8346.0</v>
      </c>
      <c r="B8359" s="14">
        <f t="shared" si="1"/>
        <v>0.1172121449</v>
      </c>
      <c r="C8359" s="39">
        <f t="array" ref="C8359">NPV(B8359,FCFF!$C$9:$I$9)+FCFF!$B$9+FCFF!$I$9*(1+Inputs!$B$6)/(B8359-Inputs!$B$6)/(1+B8359)^7</f>
        <v>-1773.156683</v>
      </c>
    </row>
    <row r="8360" ht="14.25" customHeight="1">
      <c r="A8360" s="7">
        <v>8347.0</v>
      </c>
      <c r="B8360" s="14">
        <f t="shared" si="1"/>
        <v>0.09494879403</v>
      </c>
      <c r="C8360" s="39">
        <f t="array" ref="C8360">NPV(B8360,FCFF!$C$9:$I$9)+FCFF!$B$9+FCFF!$I$9*(1+Inputs!$B$6)/(B8360-Inputs!$B$6)/(1+B8360)^7</f>
        <v>-1229.531007</v>
      </c>
    </row>
    <row r="8361" ht="14.25" customHeight="1">
      <c r="A8361" s="7">
        <v>8348.0</v>
      </c>
      <c r="B8361" s="14">
        <f t="shared" si="1"/>
        <v>0.1323539742</v>
      </c>
      <c r="C8361" s="39">
        <f t="array" ref="C8361">NPV(B8361,FCFF!$C$9:$I$9)+FCFF!$B$9+FCFF!$I$9*(1+Inputs!$B$6)/(B8361-Inputs!$B$6)/(1+B8361)^7</f>
        <v>-2003.284551</v>
      </c>
    </row>
    <row r="8362" ht="14.25" customHeight="1">
      <c r="A8362" s="7">
        <v>8349.0</v>
      </c>
      <c r="B8362" s="14">
        <f t="shared" si="1"/>
        <v>0.1005293807</v>
      </c>
      <c r="C8362" s="39">
        <f t="array" ref="C8362">NPV(B8362,FCFF!$C$9:$I$9)+FCFF!$B$9+FCFF!$I$9*(1+Inputs!$B$6)/(B8362-Inputs!$B$6)/(1+B8362)^7</f>
        <v>-1398.567942</v>
      </c>
    </row>
    <row r="8363" ht="14.25" customHeight="1">
      <c r="A8363" s="7">
        <v>8350.0</v>
      </c>
      <c r="B8363" s="14">
        <f t="shared" si="1"/>
        <v>0.1105568079</v>
      </c>
      <c r="C8363" s="39">
        <f t="array" ref="C8363">NPV(B8363,FCFF!$C$9:$I$9)+FCFF!$B$9+FCFF!$I$9*(1+Inputs!$B$6)/(B8363-Inputs!$B$6)/(1+B8363)^7</f>
        <v>-1642.875902</v>
      </c>
    </row>
    <row r="8364" ht="14.25" customHeight="1">
      <c r="A8364" s="7">
        <v>8351.0</v>
      </c>
      <c r="B8364" s="14">
        <f t="shared" si="1"/>
        <v>0.1106995463</v>
      </c>
      <c r="C8364" s="39">
        <f t="array" ref="C8364">NPV(B8364,FCFF!$C$9:$I$9)+FCFF!$B$9+FCFF!$I$9*(1+Inputs!$B$6)/(B8364-Inputs!$B$6)/(1+B8364)^7</f>
        <v>-1645.904788</v>
      </c>
    </row>
    <row r="8365" ht="14.25" customHeight="1">
      <c r="A8365" s="7">
        <v>8352.0</v>
      </c>
      <c r="B8365" s="14">
        <f t="shared" si="1"/>
        <v>0.1326729304</v>
      </c>
      <c r="C8365" s="39">
        <f t="array" ref="C8365">NPV(B8365,FCFF!$C$9:$I$9)+FCFF!$B$9+FCFF!$I$9*(1+Inputs!$B$6)/(B8365-Inputs!$B$6)/(1+B8365)^7</f>
        <v>-2007.348872</v>
      </c>
    </row>
    <row r="8366" ht="14.25" customHeight="1">
      <c r="A8366" s="7">
        <v>8353.0</v>
      </c>
      <c r="B8366" s="14">
        <f t="shared" si="1"/>
        <v>0.1179388746</v>
      </c>
      <c r="C8366" s="39">
        <f t="array" ref="C8366">NPV(B8366,FCFF!$C$9:$I$9)+FCFF!$B$9+FCFF!$I$9*(1+Inputs!$B$6)/(B8366-Inputs!$B$6)/(1+B8366)^7</f>
        <v>-1786.135184</v>
      </c>
    </row>
    <row r="8367" ht="14.25" customHeight="1">
      <c r="A8367" s="7">
        <v>8354.0</v>
      </c>
      <c r="B8367" s="14">
        <f t="shared" si="1"/>
        <v>0.1079385173</v>
      </c>
      <c r="C8367" s="39">
        <f t="array" ref="C8367">NPV(B8367,FCFF!$C$9:$I$9)+FCFF!$B$9+FCFF!$I$9*(1+Inputs!$B$6)/(B8367-Inputs!$B$6)/(1+B8367)^7</f>
        <v>-1585.2835</v>
      </c>
    </row>
    <row r="8368" ht="14.25" customHeight="1">
      <c r="A8368" s="7">
        <v>8355.0</v>
      </c>
      <c r="B8368" s="14">
        <f t="shared" si="1"/>
        <v>0.1173145868</v>
      </c>
      <c r="C8368" s="39">
        <f t="array" ref="C8368">NPV(B8368,FCFF!$C$9:$I$9)+FCFF!$B$9+FCFF!$I$9*(1+Inputs!$B$6)/(B8368-Inputs!$B$6)/(1+B8368)^7</f>
        <v>-1774.999935</v>
      </c>
    </row>
    <row r="8369" ht="14.25" customHeight="1">
      <c r="A8369" s="7">
        <v>8356.0</v>
      </c>
      <c r="B8369" s="14">
        <f t="shared" si="1"/>
        <v>0.09941070377</v>
      </c>
      <c r="C8369" s="39">
        <f t="array" ref="C8369">NPV(B8369,FCFF!$C$9:$I$9)+FCFF!$B$9+FCFF!$I$9*(1+Inputs!$B$6)/(B8369-Inputs!$B$6)/(1+B8369)^7</f>
        <v>-1366.865237</v>
      </c>
    </row>
    <row r="8370" ht="14.25" customHeight="1">
      <c r="A8370" s="7">
        <v>8357.0</v>
      </c>
      <c r="B8370" s="14">
        <f t="shared" si="1"/>
        <v>0.1099553425</v>
      </c>
      <c r="C8370" s="39">
        <f t="array" ref="C8370">NPV(B8370,FCFF!$C$9:$I$9)+FCFF!$B$9+FCFF!$I$9*(1+Inputs!$B$6)/(B8370-Inputs!$B$6)/(1+B8370)^7</f>
        <v>-1629.990068</v>
      </c>
    </row>
    <row r="8371" ht="14.25" customHeight="1">
      <c r="A8371" s="7">
        <v>8358.0</v>
      </c>
      <c r="B8371" s="14">
        <f t="shared" si="1"/>
        <v>0.1171970519</v>
      </c>
      <c r="C8371" s="39">
        <f t="array" ref="C8371">NPV(B8371,FCFF!$C$9:$I$9)+FCFF!$B$9+FCFF!$I$9*(1+Inputs!$B$6)/(B8371-Inputs!$B$6)/(1+B8371)^7</f>
        <v>-1772.884728</v>
      </c>
    </row>
    <row r="8372" ht="14.25" customHeight="1">
      <c r="A8372" s="7">
        <v>8359.0</v>
      </c>
      <c r="B8372" s="14">
        <f t="shared" si="1"/>
        <v>0.131994364</v>
      </c>
      <c r="C8372" s="39">
        <f t="array" ref="C8372">NPV(B8372,FCFF!$C$9:$I$9)+FCFF!$B$9+FCFF!$I$9*(1+Inputs!$B$6)/(B8372-Inputs!$B$6)/(1+B8372)^7</f>
        <v>-1998.668908</v>
      </c>
    </row>
    <row r="8373" ht="14.25" customHeight="1">
      <c r="A8373" s="7">
        <v>8360.0</v>
      </c>
      <c r="B8373" s="14">
        <f t="shared" si="1"/>
        <v>0.09617392073</v>
      </c>
      <c r="C8373" s="39">
        <f t="array" ref="C8373">NPV(B8373,FCFF!$C$9:$I$9)+FCFF!$B$9+FCFF!$I$9*(1+Inputs!$B$6)/(B8373-Inputs!$B$6)/(1+B8373)^7</f>
        <v>-1269.080287</v>
      </c>
    </row>
    <row r="8374" ht="14.25" customHeight="1">
      <c r="A8374" s="7">
        <v>8361.0</v>
      </c>
      <c r="B8374" s="14">
        <f t="shared" si="1"/>
        <v>0.1252072806</v>
      </c>
      <c r="C8374" s="39">
        <f t="array" ref="C8374">NPV(B8374,FCFF!$C$9:$I$9)+FCFF!$B$9+FCFF!$I$9*(1+Inputs!$B$6)/(B8374-Inputs!$B$6)/(1+B8374)^7</f>
        <v>-1904.434277</v>
      </c>
    </row>
    <row r="8375" ht="14.25" customHeight="1">
      <c r="A8375" s="7">
        <v>8362.0</v>
      </c>
      <c r="B8375" s="14">
        <f t="shared" si="1"/>
        <v>0.1188973859</v>
      </c>
      <c r="C8375" s="39">
        <f t="array" ref="C8375">NPV(B8375,FCFF!$C$9:$I$9)+FCFF!$B$9+FCFF!$I$9*(1+Inputs!$B$6)/(B8375-Inputs!$B$6)/(1+B8375)^7</f>
        <v>-1802.911307</v>
      </c>
    </row>
    <row r="8376" ht="14.25" customHeight="1">
      <c r="A8376" s="7">
        <v>8363.0</v>
      </c>
      <c r="B8376" s="14">
        <f t="shared" si="1"/>
        <v>0.1245198482</v>
      </c>
      <c r="C8376" s="39">
        <f t="array" ref="C8376">NPV(B8376,FCFF!$C$9:$I$9)+FCFF!$B$9+FCFF!$I$9*(1+Inputs!$B$6)/(B8376-Inputs!$B$6)/(1+B8376)^7</f>
        <v>-1894.074494</v>
      </c>
    </row>
    <row r="8377" ht="14.25" customHeight="1">
      <c r="A8377" s="7">
        <v>8364.0</v>
      </c>
      <c r="B8377" s="14">
        <f t="shared" si="1"/>
        <v>0.1254608871</v>
      </c>
      <c r="C8377" s="39">
        <f t="array" ref="C8377">NPV(B8377,FCFF!$C$9:$I$9)+FCFF!$B$9+FCFF!$I$9*(1+Inputs!$B$6)/(B8377-Inputs!$B$6)/(1+B8377)^7</f>
        <v>-1908.215811</v>
      </c>
    </row>
    <row r="8378" ht="14.25" customHeight="1">
      <c r="A8378" s="7">
        <v>8365.0</v>
      </c>
      <c r="B8378" s="14">
        <f t="shared" si="1"/>
        <v>0.09732339748</v>
      </c>
      <c r="C8378" s="39">
        <f t="array" ref="C8378">NPV(B8378,FCFF!$C$9:$I$9)+FCFF!$B$9+FCFF!$I$9*(1+Inputs!$B$6)/(B8378-Inputs!$B$6)/(1+B8378)^7</f>
        <v>-1304.883465</v>
      </c>
    </row>
    <row r="8379" ht="14.25" customHeight="1">
      <c r="A8379" s="7">
        <v>8366.0</v>
      </c>
      <c r="B8379" s="14">
        <f t="shared" si="1"/>
        <v>0.09971815564</v>
      </c>
      <c r="C8379" s="39">
        <f t="array" ref="C8379">NPV(B8379,FCFF!$C$9:$I$9)+FCFF!$B$9+FCFF!$I$9*(1+Inputs!$B$6)/(B8379-Inputs!$B$6)/(1+B8379)^7</f>
        <v>-1375.680271</v>
      </c>
    </row>
    <row r="8380" ht="14.25" customHeight="1">
      <c r="A8380" s="7">
        <v>8367.0</v>
      </c>
      <c r="B8380" s="14">
        <f t="shared" si="1"/>
        <v>0.09499441351</v>
      </c>
      <c r="C8380" s="39">
        <f t="array" ref="C8380">NPV(B8380,FCFF!$C$9:$I$9)+FCFF!$B$9+FCFF!$I$9*(1+Inputs!$B$6)/(B8380-Inputs!$B$6)/(1+B8380)^7</f>
        <v>-1231.030255</v>
      </c>
    </row>
    <row r="8381" ht="14.25" customHeight="1">
      <c r="A8381" s="7">
        <v>8368.0</v>
      </c>
      <c r="B8381" s="14">
        <f t="shared" si="1"/>
        <v>0.1082633694</v>
      </c>
      <c r="C8381" s="39">
        <f t="array" ref="C8381">NPV(B8381,FCFF!$C$9:$I$9)+FCFF!$B$9+FCFF!$I$9*(1+Inputs!$B$6)/(B8381-Inputs!$B$6)/(1+B8381)^7</f>
        <v>-1592.644707</v>
      </c>
    </row>
    <row r="8382" ht="14.25" customHeight="1">
      <c r="A8382" s="7">
        <v>8369.0</v>
      </c>
      <c r="B8382" s="14">
        <f t="shared" si="1"/>
        <v>0.1011767847</v>
      </c>
      <c r="C8382" s="39">
        <f t="array" ref="C8382">NPV(B8382,FCFF!$C$9:$I$9)+FCFF!$B$9+FCFF!$I$9*(1+Inputs!$B$6)/(B8382-Inputs!$B$6)/(1+B8382)^7</f>
        <v>-1416.456424</v>
      </c>
    </row>
    <row r="8383" ht="14.25" customHeight="1">
      <c r="A8383" s="7">
        <v>8370.0</v>
      </c>
      <c r="B8383" s="14">
        <f t="shared" si="1"/>
        <v>0.1006633023</v>
      </c>
      <c r="C8383" s="39">
        <f t="array" ref="C8383">NPV(B8383,FCFF!$C$9:$I$9)+FCFF!$B$9+FCFF!$I$9*(1+Inputs!$B$6)/(B8383-Inputs!$B$6)/(1+B8383)^7</f>
        <v>-1402.295465</v>
      </c>
    </row>
    <row r="8384" ht="14.25" customHeight="1">
      <c r="A8384" s="7">
        <v>8371.0</v>
      </c>
      <c r="B8384" s="14">
        <f t="shared" si="1"/>
        <v>0.09538381144</v>
      </c>
      <c r="C8384" s="39">
        <f t="array" ref="C8384">NPV(B8384,FCFF!$C$9:$I$9)+FCFF!$B$9+FCFF!$I$9*(1+Inputs!$B$6)/(B8384-Inputs!$B$6)/(1+B8384)^7</f>
        <v>-1243.742914</v>
      </c>
    </row>
    <row r="8385" ht="14.25" customHeight="1">
      <c r="A8385" s="7">
        <v>8372.0</v>
      </c>
      <c r="B8385" s="14">
        <f t="shared" si="1"/>
        <v>0.1256137573</v>
      </c>
      <c r="C8385" s="39">
        <f t="array" ref="C8385">NPV(B8385,FCFF!$C$9:$I$9)+FCFF!$B$9+FCFF!$I$9*(1+Inputs!$B$6)/(B8385-Inputs!$B$6)/(1+B8385)^7</f>
        <v>-1910.484867</v>
      </c>
    </row>
    <row r="8386" ht="14.25" customHeight="1">
      <c r="A8386" s="7">
        <v>8373.0</v>
      </c>
      <c r="B8386" s="14">
        <f t="shared" si="1"/>
        <v>0.09356988784</v>
      </c>
      <c r="C8386" s="39">
        <f t="array" ref="C8386">NPV(B8386,FCFF!$C$9:$I$9)+FCFF!$B$9+FCFF!$I$9*(1+Inputs!$B$6)/(B8386-Inputs!$B$6)/(1+B8386)^7</f>
        <v>-1183.207303</v>
      </c>
    </row>
    <row r="8387" ht="14.25" customHeight="1">
      <c r="A8387" s="7">
        <v>8374.0</v>
      </c>
      <c r="B8387" s="14">
        <f t="shared" si="1"/>
        <v>0.1000151212</v>
      </c>
      <c r="C8387" s="39">
        <f t="array" ref="C8387">NPV(B8387,FCFF!$C$9:$I$9)+FCFF!$B$9+FCFF!$I$9*(1+Inputs!$B$6)/(B8387-Inputs!$B$6)/(1+B8387)^7</f>
        <v>-1384.120728</v>
      </c>
    </row>
    <row r="8388" ht="14.25" customHeight="1">
      <c r="A8388" s="7">
        <v>8375.0</v>
      </c>
      <c r="B8388" s="14">
        <f t="shared" si="1"/>
        <v>0.1168916115</v>
      </c>
      <c r="C8388" s="39">
        <f t="array" ref="C8388">NPV(B8388,FCFF!$C$9:$I$9)+FCFF!$B$9+FCFF!$I$9*(1+Inputs!$B$6)/(B8388-Inputs!$B$6)/(1+B8388)^7</f>
        <v>-1767.359759</v>
      </c>
    </row>
    <row r="8389" ht="14.25" customHeight="1">
      <c r="A8389" s="7">
        <v>8376.0</v>
      </c>
      <c r="B8389" s="14">
        <f t="shared" si="1"/>
        <v>0.1116247239</v>
      </c>
      <c r="C8389" s="39">
        <f t="array" ref="C8389">NPV(B8389,FCFF!$C$9:$I$9)+FCFF!$B$9+FCFF!$I$9*(1+Inputs!$B$6)/(B8389-Inputs!$B$6)/(1+B8389)^7</f>
        <v>-1665.271102</v>
      </c>
    </row>
    <row r="8390" ht="14.25" customHeight="1">
      <c r="A8390" s="7">
        <v>8377.0</v>
      </c>
      <c r="B8390" s="14">
        <f t="shared" si="1"/>
        <v>0.1214327954</v>
      </c>
      <c r="C8390" s="39">
        <f t="array" ref="C8390">NPV(B8390,FCFF!$C$9:$I$9)+FCFF!$B$9+FCFF!$I$9*(1+Inputs!$B$6)/(B8390-Inputs!$B$6)/(1+B8390)^7</f>
        <v>-1845.496202</v>
      </c>
    </row>
    <row r="8391" ht="14.25" customHeight="1">
      <c r="A8391" s="7">
        <v>8378.0</v>
      </c>
      <c r="B8391" s="14">
        <f t="shared" si="1"/>
        <v>0.09926724067</v>
      </c>
      <c r="C8391" s="39">
        <f t="array" ref="C8391">NPV(B8391,FCFF!$C$9:$I$9)+FCFF!$B$9+FCFF!$I$9*(1+Inputs!$B$6)/(B8391-Inputs!$B$6)/(1+B8391)^7</f>
        <v>-1362.725055</v>
      </c>
    </row>
    <row r="8392" ht="14.25" customHeight="1">
      <c r="A8392" s="7">
        <v>8379.0</v>
      </c>
      <c r="B8392" s="14">
        <f t="shared" si="1"/>
        <v>0.1188402612</v>
      </c>
      <c r="C8392" s="39">
        <f t="array" ref="C8392">NPV(B8392,FCFF!$C$9:$I$9)+FCFF!$B$9+FCFF!$I$9*(1+Inputs!$B$6)/(B8392-Inputs!$B$6)/(1+B8392)^7</f>
        <v>-1801.922197</v>
      </c>
    </row>
    <row r="8393" ht="14.25" customHeight="1">
      <c r="A8393" s="7">
        <v>8380.0</v>
      </c>
      <c r="B8393" s="14">
        <f t="shared" si="1"/>
        <v>0.09901381785</v>
      </c>
      <c r="C8393" s="39">
        <f t="array" ref="C8393">NPV(B8393,FCFF!$C$9:$I$9)+FCFF!$B$9+FCFF!$I$9*(1+Inputs!$B$6)/(B8393-Inputs!$B$6)/(1+B8393)^7</f>
        <v>-1355.369313</v>
      </c>
    </row>
    <row r="8394" ht="14.25" customHeight="1">
      <c r="A8394" s="7">
        <v>8381.0</v>
      </c>
      <c r="B8394" s="14">
        <f t="shared" si="1"/>
        <v>0.1023651577</v>
      </c>
      <c r="C8394" s="39">
        <f t="array" ref="C8394">NPV(B8394,FCFF!$C$9:$I$9)+FCFF!$B$9+FCFF!$I$9*(1+Inputs!$B$6)/(B8394-Inputs!$B$6)/(1+B8394)^7</f>
        <v>-1448.451197</v>
      </c>
    </row>
    <row r="8395" ht="14.25" customHeight="1">
      <c r="A8395" s="7">
        <v>8382.0</v>
      </c>
      <c r="B8395" s="14">
        <f t="shared" si="1"/>
        <v>0.1048463598</v>
      </c>
      <c r="C8395" s="39">
        <f t="array" ref="C8395">NPV(B8395,FCFF!$C$9:$I$9)+FCFF!$B$9+FCFF!$I$9*(1+Inputs!$B$6)/(B8395-Inputs!$B$6)/(1+B8395)^7</f>
        <v>-1511.933841</v>
      </c>
    </row>
    <row r="8396" ht="14.25" customHeight="1">
      <c r="A8396" s="7">
        <v>8383.0</v>
      </c>
      <c r="B8396" s="14">
        <f t="shared" si="1"/>
        <v>0.09461074638</v>
      </c>
      <c r="C8396" s="39">
        <f t="array" ref="C8396">NPV(B8396,FCFF!$C$9:$I$9)+FCFF!$B$9+FCFF!$I$9*(1+Inputs!$B$6)/(B8396-Inputs!$B$6)/(1+B8396)^7</f>
        <v>-1218.355852</v>
      </c>
    </row>
    <row r="8397" ht="14.25" customHeight="1">
      <c r="A8397" s="7">
        <v>8384.0</v>
      </c>
      <c r="B8397" s="14">
        <f t="shared" si="1"/>
        <v>0.105800737</v>
      </c>
      <c r="C8397" s="39">
        <f t="array" ref="C8397">NPV(B8397,FCFF!$C$9:$I$9)+FCFF!$B$9+FCFF!$I$9*(1+Inputs!$B$6)/(B8397-Inputs!$B$6)/(1+B8397)^7</f>
        <v>-1535.225882</v>
      </c>
    </row>
    <row r="8398" ht="14.25" customHeight="1">
      <c r="A8398" s="7">
        <v>8385.0</v>
      </c>
      <c r="B8398" s="14">
        <f t="shared" si="1"/>
        <v>0.1303598809</v>
      </c>
      <c r="C8398" s="39">
        <f t="array" ref="C8398">NPV(B8398,FCFF!$C$9:$I$9)+FCFF!$B$9+FCFF!$I$9*(1+Inputs!$B$6)/(B8398-Inputs!$B$6)/(1+B8398)^7</f>
        <v>-1977.235528</v>
      </c>
    </row>
    <row r="8399" ht="14.25" customHeight="1">
      <c r="A8399" s="7">
        <v>8386.0</v>
      </c>
      <c r="B8399" s="14">
        <f t="shared" si="1"/>
        <v>0.1192519039</v>
      </c>
      <c r="C8399" s="39">
        <f t="array" ref="C8399">NPV(B8399,FCFF!$C$9:$I$9)+FCFF!$B$9+FCFF!$I$9*(1+Inputs!$B$6)/(B8399-Inputs!$B$6)/(1+B8399)^7</f>
        <v>-1809.019873</v>
      </c>
    </row>
    <row r="8400" ht="14.25" customHeight="1">
      <c r="A8400" s="7">
        <v>8387.0</v>
      </c>
      <c r="B8400" s="14">
        <f t="shared" si="1"/>
        <v>0.1163266437</v>
      </c>
      <c r="C8400" s="39">
        <f t="array" ref="C8400">NPV(B8400,FCFF!$C$9:$I$9)+FCFF!$B$9+FCFF!$I$9*(1+Inputs!$B$6)/(B8400-Inputs!$B$6)/(1+B8400)^7</f>
        <v>-1757.032054</v>
      </c>
    </row>
    <row r="8401" ht="14.25" customHeight="1">
      <c r="A8401" s="7">
        <v>8388.0</v>
      </c>
      <c r="B8401" s="14">
        <f t="shared" si="1"/>
        <v>0.09581032512</v>
      </c>
      <c r="C8401" s="39">
        <f t="array" ref="C8401">NPV(B8401,FCFF!$C$9:$I$9)+FCFF!$B$9+FCFF!$I$9*(1+Inputs!$B$6)/(B8401-Inputs!$B$6)/(1+B8401)^7</f>
        <v>-1257.495646</v>
      </c>
    </row>
    <row r="8402" ht="14.25" customHeight="1">
      <c r="A8402" s="7">
        <v>8389.0</v>
      </c>
      <c r="B8402" s="14">
        <f t="shared" si="1"/>
        <v>0.113804537</v>
      </c>
      <c r="C8402" s="39">
        <f t="array" ref="C8402">NPV(B8402,FCFF!$C$9:$I$9)+FCFF!$B$9+FCFF!$I$9*(1+Inputs!$B$6)/(B8402-Inputs!$B$6)/(1+B8402)^7</f>
        <v>-1709.146718</v>
      </c>
    </row>
    <row r="8403" ht="14.25" customHeight="1">
      <c r="A8403" s="7">
        <v>8390.0</v>
      </c>
      <c r="B8403" s="14">
        <f t="shared" si="1"/>
        <v>0.1323130658</v>
      </c>
      <c r="C8403" s="39">
        <f t="array" ref="C8403">NPV(B8403,FCFF!$C$9:$I$9)+FCFF!$B$9+FCFF!$I$9*(1+Inputs!$B$6)/(B8403-Inputs!$B$6)/(1+B8403)^7</f>
        <v>-2002.761271</v>
      </c>
    </row>
    <row r="8404" ht="14.25" customHeight="1">
      <c r="A8404" s="7">
        <v>8391.0</v>
      </c>
      <c r="B8404" s="14">
        <f t="shared" si="1"/>
        <v>0.1323511747</v>
      </c>
      <c r="C8404" s="39">
        <f t="array" ref="C8404">NPV(B8404,FCFF!$C$9:$I$9)+FCFF!$B$9+FCFF!$I$9*(1+Inputs!$B$6)/(B8404-Inputs!$B$6)/(1+B8404)^7</f>
        <v>-2003.248755</v>
      </c>
    </row>
    <row r="8405" ht="14.25" customHeight="1">
      <c r="A8405" s="7">
        <v>8392.0</v>
      </c>
      <c r="B8405" s="14">
        <f t="shared" si="1"/>
        <v>0.105809684</v>
      </c>
      <c r="C8405" s="39">
        <f t="array" ref="C8405">NPV(B8405,FCFF!$C$9:$I$9)+FCFF!$B$9+FCFF!$I$9*(1+Inputs!$B$6)/(B8405-Inputs!$B$6)/(1+B8405)^7</f>
        <v>-1535.441404</v>
      </c>
    </row>
    <row r="8406" ht="14.25" customHeight="1">
      <c r="A8406" s="7">
        <v>8393.0</v>
      </c>
      <c r="B8406" s="14">
        <f t="shared" si="1"/>
        <v>0.09336425106</v>
      </c>
      <c r="C8406" s="39">
        <f t="array" ref="C8406">NPV(B8406,FCFF!$C$9:$I$9)+FCFF!$B$9+FCFF!$I$9*(1+Inputs!$B$6)/(B8406-Inputs!$B$6)/(1+B8406)^7</f>
        <v>-1176.12796</v>
      </c>
    </row>
    <row r="8407" ht="14.25" customHeight="1">
      <c r="A8407" s="7">
        <v>8394.0</v>
      </c>
      <c r="B8407" s="14">
        <f t="shared" si="1"/>
        <v>0.1165829837</v>
      </c>
      <c r="C8407" s="39">
        <f t="array" ref="C8407">NPV(B8407,FCFF!$C$9:$I$9)+FCFF!$B$9+FCFF!$I$9*(1+Inputs!$B$6)/(B8407-Inputs!$B$6)/(1+B8407)^7</f>
        <v>-1761.735528</v>
      </c>
    </row>
    <row r="8408" ht="14.25" customHeight="1">
      <c r="A8408" s="7">
        <v>8395.0</v>
      </c>
      <c r="B8408" s="14">
        <f t="shared" si="1"/>
        <v>0.1102986607</v>
      </c>
      <c r="C8408" s="39">
        <f t="array" ref="C8408">NPV(B8408,FCFF!$C$9:$I$9)+FCFF!$B$9+FCFF!$I$9*(1+Inputs!$B$6)/(B8408-Inputs!$B$6)/(1+B8408)^7</f>
        <v>-1637.369774</v>
      </c>
    </row>
    <row r="8409" ht="14.25" customHeight="1">
      <c r="A8409" s="7">
        <v>8396.0</v>
      </c>
      <c r="B8409" s="14">
        <f t="shared" si="1"/>
        <v>0.1285530529</v>
      </c>
      <c r="C8409" s="39">
        <f t="array" ref="C8409">NPV(B8409,FCFF!$C$9:$I$9)+FCFF!$B$9+FCFF!$I$9*(1+Inputs!$B$6)/(B8409-Inputs!$B$6)/(1+B8409)^7</f>
        <v>-1952.64232</v>
      </c>
    </row>
    <row r="8410" ht="14.25" customHeight="1">
      <c r="A8410" s="7">
        <v>8397.0</v>
      </c>
      <c r="B8410" s="14">
        <f t="shared" si="1"/>
        <v>0.09410763464</v>
      </c>
      <c r="C8410" s="39">
        <f t="array" ref="C8410">NPV(B8410,FCFF!$C$9:$I$9)+FCFF!$B$9+FCFF!$I$9*(1+Inputs!$B$6)/(B8410-Inputs!$B$6)/(1+B8410)^7</f>
        <v>-1201.507559</v>
      </c>
    </row>
    <row r="8411" ht="14.25" customHeight="1">
      <c r="A8411" s="7">
        <v>8398.0</v>
      </c>
      <c r="B8411" s="14">
        <f t="shared" si="1"/>
        <v>0.1004601815</v>
      </c>
      <c r="C8411" s="39">
        <f t="array" ref="C8411">NPV(B8411,FCFF!$C$9:$I$9)+FCFF!$B$9+FCFF!$I$9*(1+Inputs!$B$6)/(B8411-Inputs!$B$6)/(1+B8411)^7</f>
        <v>-1396.636283</v>
      </c>
    </row>
    <row r="8412" ht="14.25" customHeight="1">
      <c r="A8412" s="7">
        <v>8399.0</v>
      </c>
      <c r="B8412" s="14">
        <f t="shared" si="1"/>
        <v>0.1231446309</v>
      </c>
      <c r="C8412" s="39">
        <f t="array" ref="C8412">NPV(B8412,FCFF!$C$9:$I$9)+FCFF!$B$9+FCFF!$I$9*(1+Inputs!$B$6)/(B8412-Inputs!$B$6)/(1+B8412)^7</f>
        <v>-1872.858101</v>
      </c>
    </row>
    <row r="8413" ht="14.25" customHeight="1">
      <c r="A8413" s="7">
        <v>8400.0</v>
      </c>
      <c r="B8413" s="14">
        <f t="shared" si="1"/>
        <v>0.1137034798</v>
      </c>
      <c r="C8413" s="39">
        <f t="array" ref="C8413">NPV(B8413,FCFF!$C$9:$I$9)+FCFF!$B$9+FCFF!$I$9*(1+Inputs!$B$6)/(B8413-Inputs!$B$6)/(1+B8413)^7</f>
        <v>-1707.165175</v>
      </c>
    </row>
    <row r="8414" ht="14.25" customHeight="1">
      <c r="A8414" s="7">
        <v>8401.0</v>
      </c>
      <c r="B8414" s="14">
        <f t="shared" si="1"/>
        <v>0.1192451617</v>
      </c>
      <c r="C8414" s="39">
        <f t="array" ref="C8414">NPV(B8414,FCFF!$C$9:$I$9)+FCFF!$B$9+FCFF!$I$9*(1+Inputs!$B$6)/(B8414-Inputs!$B$6)/(1+B8414)^7</f>
        <v>-1808.904178</v>
      </c>
    </row>
    <row r="8415" ht="14.25" customHeight="1">
      <c r="A8415" s="7">
        <v>8402.0</v>
      </c>
      <c r="B8415" s="14">
        <f t="shared" si="1"/>
        <v>0.1184476315</v>
      </c>
      <c r="C8415" s="39">
        <f t="array" ref="C8415">NPV(B8415,FCFF!$C$9:$I$9)+FCFF!$B$9+FCFF!$I$9*(1+Inputs!$B$6)/(B8415-Inputs!$B$6)/(1+B8415)^7</f>
        <v>-1795.087339</v>
      </c>
    </row>
    <row r="8416" ht="14.25" customHeight="1">
      <c r="A8416" s="7">
        <v>8403.0</v>
      </c>
      <c r="B8416" s="14">
        <f t="shared" si="1"/>
        <v>0.1271516022</v>
      </c>
      <c r="C8416" s="39">
        <f t="array" ref="C8416">NPV(B8416,FCFF!$C$9:$I$9)+FCFF!$B$9+FCFF!$I$9*(1+Inputs!$B$6)/(B8416-Inputs!$B$6)/(1+B8416)^7</f>
        <v>-1932.884543</v>
      </c>
    </row>
    <row r="8417" ht="14.25" customHeight="1">
      <c r="A8417" s="7">
        <v>8404.0</v>
      </c>
      <c r="B8417" s="14">
        <f t="shared" si="1"/>
        <v>0.09754556858</v>
      </c>
      <c r="C8417" s="39">
        <f t="array" ref="C8417">NPV(B8417,FCFF!$C$9:$I$9)+FCFF!$B$9+FCFF!$I$9*(1+Inputs!$B$6)/(B8417-Inputs!$B$6)/(1+B8417)^7</f>
        <v>-1311.663185</v>
      </c>
    </row>
    <row r="8418" ht="14.25" customHeight="1">
      <c r="A8418" s="7">
        <v>8405.0</v>
      </c>
      <c r="B8418" s="14">
        <f t="shared" si="1"/>
        <v>0.1321071684</v>
      </c>
      <c r="C8418" s="39">
        <f t="array" ref="C8418">NPV(B8418,FCFF!$C$9:$I$9)+FCFF!$B$9+FCFF!$I$9*(1+Inputs!$B$6)/(B8418-Inputs!$B$6)/(1+B8418)^7</f>
        <v>-2000.120584</v>
      </c>
    </row>
    <row r="8419" ht="14.25" customHeight="1">
      <c r="A8419" s="7">
        <v>8406.0</v>
      </c>
      <c r="B8419" s="14">
        <f t="shared" si="1"/>
        <v>0.1000301867</v>
      </c>
      <c r="C8419" s="39">
        <f t="array" ref="C8419">NPV(B8419,FCFF!$C$9:$I$9)+FCFF!$B$9+FCFF!$I$9*(1+Inputs!$B$6)/(B8419-Inputs!$B$6)/(1+B8419)^7</f>
        <v>-1384.547004</v>
      </c>
    </row>
    <row r="8420" ht="14.25" customHeight="1">
      <c r="A8420" s="7">
        <v>8407.0</v>
      </c>
      <c r="B8420" s="14">
        <f t="shared" si="1"/>
        <v>0.1177103982</v>
      </c>
      <c r="C8420" s="39">
        <f t="array" ref="C8420">NPV(B8420,FCFF!$C$9:$I$9)+FCFF!$B$9+FCFF!$I$9*(1+Inputs!$B$6)/(B8420-Inputs!$B$6)/(1+B8420)^7</f>
        <v>-1782.079273</v>
      </c>
    </row>
    <row r="8421" ht="14.25" customHeight="1">
      <c r="A8421" s="7">
        <v>8408.0</v>
      </c>
      <c r="B8421" s="14">
        <f t="shared" si="1"/>
        <v>0.1175989326</v>
      </c>
      <c r="C8421" s="39">
        <f t="array" ref="C8421">NPV(B8421,FCFF!$C$9:$I$9)+FCFF!$B$9+FCFF!$I$9*(1+Inputs!$B$6)/(B8421-Inputs!$B$6)/(1+B8421)^7</f>
        <v>-1780.09245</v>
      </c>
    </row>
    <row r="8422" ht="14.25" customHeight="1">
      <c r="A8422" s="7">
        <v>8409.0</v>
      </c>
      <c r="B8422" s="14">
        <f t="shared" si="1"/>
        <v>0.1184964997</v>
      </c>
      <c r="C8422" s="39">
        <f t="array" ref="C8422">NPV(B8422,FCFF!$C$9:$I$9)+FCFF!$B$9+FCFF!$I$9*(1+Inputs!$B$6)/(B8422-Inputs!$B$6)/(1+B8422)^7</f>
        <v>-1795.941518</v>
      </c>
    </row>
    <row r="8423" ht="14.25" customHeight="1">
      <c r="A8423" s="7">
        <v>8410.0</v>
      </c>
      <c r="B8423" s="14">
        <f t="shared" si="1"/>
        <v>0.1169713843</v>
      </c>
      <c r="C8423" s="39">
        <f t="array" ref="C8423">NPV(B8423,FCFF!$C$9:$I$9)+FCFF!$B$9+FCFF!$I$9*(1+Inputs!$B$6)/(B8423-Inputs!$B$6)/(1+B8423)^7</f>
        <v>-1768.806667</v>
      </c>
    </row>
    <row r="8424" ht="14.25" customHeight="1">
      <c r="A8424" s="7">
        <v>8411.0</v>
      </c>
      <c r="B8424" s="14">
        <f t="shared" si="1"/>
        <v>0.1128296686</v>
      </c>
      <c r="C8424" s="39">
        <f t="array" ref="C8424">NPV(B8424,FCFF!$C$9:$I$9)+FCFF!$B$9+FCFF!$I$9*(1+Inputs!$B$6)/(B8424-Inputs!$B$6)/(1+B8424)^7</f>
        <v>-1689.821234</v>
      </c>
    </row>
    <row r="8425" ht="14.25" customHeight="1">
      <c r="A8425" s="7">
        <v>8412.0</v>
      </c>
      <c r="B8425" s="14">
        <f t="shared" si="1"/>
        <v>0.1296872835</v>
      </c>
      <c r="C8425" s="39">
        <f t="array" ref="C8425">NPV(B8425,FCFF!$C$9:$I$9)+FCFF!$B$9+FCFF!$I$9*(1+Inputs!$B$6)/(B8425-Inputs!$B$6)/(1+B8425)^7</f>
        <v>-1968.193522</v>
      </c>
    </row>
    <row r="8426" ht="14.25" customHeight="1">
      <c r="A8426" s="7">
        <v>8413.0</v>
      </c>
      <c r="B8426" s="14">
        <f t="shared" si="1"/>
        <v>0.09330861355</v>
      </c>
      <c r="C8426" s="39">
        <f t="array" ref="C8426">NPV(B8426,FCFF!$C$9:$I$9)+FCFF!$B$9+FCFF!$I$9*(1+Inputs!$B$6)/(B8426-Inputs!$B$6)/(1+B8426)^7</f>
        <v>-1174.204741</v>
      </c>
    </row>
    <row r="8427" ht="14.25" customHeight="1">
      <c r="A8427" s="7">
        <v>8414.0</v>
      </c>
      <c r="B8427" s="14">
        <f t="shared" si="1"/>
        <v>0.1034009724</v>
      </c>
      <c r="C8427" s="39">
        <f t="array" ref="C8427">NPV(B8427,FCFF!$C$9:$I$9)+FCFF!$B$9+FCFF!$I$9*(1+Inputs!$B$6)/(B8427-Inputs!$B$6)/(1+B8427)^7</f>
        <v>-1475.483094</v>
      </c>
    </row>
    <row r="8428" ht="14.25" customHeight="1">
      <c r="A8428" s="7">
        <v>8415.0</v>
      </c>
      <c r="B8428" s="14">
        <f t="shared" si="1"/>
        <v>0.1238890892</v>
      </c>
      <c r="C8428" s="39">
        <f t="array" ref="C8428">NPV(B8428,FCFF!$C$9:$I$9)+FCFF!$B$9+FCFF!$I$9*(1+Inputs!$B$6)/(B8428-Inputs!$B$6)/(1+B8428)^7</f>
        <v>-1884.425829</v>
      </c>
    </row>
    <row r="8429" ht="14.25" customHeight="1">
      <c r="A8429" s="7">
        <v>8416.0</v>
      </c>
      <c r="B8429" s="14">
        <f t="shared" si="1"/>
        <v>0.1027133973</v>
      </c>
      <c r="C8429" s="39">
        <f t="array" ref="C8429">NPV(B8429,FCFF!$C$9:$I$9)+FCFF!$B$9+FCFF!$I$9*(1+Inputs!$B$6)/(B8429-Inputs!$B$6)/(1+B8429)^7</f>
        <v>-1457.626425</v>
      </c>
    </row>
    <row r="8430" ht="14.25" customHeight="1">
      <c r="A8430" s="7">
        <v>8417.0</v>
      </c>
      <c r="B8430" s="14">
        <f t="shared" si="1"/>
        <v>0.09331979018</v>
      </c>
      <c r="C8430" s="39">
        <f t="array" ref="C8430">NPV(B8430,FCFF!$C$9:$I$9)+FCFF!$B$9+FCFF!$I$9*(1+Inputs!$B$6)/(B8430-Inputs!$B$6)/(1+B8430)^7</f>
        <v>-1174.591351</v>
      </c>
    </row>
    <row r="8431" ht="14.25" customHeight="1">
      <c r="A8431" s="7">
        <v>8418.0</v>
      </c>
      <c r="B8431" s="14">
        <f t="shared" si="1"/>
        <v>0.1138848004</v>
      </c>
      <c r="C8431" s="39">
        <f t="array" ref="C8431">NPV(B8431,FCFF!$C$9:$I$9)+FCFF!$B$9+FCFF!$I$9*(1+Inputs!$B$6)/(B8431-Inputs!$B$6)/(1+B8431)^7</f>
        <v>-1710.716989</v>
      </c>
    </row>
    <row r="8432" ht="14.25" customHeight="1">
      <c r="A8432" s="7">
        <v>8419.0</v>
      </c>
      <c r="B8432" s="14">
        <f t="shared" si="1"/>
        <v>0.12940453</v>
      </c>
      <c r="C8432" s="39">
        <f t="array" ref="C8432">NPV(B8432,FCFF!$C$9:$I$9)+FCFF!$B$9+FCFF!$I$9*(1+Inputs!$B$6)/(B8432-Inputs!$B$6)/(1+B8432)^7</f>
        <v>-1964.352708</v>
      </c>
    </row>
    <row r="8433" ht="14.25" customHeight="1">
      <c r="A8433" s="7">
        <v>8420.0</v>
      </c>
      <c r="B8433" s="14">
        <f t="shared" si="1"/>
        <v>0.1003355202</v>
      </c>
      <c r="C8433" s="39">
        <f t="array" ref="C8433">NPV(B8433,FCFF!$C$9:$I$9)+FCFF!$B$9+FCFF!$I$9*(1+Inputs!$B$6)/(B8433-Inputs!$B$6)/(1+B8433)^7</f>
        <v>-1393.146763</v>
      </c>
    </row>
    <row r="8434" ht="14.25" customHeight="1">
      <c r="A8434" s="7">
        <v>8421.0</v>
      </c>
      <c r="B8434" s="14">
        <f t="shared" si="1"/>
        <v>0.1023018831</v>
      </c>
      <c r="C8434" s="39">
        <f t="array" ref="C8434">NPV(B8434,FCFF!$C$9:$I$9)+FCFF!$B$9+FCFF!$I$9*(1+Inputs!$B$6)/(B8434-Inputs!$B$6)/(1+B8434)^7</f>
        <v>-1446.774459</v>
      </c>
    </row>
    <row r="8435" ht="14.25" customHeight="1">
      <c r="A8435" s="7">
        <v>8422.0</v>
      </c>
      <c r="B8435" s="14">
        <f t="shared" si="1"/>
        <v>0.1117390459</v>
      </c>
      <c r="C8435" s="39">
        <f t="array" ref="C8435">NPV(B8435,FCFF!$C$9:$I$9)+FCFF!$B$9+FCFF!$I$9*(1+Inputs!$B$6)/(B8435-Inputs!$B$6)/(1+B8435)^7</f>
        <v>-1667.632621</v>
      </c>
    </row>
    <row r="8436" ht="14.25" customHeight="1">
      <c r="A8436" s="7">
        <v>8423.0</v>
      </c>
      <c r="B8436" s="14">
        <f t="shared" si="1"/>
        <v>0.1099362986</v>
      </c>
      <c r="C8436" s="39">
        <f t="array" ref="C8436">NPV(B8436,FCFF!$C$9:$I$9)+FCFF!$B$9+FCFF!$I$9*(1+Inputs!$B$6)/(B8436-Inputs!$B$6)/(1+B8436)^7</f>
        <v>-1629.578799</v>
      </c>
    </row>
    <row r="8437" ht="14.25" customHeight="1">
      <c r="A8437" s="7">
        <v>8424.0</v>
      </c>
      <c r="B8437" s="14">
        <f t="shared" si="1"/>
        <v>0.1089360738</v>
      </c>
      <c r="C8437" s="39">
        <f t="array" ref="C8437">NPV(B8437,FCFF!$C$9:$I$9)+FCFF!$B$9+FCFF!$I$9*(1+Inputs!$B$6)/(B8437-Inputs!$B$6)/(1+B8437)^7</f>
        <v>-1607.690218</v>
      </c>
    </row>
    <row r="8438" ht="14.25" customHeight="1">
      <c r="A8438" s="7">
        <v>8425.0</v>
      </c>
      <c r="B8438" s="14">
        <f t="shared" si="1"/>
        <v>0.1251298779</v>
      </c>
      <c r="C8438" s="39">
        <f t="array" ref="C8438">NPV(B8438,FCFF!$C$9:$I$9)+FCFF!$B$9+FCFF!$I$9*(1+Inputs!$B$6)/(B8438-Inputs!$B$6)/(1+B8438)^7</f>
        <v>-1903.275815</v>
      </c>
    </row>
    <row r="8439" ht="14.25" customHeight="1">
      <c r="A8439" s="7">
        <v>8426.0</v>
      </c>
      <c r="B8439" s="14">
        <f t="shared" si="1"/>
        <v>0.1031710457</v>
      </c>
      <c r="C8439" s="39">
        <f t="array" ref="C8439">NPV(B8439,FCFF!$C$9:$I$9)+FCFF!$B$9+FCFF!$I$9*(1+Inputs!$B$6)/(B8439-Inputs!$B$6)/(1+B8439)^7</f>
        <v>-1469.549677</v>
      </c>
    </row>
    <row r="8440" ht="14.25" customHeight="1">
      <c r="A8440" s="7">
        <v>8427.0</v>
      </c>
      <c r="B8440" s="14">
        <f t="shared" si="1"/>
        <v>0.1109043753</v>
      </c>
      <c r="C8440" s="39">
        <f t="array" ref="C8440">NPV(B8440,FCFF!$C$9:$I$9)+FCFF!$B$9+FCFF!$I$9*(1+Inputs!$B$6)/(B8440-Inputs!$B$6)/(1+B8440)^7</f>
        <v>-1650.231913</v>
      </c>
    </row>
    <row r="8441" ht="14.25" customHeight="1">
      <c r="A8441" s="7">
        <v>8428.0</v>
      </c>
      <c r="B8441" s="14">
        <f t="shared" si="1"/>
        <v>0.1177188516</v>
      </c>
      <c r="C8441" s="39">
        <f t="array" ref="C8441">NPV(B8441,FCFF!$C$9:$I$9)+FCFF!$B$9+FCFF!$I$9*(1+Inputs!$B$6)/(B8441-Inputs!$B$6)/(1+B8441)^7</f>
        <v>-1782.229734</v>
      </c>
    </row>
    <row r="8442" ht="14.25" customHeight="1">
      <c r="A8442" s="7">
        <v>8429.0</v>
      </c>
      <c r="B8442" s="14">
        <f t="shared" si="1"/>
        <v>0.1043063264</v>
      </c>
      <c r="C8442" s="39">
        <f t="array" ref="C8442">NPV(B8442,FCFF!$C$9:$I$9)+FCFF!$B$9+FCFF!$I$9*(1+Inputs!$B$6)/(B8442-Inputs!$B$6)/(1+B8442)^7</f>
        <v>-1498.483751</v>
      </c>
    </row>
    <row r="8443" ht="14.25" customHeight="1">
      <c r="A8443" s="7">
        <v>8430.0</v>
      </c>
      <c r="B8443" s="14">
        <f t="shared" si="1"/>
        <v>0.1123993214</v>
      </c>
      <c r="C8443" s="39">
        <f t="array" ref="C8443">NPV(B8443,FCFF!$C$9:$I$9)+FCFF!$B$9+FCFF!$I$9*(1+Inputs!$B$6)/(B8443-Inputs!$B$6)/(1+B8443)^7</f>
        <v>-1681.138736</v>
      </c>
    </row>
    <row r="8444" ht="14.25" customHeight="1">
      <c r="A8444" s="7">
        <v>8431.0</v>
      </c>
      <c r="B8444" s="14">
        <f t="shared" si="1"/>
        <v>0.1149573624</v>
      </c>
      <c r="C8444" s="39">
        <f t="array" ref="C8444">NPV(B8444,FCFF!$C$9:$I$9)+FCFF!$B$9+FCFF!$I$9*(1+Inputs!$B$6)/(B8444-Inputs!$B$6)/(1+B8444)^7</f>
        <v>-1731.403484</v>
      </c>
    </row>
    <row r="8445" ht="14.25" customHeight="1">
      <c r="A8445" s="7">
        <v>8432.0</v>
      </c>
      <c r="B8445" s="14">
        <f t="shared" si="1"/>
        <v>0.09946619576</v>
      </c>
      <c r="C8445" s="39">
        <f t="array" ref="C8445">NPV(B8445,FCFF!$C$9:$I$9)+FCFF!$B$9+FCFF!$I$9*(1+Inputs!$B$6)/(B8445-Inputs!$B$6)/(1+B8445)^7</f>
        <v>-1368.462064</v>
      </c>
    </row>
    <row r="8446" ht="14.25" customHeight="1">
      <c r="A8446" s="7">
        <v>8433.0</v>
      </c>
      <c r="B8446" s="14">
        <f t="shared" si="1"/>
        <v>0.09533454283</v>
      </c>
      <c r="C8446" s="39">
        <f t="array" ref="C8446">NPV(B8446,FCFF!$C$9:$I$9)+FCFF!$B$9+FCFF!$I$9*(1+Inputs!$B$6)/(B8446-Inputs!$B$6)/(1+B8446)^7</f>
        <v>-1242.142765</v>
      </c>
    </row>
    <row r="8447" ht="14.25" customHeight="1">
      <c r="A8447" s="7">
        <v>8434.0</v>
      </c>
      <c r="B8447" s="14">
        <f t="shared" si="1"/>
        <v>0.1087256978</v>
      </c>
      <c r="C8447" s="39">
        <f t="array" ref="C8447">NPV(B8447,FCFF!$C$9:$I$9)+FCFF!$B$9+FCFF!$I$9*(1+Inputs!$B$6)/(B8447-Inputs!$B$6)/(1+B8447)^7</f>
        <v>-1603.013446</v>
      </c>
    </row>
    <row r="8448" ht="14.25" customHeight="1">
      <c r="A8448" s="7">
        <v>8435.0</v>
      </c>
      <c r="B8448" s="14">
        <f t="shared" si="1"/>
        <v>0.1066746986</v>
      </c>
      <c r="C8448" s="39">
        <f t="array" ref="C8448">NPV(B8448,FCFF!$C$9:$I$9)+FCFF!$B$9+FCFF!$I$9*(1+Inputs!$B$6)/(B8448-Inputs!$B$6)/(1+B8448)^7</f>
        <v>-1556.035845</v>
      </c>
    </row>
    <row r="8449" ht="14.25" customHeight="1">
      <c r="A8449" s="7">
        <v>8436.0</v>
      </c>
      <c r="B8449" s="14">
        <f t="shared" si="1"/>
        <v>0.1194329571</v>
      </c>
      <c r="C8449" s="39">
        <f t="array" ref="C8449">NPV(B8449,FCFF!$C$9:$I$9)+FCFF!$B$9+FCFF!$I$9*(1+Inputs!$B$6)/(B8449-Inputs!$B$6)/(1+B8449)^7</f>
        <v>-1812.119794</v>
      </c>
    </row>
    <row r="8450" ht="14.25" customHeight="1">
      <c r="A8450" s="7">
        <v>8437.0</v>
      </c>
      <c r="B8450" s="14">
        <f t="shared" si="1"/>
        <v>0.1266302639</v>
      </c>
      <c r="C8450" s="39">
        <f t="array" ref="C8450">NPV(B8450,FCFF!$C$9:$I$9)+FCFF!$B$9+FCFF!$I$9*(1+Inputs!$B$6)/(B8450-Inputs!$B$6)/(1+B8450)^7</f>
        <v>-1925.376848</v>
      </c>
    </row>
    <row r="8451" ht="14.25" customHeight="1">
      <c r="A8451" s="7">
        <v>8438.0</v>
      </c>
      <c r="B8451" s="14">
        <f t="shared" si="1"/>
        <v>0.1086027357</v>
      </c>
      <c r="C8451" s="39">
        <f t="array" ref="C8451">NPV(B8451,FCFF!$C$9:$I$9)+FCFF!$B$9+FCFF!$I$9*(1+Inputs!$B$6)/(B8451-Inputs!$B$6)/(1+B8451)^7</f>
        <v>-1600.267999</v>
      </c>
    </row>
    <row r="8452" ht="14.25" customHeight="1">
      <c r="A8452" s="7">
        <v>8439.0</v>
      </c>
      <c r="B8452" s="14">
        <f t="shared" si="1"/>
        <v>0.09976448108</v>
      </c>
      <c r="C8452" s="39">
        <f t="array" ref="C8452">NPV(B8452,FCFF!$C$9:$I$9)+FCFF!$B$9+FCFF!$I$9*(1+Inputs!$B$6)/(B8452-Inputs!$B$6)/(1+B8452)^7</f>
        <v>-1377.001708</v>
      </c>
    </row>
    <row r="8453" ht="14.25" customHeight="1">
      <c r="A8453" s="7">
        <v>8440.0</v>
      </c>
      <c r="B8453" s="14">
        <f t="shared" si="1"/>
        <v>0.09504936755</v>
      </c>
      <c r="C8453" s="39">
        <f t="array" ref="C8453">NPV(B8453,FCFF!$C$9:$I$9)+FCFF!$B$9+FCFF!$I$9*(1+Inputs!$B$6)/(B8453-Inputs!$B$6)/(1+B8453)^7</f>
        <v>-1232.833502</v>
      </c>
    </row>
    <row r="8454" ht="14.25" customHeight="1">
      <c r="A8454" s="7">
        <v>8441.0</v>
      </c>
      <c r="B8454" s="14">
        <f t="shared" si="1"/>
        <v>0.1051692766</v>
      </c>
      <c r="C8454" s="39">
        <f t="array" ref="C8454">NPV(B8454,FCFF!$C$9:$I$9)+FCFF!$B$9+FCFF!$I$9*(1+Inputs!$B$6)/(B8454-Inputs!$B$6)/(1+B8454)^7</f>
        <v>-1519.882335</v>
      </c>
    </row>
    <row r="8455" ht="14.25" customHeight="1">
      <c r="A8455" s="7">
        <v>8442.0</v>
      </c>
      <c r="B8455" s="14">
        <f t="shared" si="1"/>
        <v>0.1240599929</v>
      </c>
      <c r="C8455" s="39">
        <f t="array" ref="C8455">NPV(B8455,FCFF!$C$9:$I$9)+FCFF!$B$9+FCFF!$I$9*(1+Inputs!$B$6)/(B8455-Inputs!$B$6)/(1+B8455)^7</f>
        <v>-1887.0538</v>
      </c>
    </row>
    <row r="8456" ht="14.25" customHeight="1">
      <c r="A8456" s="7">
        <v>8443.0</v>
      </c>
      <c r="B8456" s="14">
        <f t="shared" si="1"/>
        <v>0.1105520726</v>
      </c>
      <c r="C8456" s="39">
        <f t="array" ref="C8456">NPV(B8456,FCFF!$C$9:$I$9)+FCFF!$B$9+FCFF!$I$9*(1+Inputs!$B$6)/(B8456-Inputs!$B$6)/(1+B8456)^7</f>
        <v>-1642.775229</v>
      </c>
    </row>
    <row r="8457" ht="14.25" customHeight="1">
      <c r="A8457" s="7">
        <v>8444.0</v>
      </c>
      <c r="B8457" s="14">
        <f t="shared" si="1"/>
        <v>0.1005502474</v>
      </c>
      <c r="C8457" s="39">
        <f t="array" ref="C8457">NPV(B8457,FCFF!$C$9:$I$9)+FCFF!$B$9+FCFF!$I$9*(1+Inputs!$B$6)/(B8457-Inputs!$B$6)/(1+B8457)^7</f>
        <v>-1399.149677</v>
      </c>
    </row>
    <row r="8458" ht="14.25" customHeight="1">
      <c r="A8458" s="7">
        <v>8445.0</v>
      </c>
      <c r="B8458" s="14">
        <f t="shared" si="1"/>
        <v>0.1108263353</v>
      </c>
      <c r="C8458" s="39">
        <f t="array" ref="C8458">NPV(B8458,FCFF!$C$9:$I$9)+FCFF!$B$9+FCFF!$I$9*(1+Inputs!$B$6)/(B8458-Inputs!$B$6)/(1+B8458)^7</f>
        <v>-1648.585953</v>
      </c>
    </row>
    <row r="8459" ht="14.25" customHeight="1">
      <c r="A8459" s="7">
        <v>8446.0</v>
      </c>
      <c r="B8459" s="14">
        <f t="shared" si="1"/>
        <v>0.09342295518</v>
      </c>
      <c r="C8459" s="39">
        <f t="array" ref="C8459">NPV(B8459,FCFF!$C$9:$I$9)+FCFF!$B$9+FCFF!$I$9*(1+Inputs!$B$6)/(B8459-Inputs!$B$6)/(1+B8459)^7</f>
        <v>-1178.153564</v>
      </c>
    </row>
    <row r="8460" ht="14.25" customHeight="1">
      <c r="A8460" s="7">
        <v>8447.0</v>
      </c>
      <c r="B8460" s="14">
        <f t="shared" si="1"/>
        <v>0.1014374585</v>
      </c>
      <c r="C8460" s="39">
        <f t="array" ref="C8460">NPV(B8460,FCFF!$C$9:$I$9)+FCFF!$B$9+FCFF!$I$9*(1+Inputs!$B$6)/(B8460-Inputs!$B$6)/(1+B8460)^7</f>
        <v>-1423.566722</v>
      </c>
    </row>
    <row r="8461" ht="14.25" customHeight="1">
      <c r="A8461" s="7">
        <v>8448.0</v>
      </c>
      <c r="B8461" s="14">
        <f t="shared" si="1"/>
        <v>0.1183432959</v>
      </c>
      <c r="C8461" s="39">
        <f t="array" ref="C8461">NPV(B8461,FCFF!$C$9:$I$9)+FCFF!$B$9+FCFF!$I$9*(1+Inputs!$B$6)/(B8461-Inputs!$B$6)/(1+B8461)^7</f>
        <v>-1793.260295</v>
      </c>
    </row>
    <row r="8462" ht="14.25" customHeight="1">
      <c r="A8462" s="7">
        <v>8449.0</v>
      </c>
      <c r="B8462" s="14">
        <f t="shared" si="1"/>
        <v>0.1303685046</v>
      </c>
      <c r="C8462" s="39">
        <f t="array" ref="C8462">NPV(B8462,FCFF!$C$9:$I$9)+FCFF!$B$9+FCFF!$I$9*(1+Inputs!$B$6)/(B8462-Inputs!$B$6)/(1+B8462)^7</f>
        <v>-1977.350607</v>
      </c>
    </row>
    <row r="8463" ht="14.25" customHeight="1">
      <c r="A8463" s="7">
        <v>8450.0</v>
      </c>
      <c r="B8463" s="14">
        <f t="shared" si="1"/>
        <v>0.1310787948</v>
      </c>
      <c r="C8463" s="39">
        <f t="array" ref="C8463">NPV(B8463,FCFF!$C$9:$I$9)+FCFF!$B$9+FCFF!$I$9*(1+Inputs!$B$6)/(B8463-Inputs!$B$6)/(1+B8463)^7</f>
        <v>-1986.755757</v>
      </c>
    </row>
    <row r="8464" ht="14.25" customHeight="1">
      <c r="A8464" s="7">
        <v>8451.0</v>
      </c>
      <c r="B8464" s="14">
        <f t="shared" si="1"/>
        <v>0.1041321623</v>
      </c>
      <c r="C8464" s="39">
        <f t="array" ref="C8464">NPV(B8464,FCFF!$C$9:$I$9)+FCFF!$B$9+FCFF!$I$9*(1+Inputs!$B$6)/(B8464-Inputs!$B$6)/(1+B8464)^7</f>
        <v>-1494.103462</v>
      </c>
    </row>
    <row r="8465" ht="14.25" customHeight="1">
      <c r="A8465" s="7">
        <v>8452.0</v>
      </c>
      <c r="B8465" s="14">
        <f t="shared" si="1"/>
        <v>0.1028745161</v>
      </c>
      <c r="C8465" s="39">
        <f t="array" ref="C8465">NPV(B8465,FCFF!$C$9:$I$9)+FCFF!$B$9+FCFF!$I$9*(1+Inputs!$B$6)/(B8465-Inputs!$B$6)/(1+B8465)^7</f>
        <v>-1461.841424</v>
      </c>
    </row>
    <row r="8466" ht="14.25" customHeight="1">
      <c r="A8466" s="7">
        <v>8453.0</v>
      </c>
      <c r="B8466" s="14">
        <f t="shared" si="1"/>
        <v>0.1163238862</v>
      </c>
      <c r="C8466" s="39">
        <f t="array" ref="C8466">NPV(B8466,FCFF!$C$9:$I$9)+FCFF!$B$9+FCFF!$I$9*(1+Inputs!$B$6)/(B8466-Inputs!$B$6)/(1+B8466)^7</f>
        <v>-1756.981299</v>
      </c>
    </row>
    <row r="8467" ht="14.25" customHeight="1">
      <c r="A8467" s="7">
        <v>8454.0</v>
      </c>
      <c r="B8467" s="14">
        <f t="shared" si="1"/>
        <v>0.1301134061</v>
      </c>
      <c r="C8467" s="39">
        <f t="array" ref="C8467">NPV(B8467,FCFF!$C$9:$I$9)+FCFF!$B$9+FCFF!$I$9*(1+Inputs!$B$6)/(B8467-Inputs!$B$6)/(1+B8467)^7</f>
        <v>-1973.937371</v>
      </c>
    </row>
    <row r="8468" ht="14.25" customHeight="1">
      <c r="A8468" s="7">
        <v>8455.0</v>
      </c>
      <c r="B8468" s="14">
        <f t="shared" si="1"/>
        <v>0.1048693028</v>
      </c>
      <c r="C8468" s="39">
        <f t="array" ref="C8468">NPV(B8468,FCFF!$C$9:$I$9)+FCFF!$B$9+FCFF!$I$9*(1+Inputs!$B$6)/(B8468-Inputs!$B$6)/(1+B8468)^7</f>
        <v>-1512.500881</v>
      </c>
    </row>
    <row r="8469" ht="14.25" customHeight="1">
      <c r="A8469" s="7">
        <v>8456.0</v>
      </c>
      <c r="B8469" s="14">
        <f t="shared" si="1"/>
        <v>0.1029441595</v>
      </c>
      <c r="C8469" s="39">
        <f t="array" ref="C8469">NPV(B8469,FCFF!$C$9:$I$9)+FCFF!$B$9+FCFF!$I$9*(1+Inputs!$B$6)/(B8469-Inputs!$B$6)/(1+B8469)^7</f>
        <v>-1463.657508</v>
      </c>
    </row>
    <row r="8470" ht="14.25" customHeight="1">
      <c r="A8470" s="7">
        <v>8457.0</v>
      </c>
      <c r="B8470" s="14">
        <f t="shared" si="1"/>
        <v>0.09645446441</v>
      </c>
      <c r="C8470" s="39">
        <f t="array" ref="C8470">NPV(B8470,FCFF!$C$9:$I$9)+FCFF!$B$9+FCFF!$I$9*(1+Inputs!$B$6)/(B8470-Inputs!$B$6)/(1+B8470)^7</f>
        <v>-1277.932466</v>
      </c>
    </row>
    <row r="8471" ht="14.25" customHeight="1">
      <c r="A8471" s="7">
        <v>8458.0</v>
      </c>
      <c r="B8471" s="14">
        <f t="shared" si="1"/>
        <v>0.1049645086</v>
      </c>
      <c r="C8471" s="39">
        <f t="array" ref="C8471">NPV(B8471,FCFF!$C$9:$I$9)+FCFF!$B$9+FCFF!$I$9*(1+Inputs!$B$6)/(B8471-Inputs!$B$6)/(1+B8471)^7</f>
        <v>-1514.850135</v>
      </c>
    </row>
    <row r="8472" ht="14.25" customHeight="1">
      <c r="A8472" s="7">
        <v>8459.0</v>
      </c>
      <c r="B8472" s="14">
        <f t="shared" si="1"/>
        <v>0.1124132273</v>
      </c>
      <c r="C8472" s="39">
        <f t="array" ref="C8472">NPV(B8472,FCFF!$C$9:$I$9)+FCFF!$B$9+FCFF!$I$9*(1+Inputs!$B$6)/(B8472-Inputs!$B$6)/(1+B8472)^7</f>
        <v>-1681.420768</v>
      </c>
    </row>
    <row r="8473" ht="14.25" customHeight="1">
      <c r="A8473" s="7">
        <v>8460.0</v>
      </c>
      <c r="B8473" s="14">
        <f t="shared" si="1"/>
        <v>0.1048718489</v>
      </c>
      <c r="C8473" s="39">
        <f t="array" ref="C8473">NPV(B8473,FCFF!$C$9:$I$9)+FCFF!$B$9+FCFF!$I$9*(1+Inputs!$B$6)/(B8473-Inputs!$B$6)/(1+B8473)^7</f>
        <v>-1512.563787</v>
      </c>
    </row>
    <row r="8474" ht="14.25" customHeight="1">
      <c r="A8474" s="7">
        <v>8461.0</v>
      </c>
      <c r="B8474" s="14">
        <f t="shared" si="1"/>
        <v>0.1063196681</v>
      </c>
      <c r="C8474" s="39">
        <f t="array" ref="C8474">NPV(B8474,FCFF!$C$9:$I$9)+FCFF!$B$9+FCFF!$I$9*(1+Inputs!$B$6)/(B8474-Inputs!$B$6)/(1+B8474)^7</f>
        <v>-1547.640987</v>
      </c>
    </row>
    <row r="8475" ht="14.25" customHeight="1">
      <c r="A8475" s="7">
        <v>8462.0</v>
      </c>
      <c r="B8475" s="14">
        <f t="shared" si="1"/>
        <v>0.1108058917</v>
      </c>
      <c r="C8475" s="39">
        <f t="array" ref="C8475">NPV(B8475,FCFF!$C$9:$I$9)+FCFF!$B$9+FCFF!$I$9*(1+Inputs!$B$6)/(B8475-Inputs!$B$6)/(1+B8475)^7</f>
        <v>-1648.154226</v>
      </c>
    </row>
    <row r="8476" ht="14.25" customHeight="1">
      <c r="A8476" s="7">
        <v>8463.0</v>
      </c>
      <c r="B8476" s="14">
        <f t="shared" si="1"/>
        <v>0.09457793853</v>
      </c>
      <c r="C8476" s="39">
        <f t="array" ref="C8476">NPV(B8476,FCFF!$C$9:$I$9)+FCFF!$B$9+FCFF!$I$9*(1+Inputs!$B$6)/(B8476-Inputs!$B$6)/(1+B8476)^7</f>
        <v>-1217.265112</v>
      </c>
    </row>
    <row r="8477" ht="14.25" customHeight="1">
      <c r="A8477" s="7">
        <v>8464.0</v>
      </c>
      <c r="B8477" s="14">
        <f t="shared" si="1"/>
        <v>0.1316048871</v>
      </c>
      <c r="C8477" s="39">
        <f t="array" ref="C8477">NPV(B8477,FCFF!$C$9:$I$9)+FCFF!$B$9+FCFF!$I$9*(1+Inputs!$B$6)/(B8477-Inputs!$B$6)/(1+B8477)^7</f>
        <v>-1993.629719</v>
      </c>
    </row>
    <row r="8478" ht="14.25" customHeight="1">
      <c r="A8478" s="7">
        <v>8465.0</v>
      </c>
      <c r="B8478" s="14">
        <f t="shared" si="1"/>
        <v>0.130425021</v>
      </c>
      <c r="C8478" s="39">
        <f t="array" ref="C8478">NPV(B8478,FCFF!$C$9:$I$9)+FCFF!$B$9+FCFF!$I$9*(1+Inputs!$B$6)/(B8478-Inputs!$B$6)/(1+B8478)^7</f>
        <v>-1978.104252</v>
      </c>
    </row>
    <row r="8479" ht="14.25" customHeight="1">
      <c r="A8479" s="7">
        <v>8466.0</v>
      </c>
      <c r="B8479" s="14">
        <f t="shared" si="1"/>
        <v>0.1221982101</v>
      </c>
      <c r="C8479" s="39">
        <f t="array" ref="C8479">NPV(B8479,FCFF!$C$9:$I$9)+FCFF!$B$9+FCFF!$I$9*(1+Inputs!$B$6)/(B8479-Inputs!$B$6)/(1+B8479)^7</f>
        <v>-1857.864273</v>
      </c>
    </row>
    <row r="8480" ht="14.25" customHeight="1">
      <c r="A8480" s="7">
        <v>8467.0</v>
      </c>
      <c r="B8480" s="14">
        <f t="shared" si="1"/>
        <v>0.1200963594</v>
      </c>
      <c r="C8480" s="39">
        <f t="array" ref="C8480">NPV(B8480,FCFF!$C$9:$I$9)+FCFF!$B$9+FCFF!$I$9*(1+Inputs!$B$6)/(B8480-Inputs!$B$6)/(1+B8480)^7</f>
        <v>-1823.365732</v>
      </c>
    </row>
    <row r="8481" ht="14.25" customHeight="1">
      <c r="A8481" s="7">
        <v>8468.0</v>
      </c>
      <c r="B8481" s="14">
        <f t="shared" si="1"/>
        <v>0.1218090641</v>
      </c>
      <c r="C8481" s="39">
        <f t="array" ref="C8481">NPV(B8481,FCFF!$C$9:$I$9)+FCFF!$B$9+FCFF!$I$9*(1+Inputs!$B$6)/(B8481-Inputs!$B$6)/(1+B8481)^7</f>
        <v>-1851.603606</v>
      </c>
    </row>
    <row r="8482" ht="14.25" customHeight="1">
      <c r="A8482" s="7">
        <v>8469.0</v>
      </c>
      <c r="B8482" s="14">
        <f t="shared" si="1"/>
        <v>0.09670807765</v>
      </c>
      <c r="C8482" s="39">
        <f t="array" ref="C8482">NPV(B8482,FCFF!$C$9:$I$9)+FCFF!$B$9+FCFF!$I$9*(1+Inputs!$B$6)/(B8482-Inputs!$B$6)/(1+B8482)^7</f>
        <v>-1285.871002</v>
      </c>
    </row>
    <row r="8483" ht="14.25" customHeight="1">
      <c r="A8483" s="7">
        <v>8470.0</v>
      </c>
      <c r="B8483" s="14">
        <f t="shared" si="1"/>
        <v>0.09561204083</v>
      </c>
      <c r="C8483" s="39">
        <f t="array" ref="C8483">NPV(B8483,FCFF!$C$9:$I$9)+FCFF!$B$9+FCFF!$I$9*(1+Inputs!$B$6)/(B8483-Inputs!$B$6)/(1+B8483)^7</f>
        <v>-1251.124187</v>
      </c>
    </row>
    <row r="8484" ht="14.25" customHeight="1">
      <c r="A8484" s="7">
        <v>8471.0</v>
      </c>
      <c r="B8484" s="14">
        <f t="shared" si="1"/>
        <v>0.1200652888</v>
      </c>
      <c r="C8484" s="39">
        <f t="array" ref="C8484">NPV(B8484,FCFF!$C$9:$I$9)+FCFF!$B$9+FCFF!$I$9*(1+Inputs!$B$6)/(B8484-Inputs!$B$6)/(1+B8484)^7</f>
        <v>-1822.84294</v>
      </c>
    </row>
    <row r="8485" ht="14.25" customHeight="1">
      <c r="A8485" s="7">
        <v>8472.0</v>
      </c>
      <c r="B8485" s="14">
        <f t="shared" si="1"/>
        <v>0.09817656386</v>
      </c>
      <c r="C8485" s="39">
        <f t="array" ref="C8485">NPV(B8485,FCFF!$C$9:$I$9)+FCFF!$B$9+FCFF!$I$9*(1+Inputs!$B$6)/(B8485-Inputs!$B$6)/(1+B8485)^7</f>
        <v>-1330.67744</v>
      </c>
    </row>
    <row r="8486" ht="14.25" customHeight="1">
      <c r="A8486" s="7">
        <v>8473.0</v>
      </c>
      <c r="B8486" s="14">
        <f t="shared" si="1"/>
        <v>0.1146216581</v>
      </c>
      <c r="C8486" s="39">
        <f t="array" ref="C8486">NPV(B8486,FCFF!$C$9:$I$9)+FCFF!$B$9+FCFF!$I$9*(1+Inputs!$B$6)/(B8486-Inputs!$B$6)/(1+B8486)^7</f>
        <v>-1724.987635</v>
      </c>
    </row>
    <row r="8487" ht="14.25" customHeight="1">
      <c r="A8487" s="7">
        <v>8474.0</v>
      </c>
      <c r="B8487" s="14">
        <f t="shared" si="1"/>
        <v>0.09874922547</v>
      </c>
      <c r="C8487" s="39">
        <f t="array" ref="C8487">NPV(B8487,FCFF!$C$9:$I$9)+FCFF!$B$9+FCFF!$I$9*(1+Inputs!$B$6)/(B8487-Inputs!$B$6)/(1+B8487)^7</f>
        <v>-1347.631276</v>
      </c>
    </row>
    <row r="8488" ht="14.25" customHeight="1">
      <c r="A8488" s="7">
        <v>8475.0</v>
      </c>
      <c r="B8488" s="14">
        <f t="shared" si="1"/>
        <v>0.1068237136</v>
      </c>
      <c r="C8488" s="39">
        <f t="array" ref="C8488">NPV(B8488,FCFF!$C$9:$I$9)+FCFF!$B$9+FCFF!$I$9*(1+Inputs!$B$6)/(B8488-Inputs!$B$6)/(1+B8488)^7</f>
        <v>-1559.535704</v>
      </c>
    </row>
    <row r="8489" ht="14.25" customHeight="1">
      <c r="A8489" s="7">
        <v>8476.0</v>
      </c>
      <c r="B8489" s="14">
        <f t="shared" si="1"/>
        <v>0.1156309164</v>
      </c>
      <c r="C8489" s="39">
        <f t="array" ref="C8489">NPV(B8489,FCFF!$C$9:$I$9)+FCFF!$B$9+FCFF!$I$9*(1+Inputs!$B$6)/(B8489-Inputs!$B$6)/(1+B8489)^7</f>
        <v>-1744.117543</v>
      </c>
    </row>
    <row r="8490" ht="14.25" customHeight="1">
      <c r="A8490" s="7">
        <v>8477.0</v>
      </c>
      <c r="B8490" s="14">
        <f t="shared" si="1"/>
        <v>0.09883220429</v>
      </c>
      <c r="C8490" s="39">
        <f t="array" ref="C8490">NPV(B8490,FCFF!$C$9:$I$9)+FCFF!$B$9+FCFF!$I$9*(1+Inputs!$B$6)/(B8490-Inputs!$B$6)/(1+B8490)^7</f>
        <v>-1350.064427</v>
      </c>
    </row>
    <row r="8491" ht="14.25" customHeight="1">
      <c r="A8491" s="7">
        <v>8478.0</v>
      </c>
      <c r="B8491" s="14">
        <f t="shared" si="1"/>
        <v>0.104158837</v>
      </c>
      <c r="C8491" s="39">
        <f t="array" ref="C8491">NPV(B8491,FCFF!$C$9:$I$9)+FCFF!$B$9+FCFF!$I$9*(1+Inputs!$B$6)/(B8491-Inputs!$B$6)/(1+B8491)^7</f>
        <v>-1494.7757</v>
      </c>
    </row>
    <row r="8492" ht="14.25" customHeight="1">
      <c r="A8492" s="7">
        <v>8479.0</v>
      </c>
      <c r="B8492" s="14">
        <f t="shared" si="1"/>
        <v>0.09800495963</v>
      </c>
      <c r="C8492" s="39">
        <f t="array" ref="C8492">NPV(B8492,FCFF!$C$9:$I$9)+FCFF!$B$9+FCFF!$I$9*(1+Inputs!$B$6)/(B8492-Inputs!$B$6)/(1+B8492)^7</f>
        <v>-1325.541326</v>
      </c>
    </row>
    <row r="8493" ht="14.25" customHeight="1">
      <c r="A8493" s="7">
        <v>8480.0</v>
      </c>
      <c r="B8493" s="14">
        <f t="shared" si="1"/>
        <v>0.09780424023</v>
      </c>
      <c r="C8493" s="39">
        <f t="array" ref="C8493">NPV(B8493,FCFF!$C$9:$I$9)+FCFF!$B$9+FCFF!$I$9*(1+Inputs!$B$6)/(B8493-Inputs!$B$6)/(1+B8493)^7</f>
        <v>-1319.500768</v>
      </c>
    </row>
    <row r="8494" ht="14.25" customHeight="1">
      <c r="A8494" s="7">
        <v>8481.0</v>
      </c>
      <c r="B8494" s="14">
        <f t="shared" si="1"/>
        <v>0.1185588895</v>
      </c>
      <c r="C8494" s="39">
        <f t="array" ref="C8494">NPV(B8494,FCFF!$C$9:$I$9)+FCFF!$B$9+FCFF!$I$9*(1+Inputs!$B$6)/(B8494-Inputs!$B$6)/(1+B8494)^7</f>
        <v>-1797.030599</v>
      </c>
    </row>
    <row r="8495" ht="14.25" customHeight="1">
      <c r="A8495" s="7">
        <v>8482.0</v>
      </c>
      <c r="B8495" s="14">
        <f t="shared" si="1"/>
        <v>0.09546442248</v>
      </c>
      <c r="C8495" s="39">
        <f t="array" ref="C8495">NPV(B8495,FCFF!$C$9:$I$9)+FCFF!$B$9+FCFF!$I$9*(1+Inputs!$B$6)/(B8495-Inputs!$B$6)/(1+B8495)^7</f>
        <v>-1246.355839</v>
      </c>
    </row>
    <row r="8496" ht="14.25" customHeight="1">
      <c r="A8496" s="7">
        <v>8483.0</v>
      </c>
      <c r="B8496" s="14">
        <f t="shared" si="1"/>
        <v>0.1096359685</v>
      </c>
      <c r="C8496" s="39">
        <f t="array" ref="C8496">NPV(B8496,FCFF!$C$9:$I$9)+FCFF!$B$9+FCFF!$I$9*(1+Inputs!$B$6)/(B8496-Inputs!$B$6)/(1+B8496)^7</f>
        <v>-1623.06605</v>
      </c>
    </row>
    <row r="8497" ht="14.25" customHeight="1">
      <c r="A8497" s="7">
        <v>8484.0</v>
      </c>
      <c r="B8497" s="14">
        <f t="shared" si="1"/>
        <v>0.1241073188</v>
      </c>
      <c r="C8497" s="39">
        <f t="array" ref="C8497">NPV(B8497,FCFF!$C$9:$I$9)+FCFF!$B$9+FCFF!$I$9*(1+Inputs!$B$6)/(B8497-Inputs!$B$6)/(1+B8497)^7</f>
        <v>-1887.779722</v>
      </c>
    </row>
    <row r="8498" ht="14.25" customHeight="1">
      <c r="A8498" s="7">
        <v>8485.0</v>
      </c>
      <c r="B8498" s="14">
        <f t="shared" si="1"/>
        <v>0.0968369265</v>
      </c>
      <c r="C8498" s="39">
        <f t="array" ref="C8498">NPV(B8498,FCFF!$C$9:$I$9)+FCFF!$B$9+FCFF!$I$9*(1+Inputs!$B$6)/(B8498-Inputs!$B$6)/(1+B8498)^7</f>
        <v>-1289.88117</v>
      </c>
    </row>
    <row r="8499" ht="14.25" customHeight="1">
      <c r="A8499" s="7">
        <v>8486.0</v>
      </c>
      <c r="B8499" s="14">
        <f t="shared" si="1"/>
        <v>0.1215894813</v>
      </c>
      <c r="C8499" s="39">
        <f t="array" ref="C8499">NPV(B8499,FCFF!$C$9:$I$9)+FCFF!$B$9+FCFF!$I$9*(1+Inputs!$B$6)/(B8499-Inputs!$B$6)/(1+B8499)^7</f>
        <v>-1848.04593</v>
      </c>
    </row>
    <row r="8500" ht="14.25" customHeight="1">
      <c r="A8500" s="7">
        <v>8487.0</v>
      </c>
      <c r="B8500" s="14">
        <f t="shared" si="1"/>
        <v>0.1245398007</v>
      </c>
      <c r="C8500" s="39">
        <f t="array" ref="C8500">NPV(B8500,FCFF!$C$9:$I$9)+FCFF!$B$9+FCFF!$I$9*(1+Inputs!$B$6)/(B8500-Inputs!$B$6)/(1+B8500)^7</f>
        <v>-1894.377459</v>
      </c>
    </row>
    <row r="8501" ht="14.25" customHeight="1">
      <c r="A8501" s="7">
        <v>8488.0</v>
      </c>
      <c r="B8501" s="14">
        <f t="shared" si="1"/>
        <v>0.09990839115</v>
      </c>
      <c r="C8501" s="39">
        <f t="array" ref="C8501">NPV(B8501,FCFF!$C$9:$I$9)+FCFF!$B$9+FCFF!$I$9*(1+Inputs!$B$6)/(B8501-Inputs!$B$6)/(1+B8501)^7</f>
        <v>-1381.095516</v>
      </c>
    </row>
    <row r="8502" ht="14.25" customHeight="1">
      <c r="A8502" s="7">
        <v>8489.0</v>
      </c>
      <c r="B8502" s="14">
        <f t="shared" si="1"/>
        <v>0.09449634878</v>
      </c>
      <c r="C8502" s="39">
        <f t="array" ref="C8502">NPV(B8502,FCFF!$C$9:$I$9)+FCFF!$B$9+FCFF!$I$9*(1+Inputs!$B$6)/(B8502-Inputs!$B$6)/(1+B8502)^7</f>
        <v>-1214.54778</v>
      </c>
    </row>
    <row r="8503" ht="14.25" customHeight="1">
      <c r="A8503" s="7">
        <v>8490.0</v>
      </c>
      <c r="B8503" s="14">
        <f t="shared" si="1"/>
        <v>0.09768845811</v>
      </c>
      <c r="C8503" s="39">
        <f t="array" ref="C8503">NPV(B8503,FCFF!$C$9:$I$9)+FCFF!$B$9+FCFF!$I$9*(1+Inputs!$B$6)/(B8503-Inputs!$B$6)/(1+B8503)^7</f>
        <v>-1316.000053</v>
      </c>
    </row>
    <row r="8504" ht="14.25" customHeight="1">
      <c r="A8504" s="7">
        <v>8491.0</v>
      </c>
      <c r="B8504" s="14">
        <f t="shared" si="1"/>
        <v>0.1109302889</v>
      </c>
      <c r="C8504" s="39">
        <f t="array" ref="C8504">NPV(B8504,FCFF!$C$9:$I$9)+FCFF!$B$9+FCFF!$I$9*(1+Inputs!$B$6)/(B8504-Inputs!$B$6)/(1+B8504)^7</f>
        <v>-1650.777737</v>
      </c>
    </row>
    <row r="8505" ht="14.25" customHeight="1">
      <c r="A8505" s="7">
        <v>8492.0</v>
      </c>
      <c r="B8505" s="14">
        <f t="shared" si="1"/>
        <v>0.1087818395</v>
      </c>
      <c r="C8505" s="39">
        <f t="array" ref="C8505">NPV(B8505,FCFF!$C$9:$I$9)+FCFF!$B$9+FCFF!$I$9*(1+Inputs!$B$6)/(B8505-Inputs!$B$6)/(1+B8505)^7</f>
        <v>-1604.264024</v>
      </c>
    </row>
    <row r="8506" ht="14.25" customHeight="1">
      <c r="A8506" s="7">
        <v>8493.0</v>
      </c>
      <c r="B8506" s="14">
        <f t="shared" si="1"/>
        <v>0.1104053078</v>
      </c>
      <c r="C8506" s="39">
        <f t="array" ref="C8506">NPV(B8506,FCFF!$C$9:$I$9)+FCFF!$B$9+FCFF!$I$9*(1+Inputs!$B$6)/(B8506-Inputs!$B$6)/(1+B8506)^7</f>
        <v>-1639.648925</v>
      </c>
    </row>
    <row r="8507" ht="14.25" customHeight="1">
      <c r="A8507" s="7">
        <v>8494.0</v>
      </c>
      <c r="B8507" s="14">
        <f t="shared" si="1"/>
        <v>0.1310608364</v>
      </c>
      <c r="C8507" s="39">
        <f t="array" ref="C8507">NPV(B8507,FCFF!$C$9:$I$9)+FCFF!$B$9+FCFF!$I$9*(1+Inputs!$B$6)/(B8507-Inputs!$B$6)/(1+B8507)^7</f>
        <v>-1986.519735</v>
      </c>
    </row>
    <row r="8508" ht="14.25" customHeight="1">
      <c r="A8508" s="7">
        <v>8495.0</v>
      </c>
      <c r="B8508" s="14">
        <f t="shared" si="1"/>
        <v>0.1209705667</v>
      </c>
      <c r="C8508" s="39">
        <f t="array" ref="C8508">NPV(B8508,FCFF!$C$9:$I$9)+FCFF!$B$9+FCFF!$I$9*(1+Inputs!$B$6)/(B8508-Inputs!$B$6)/(1+B8508)^7</f>
        <v>-1837.920042</v>
      </c>
    </row>
    <row r="8509" ht="14.25" customHeight="1">
      <c r="A8509" s="7">
        <v>8496.0</v>
      </c>
      <c r="B8509" s="14">
        <f t="shared" si="1"/>
        <v>0.1084832577</v>
      </c>
      <c r="C8509" s="39">
        <f t="array" ref="C8509">NPV(B8509,FCFF!$C$9:$I$9)+FCFF!$B$9+FCFF!$I$9*(1+Inputs!$B$6)/(B8509-Inputs!$B$6)/(1+B8509)^7</f>
        <v>-1597.591861</v>
      </c>
    </row>
    <row r="8510" ht="14.25" customHeight="1">
      <c r="A8510" s="7">
        <v>8497.0</v>
      </c>
      <c r="B8510" s="14">
        <f t="shared" si="1"/>
        <v>0.1125348084</v>
      </c>
      <c r="C8510" s="39">
        <f t="array" ref="C8510">NPV(B8510,FCFF!$C$9:$I$9)+FCFF!$B$9+FCFF!$I$9*(1+Inputs!$B$6)/(B8510-Inputs!$B$6)/(1+B8510)^7</f>
        <v>-1683.882413</v>
      </c>
    </row>
    <row r="8511" ht="14.25" customHeight="1">
      <c r="A8511" s="7">
        <v>8498.0</v>
      </c>
      <c r="B8511" s="14">
        <f t="shared" si="1"/>
        <v>0.1061462328</v>
      </c>
      <c r="C8511" s="39">
        <f t="array" ref="C8511">NPV(B8511,FCFF!$C$9:$I$9)+FCFF!$B$9+FCFF!$I$9*(1+Inputs!$B$6)/(B8511-Inputs!$B$6)/(1+B8511)^7</f>
        <v>-1543.510904</v>
      </c>
    </row>
    <row r="8512" ht="14.25" customHeight="1">
      <c r="A8512" s="7">
        <v>8499.0</v>
      </c>
      <c r="B8512" s="14">
        <f t="shared" si="1"/>
        <v>0.12020001</v>
      </c>
      <c r="C8512" s="39">
        <f t="array" ref="C8512">NPV(B8512,FCFF!$C$9:$I$9)+FCFF!$B$9+FCFF!$I$9*(1+Inputs!$B$6)/(B8512-Inputs!$B$6)/(1+B8512)^7</f>
        <v>-1825.106995</v>
      </c>
    </row>
    <row r="8513" ht="14.25" customHeight="1">
      <c r="A8513" s="7">
        <v>8500.0</v>
      </c>
      <c r="B8513" s="14">
        <f t="shared" si="1"/>
        <v>0.111252715</v>
      </c>
      <c r="C8513" s="39">
        <f t="array" ref="C8513">NPV(B8513,FCFF!$C$9:$I$9)+FCFF!$B$9+FCFF!$I$9*(1+Inputs!$B$6)/(B8513-Inputs!$B$6)/(1+B8513)^7</f>
        <v>-1657.538924</v>
      </c>
    </row>
    <row r="8514" ht="14.25" customHeight="1">
      <c r="A8514" s="7">
        <v>8501.0</v>
      </c>
      <c r="B8514" s="14">
        <f t="shared" si="1"/>
        <v>0.1236595442</v>
      </c>
      <c r="C8514" s="39">
        <f t="array" ref="C8514">NPV(B8514,FCFF!$C$9:$I$9)+FCFF!$B$9+FCFF!$I$9*(1+Inputs!$B$6)/(B8514-Inputs!$B$6)/(1+B8514)^7</f>
        <v>-1880.879999</v>
      </c>
    </row>
    <row r="8515" ht="14.25" customHeight="1">
      <c r="A8515" s="7">
        <v>8502.0</v>
      </c>
      <c r="B8515" s="14">
        <f t="shared" si="1"/>
        <v>0.1147687034</v>
      </c>
      <c r="C8515" s="39">
        <f t="array" ref="C8515">NPV(B8515,FCFF!$C$9:$I$9)+FCFF!$B$9+FCFF!$I$9*(1+Inputs!$B$6)/(B8515-Inputs!$B$6)/(1+B8515)^7</f>
        <v>-1727.804444</v>
      </c>
    </row>
    <row r="8516" ht="14.25" customHeight="1">
      <c r="A8516" s="7">
        <v>8503.0</v>
      </c>
      <c r="B8516" s="14">
        <f t="shared" si="1"/>
        <v>0.1261169516</v>
      </c>
      <c r="C8516" s="39">
        <f t="array" ref="C8516">NPV(B8516,FCFF!$C$9:$I$9)+FCFF!$B$9+FCFF!$I$9*(1+Inputs!$B$6)/(B8516-Inputs!$B$6)/(1+B8516)^7</f>
        <v>-1917.89906</v>
      </c>
    </row>
    <row r="8517" ht="14.25" customHeight="1">
      <c r="A8517" s="7">
        <v>8504.0</v>
      </c>
      <c r="B8517" s="14">
        <f t="shared" si="1"/>
        <v>0.1042433383</v>
      </c>
      <c r="C8517" s="39">
        <f t="array" ref="C8517">NPV(B8517,FCFF!$C$9:$I$9)+FCFF!$B$9+FCFF!$I$9*(1+Inputs!$B$6)/(B8517-Inputs!$B$6)/(1+B8517)^7</f>
        <v>-1496.901993</v>
      </c>
    </row>
    <row r="8518" ht="14.25" customHeight="1">
      <c r="A8518" s="7">
        <v>8505.0</v>
      </c>
      <c r="B8518" s="14">
        <f t="shared" si="1"/>
        <v>0.101017369</v>
      </c>
      <c r="C8518" s="39">
        <f t="array" ref="C8518">NPV(B8518,FCFF!$C$9:$I$9)+FCFF!$B$9+FCFF!$I$9*(1+Inputs!$B$6)/(B8518-Inputs!$B$6)/(1+B8518)^7</f>
        <v>-1412.082129</v>
      </c>
    </row>
    <row r="8519" ht="14.25" customHeight="1">
      <c r="A8519" s="7">
        <v>8506.0</v>
      </c>
      <c r="B8519" s="14">
        <f t="shared" si="1"/>
        <v>0.1061187975</v>
      </c>
      <c r="C8519" s="39">
        <f t="array" ref="C8519">NPV(B8519,FCFF!$C$9:$I$9)+FCFF!$B$9+FCFF!$I$9*(1+Inputs!$B$6)/(B8519-Inputs!$B$6)/(1+B8519)^7</f>
        <v>-1542.855814</v>
      </c>
    </row>
    <row r="8520" ht="14.25" customHeight="1">
      <c r="A8520" s="7">
        <v>8507.0</v>
      </c>
      <c r="B8520" s="14">
        <f t="shared" si="1"/>
        <v>0.1078373252</v>
      </c>
      <c r="C8520" s="39">
        <f t="array" ref="C8520">NPV(B8520,FCFF!$C$9:$I$9)+FCFF!$B$9+FCFF!$I$9*(1+Inputs!$B$6)/(B8520-Inputs!$B$6)/(1+B8520)^7</f>
        <v>-1582.977572</v>
      </c>
    </row>
    <row r="8521" ht="14.25" customHeight="1">
      <c r="A8521" s="7">
        <v>8508.0</v>
      </c>
      <c r="B8521" s="14">
        <f t="shared" si="1"/>
        <v>0.1173176308</v>
      </c>
      <c r="C8521" s="39">
        <f t="array" ref="C8521">NPV(B8521,FCFF!$C$9:$I$9)+FCFF!$B$9+FCFF!$I$9*(1+Inputs!$B$6)/(B8521-Inputs!$B$6)/(1+B8521)^7</f>
        <v>-1775.054637</v>
      </c>
    </row>
    <row r="8522" ht="14.25" customHeight="1">
      <c r="A8522" s="7">
        <v>8509.0</v>
      </c>
      <c r="B8522" s="14">
        <f t="shared" si="1"/>
        <v>0.1110077127</v>
      </c>
      <c r="C8522" s="39">
        <f t="array" ref="C8522">NPV(B8522,FCFF!$C$9:$I$9)+FCFF!$B$9+FCFF!$I$9*(1+Inputs!$B$6)/(B8522-Inputs!$B$6)/(1+B8522)^7</f>
        <v>-1652.406377</v>
      </c>
    </row>
    <row r="8523" ht="14.25" customHeight="1">
      <c r="A8523" s="7">
        <v>8510.0</v>
      </c>
      <c r="B8523" s="14">
        <f t="shared" si="1"/>
        <v>0.09553217784</v>
      </c>
      <c r="C8523" s="39">
        <f t="array" ref="C8523">NPV(B8523,FCFF!$C$9:$I$9)+FCFF!$B$9+FCFF!$I$9*(1+Inputs!$B$6)/(B8523-Inputs!$B$6)/(1+B8523)^7</f>
        <v>-1248.547116</v>
      </c>
    </row>
    <row r="8524" ht="14.25" customHeight="1">
      <c r="A8524" s="7">
        <v>8511.0</v>
      </c>
      <c r="B8524" s="14">
        <f t="shared" si="1"/>
        <v>0.1186322309</v>
      </c>
      <c r="C8524" s="39">
        <f t="array" ref="C8524">NPV(B8524,FCFF!$C$9:$I$9)+FCFF!$B$9+FCFF!$I$9*(1+Inputs!$B$6)/(B8524-Inputs!$B$6)/(1+B8524)^7</f>
        <v>-1798.308786</v>
      </c>
    </row>
    <row r="8525" ht="14.25" customHeight="1">
      <c r="A8525" s="7">
        <v>8512.0</v>
      </c>
      <c r="B8525" s="14">
        <f t="shared" si="1"/>
        <v>0.1131492818</v>
      </c>
      <c r="C8525" s="39">
        <f t="array" ref="C8525">NPV(B8525,FCFF!$C$9:$I$9)+FCFF!$B$9+FCFF!$I$9*(1+Inputs!$B$6)/(B8525-Inputs!$B$6)/(1+B8525)^7</f>
        <v>-1696.209136</v>
      </c>
    </row>
    <row r="8526" ht="14.25" customHeight="1">
      <c r="A8526" s="7">
        <v>8513.0</v>
      </c>
      <c r="B8526" s="14">
        <f t="shared" si="1"/>
        <v>0.1080170781</v>
      </c>
      <c r="C8526" s="39">
        <f t="array" ref="C8526">NPV(B8526,FCFF!$C$9:$I$9)+FCFF!$B$9+FCFF!$I$9*(1+Inputs!$B$6)/(B8526-Inputs!$B$6)/(1+B8526)^7</f>
        <v>-1587.069478</v>
      </c>
    </row>
    <row r="8527" ht="14.25" customHeight="1">
      <c r="A8527" s="7">
        <v>8514.0</v>
      </c>
      <c r="B8527" s="14">
        <f t="shared" si="1"/>
        <v>0.1319439776</v>
      </c>
      <c r="C8527" s="39">
        <f t="array" ref="C8527">NPV(B8527,FCFF!$C$9:$I$9)+FCFF!$B$9+FCFF!$I$9*(1+Inputs!$B$6)/(B8527-Inputs!$B$6)/(1+B8527)^7</f>
        <v>-1998.019354</v>
      </c>
    </row>
    <row r="8528" ht="14.25" customHeight="1">
      <c r="A8528" s="7">
        <v>8515.0</v>
      </c>
      <c r="B8528" s="14">
        <f t="shared" si="1"/>
        <v>0.09928020014</v>
      </c>
      <c r="C8528" s="39">
        <f t="array" ref="C8528">NPV(B8528,FCFF!$C$9:$I$9)+FCFF!$B$9+FCFF!$I$9*(1+Inputs!$B$6)/(B8528-Inputs!$B$6)/(1+B8528)^7</f>
        <v>-1363.099758</v>
      </c>
    </row>
    <row r="8529" ht="14.25" customHeight="1">
      <c r="A8529" s="7">
        <v>8516.0</v>
      </c>
      <c r="B8529" s="14">
        <f t="shared" si="1"/>
        <v>0.1185135262</v>
      </c>
      <c r="C8529" s="39">
        <f t="array" ref="C8529">NPV(B8529,FCFF!$C$9:$I$9)+FCFF!$B$9+FCFF!$I$9*(1+Inputs!$B$6)/(B8529-Inputs!$B$6)/(1+B8529)^7</f>
        <v>-1796.238895</v>
      </c>
    </row>
    <row r="8530" ht="14.25" customHeight="1">
      <c r="A8530" s="7">
        <v>8517.0</v>
      </c>
      <c r="B8530" s="14">
        <f t="shared" si="1"/>
        <v>0.1207175718</v>
      </c>
      <c r="C8530" s="39">
        <f t="array" ref="C8530">NPV(B8530,FCFF!$C$9:$I$9)+FCFF!$B$9+FCFF!$I$9*(1+Inputs!$B$6)/(B8530-Inputs!$B$6)/(1+B8530)^7</f>
        <v>-1833.738618</v>
      </c>
    </row>
    <row r="8531" ht="14.25" customHeight="1">
      <c r="A8531" s="7">
        <v>8518.0</v>
      </c>
      <c r="B8531" s="14">
        <f t="shared" si="1"/>
        <v>0.1009683425</v>
      </c>
      <c r="C8531" s="39">
        <f t="array" ref="C8531">NPV(B8531,FCFF!$C$9:$I$9)+FCFF!$B$9+FCFF!$I$9*(1+Inputs!$B$6)/(B8531-Inputs!$B$6)/(1+B8531)^7</f>
        <v>-1410.732878</v>
      </c>
    </row>
    <row r="8532" ht="14.25" customHeight="1">
      <c r="A8532" s="7">
        <v>8519.0</v>
      </c>
      <c r="B8532" s="14">
        <f t="shared" si="1"/>
        <v>0.10255277</v>
      </c>
      <c r="C8532" s="39">
        <f t="array" ref="C8532">NPV(B8532,FCFF!$C$9:$I$9)+FCFF!$B$9+FCFF!$I$9*(1+Inputs!$B$6)/(B8532-Inputs!$B$6)/(1+B8532)^7</f>
        <v>-1453.405392</v>
      </c>
    </row>
    <row r="8533" ht="14.25" customHeight="1">
      <c r="A8533" s="7">
        <v>8520.0</v>
      </c>
      <c r="B8533" s="14">
        <f t="shared" si="1"/>
        <v>0.1158444116</v>
      </c>
      <c r="C8533" s="39">
        <f t="array" ref="C8533">NPV(B8533,FCFF!$C$9:$I$9)+FCFF!$B$9+FCFF!$I$9*(1+Inputs!$B$6)/(B8533-Inputs!$B$6)/(1+B8533)^7</f>
        <v>-1748.103906</v>
      </c>
    </row>
    <row r="8534" ht="14.25" customHeight="1">
      <c r="A8534" s="7">
        <v>8521.0</v>
      </c>
      <c r="B8534" s="14">
        <f t="shared" si="1"/>
        <v>0.1096922209</v>
      </c>
      <c r="C8534" s="39">
        <f t="array" ref="C8534">NPV(B8534,FCFF!$C$9:$I$9)+FCFF!$B$9+FCFF!$I$9*(1+Inputs!$B$6)/(B8534-Inputs!$B$6)/(1+B8534)^7</f>
        <v>-1624.289756</v>
      </c>
    </row>
    <row r="8535" ht="14.25" customHeight="1">
      <c r="A8535" s="7">
        <v>8522.0</v>
      </c>
      <c r="B8535" s="14">
        <f t="shared" si="1"/>
        <v>0.09387294314</v>
      </c>
      <c r="C8535" s="39">
        <f t="array" ref="C8535">NPV(B8535,FCFF!$C$9:$I$9)+FCFF!$B$9+FCFF!$I$9*(1+Inputs!$B$6)/(B8535-Inputs!$B$6)/(1+B8535)^7</f>
        <v>-1193.558206</v>
      </c>
    </row>
    <row r="8536" ht="14.25" customHeight="1">
      <c r="A8536" s="7">
        <v>8523.0</v>
      </c>
      <c r="B8536" s="14">
        <f t="shared" si="1"/>
        <v>0.1077847843</v>
      </c>
      <c r="C8536" s="39">
        <f t="array" ref="C8536">NPV(B8536,FCFF!$C$9:$I$9)+FCFF!$B$9+FCFF!$I$9*(1+Inputs!$B$6)/(B8536-Inputs!$B$6)/(1+B8536)^7</f>
        <v>-1581.777861</v>
      </c>
    </row>
    <row r="8537" ht="14.25" customHeight="1">
      <c r="A8537" s="7">
        <v>8524.0</v>
      </c>
      <c r="B8537" s="14">
        <f t="shared" si="1"/>
        <v>0.1105826659</v>
      </c>
      <c r="C8537" s="39">
        <f t="array" ref="C8537">NPV(B8537,FCFF!$C$9:$I$9)+FCFF!$B$9+FCFF!$I$9*(1+Inputs!$B$6)/(B8537-Inputs!$B$6)/(1+B8537)^7</f>
        <v>-1643.425427</v>
      </c>
    </row>
    <row r="8538" ht="14.25" customHeight="1">
      <c r="A8538" s="7">
        <v>8525.0</v>
      </c>
      <c r="B8538" s="14">
        <f t="shared" si="1"/>
        <v>0.1069986578</v>
      </c>
      <c r="C8538" s="39">
        <f t="array" ref="C8538">NPV(B8538,FCFF!$C$9:$I$9)+FCFF!$B$9+FCFF!$I$9*(1+Inputs!$B$6)/(B8538-Inputs!$B$6)/(1+B8538)^7</f>
        <v>-1563.626846</v>
      </c>
    </row>
    <row r="8539" ht="14.25" customHeight="1">
      <c r="A8539" s="7">
        <v>8526.0</v>
      </c>
      <c r="B8539" s="14">
        <f t="shared" si="1"/>
        <v>0.1022885377</v>
      </c>
      <c r="C8539" s="39">
        <f t="array" ref="C8539">NPV(B8539,FCFF!$C$9:$I$9)+FCFF!$B$9+FCFF!$I$9*(1+Inputs!$B$6)/(B8539-Inputs!$B$6)/(1+B8539)^7</f>
        <v>-1446.420436</v>
      </c>
    </row>
    <row r="8540" ht="14.25" customHeight="1">
      <c r="A8540" s="7">
        <v>8527.0</v>
      </c>
      <c r="B8540" s="14">
        <f t="shared" si="1"/>
        <v>0.1193636442</v>
      </c>
      <c r="C8540" s="39">
        <f t="array" ref="C8540">NPV(B8540,FCFF!$C$9:$I$9)+FCFF!$B$9+FCFF!$I$9*(1+Inputs!$B$6)/(B8540-Inputs!$B$6)/(1+B8540)^7</f>
        <v>-1810.934614</v>
      </c>
    </row>
    <row r="8541" ht="14.25" customHeight="1">
      <c r="A8541" s="7">
        <v>8528.0</v>
      </c>
      <c r="B8541" s="14">
        <f t="shared" si="1"/>
        <v>0.1225331545</v>
      </c>
      <c r="C8541" s="39">
        <f t="array" ref="C8541">NPV(B8541,FCFF!$C$9:$I$9)+FCFF!$B$9+FCFF!$I$9*(1+Inputs!$B$6)/(B8541-Inputs!$B$6)/(1+B8541)^7</f>
        <v>-1863.208056</v>
      </c>
    </row>
    <row r="8542" ht="14.25" customHeight="1">
      <c r="A8542" s="7">
        <v>8529.0</v>
      </c>
      <c r="B8542" s="14">
        <f t="shared" si="1"/>
        <v>0.1212905434</v>
      </c>
      <c r="C8542" s="39">
        <f t="array" ref="C8542">NPV(B8542,FCFF!$C$9:$I$9)+FCFF!$B$9+FCFF!$I$9*(1+Inputs!$B$6)/(B8542-Inputs!$B$6)/(1+B8542)^7</f>
        <v>-1843.1733</v>
      </c>
    </row>
    <row r="8543" ht="14.25" customHeight="1">
      <c r="A8543" s="7">
        <v>8530.0</v>
      </c>
      <c r="B8543" s="14">
        <f t="shared" si="1"/>
        <v>0.1243139932</v>
      </c>
      <c r="C8543" s="39">
        <f t="array" ref="C8543">NPV(B8543,FCFF!$C$9:$I$9)+FCFF!$B$9+FCFF!$I$9*(1+Inputs!$B$6)/(B8543-Inputs!$B$6)/(1+B8543)^7</f>
        <v>-1890.940726</v>
      </c>
    </row>
    <row r="8544" ht="14.25" customHeight="1">
      <c r="A8544" s="7">
        <v>8531.0</v>
      </c>
      <c r="B8544" s="14">
        <f t="shared" si="1"/>
        <v>0.114104555</v>
      </c>
      <c r="C8544" s="39">
        <f t="array" ref="C8544">NPV(B8544,FCFF!$C$9:$I$9)+FCFF!$B$9+FCFF!$I$9*(1+Inputs!$B$6)/(B8544-Inputs!$B$6)/(1+B8544)^7</f>
        <v>-1715.000264</v>
      </c>
    </row>
    <row r="8545" ht="14.25" customHeight="1">
      <c r="A8545" s="7">
        <v>8532.0</v>
      </c>
      <c r="B8545" s="14">
        <f t="shared" si="1"/>
        <v>0.09839623199</v>
      </c>
      <c r="C8545" s="39">
        <f t="array" ref="C8545">NPV(B8545,FCFF!$C$9:$I$9)+FCFF!$B$9+FCFF!$I$9*(1+Inputs!$B$6)/(B8545-Inputs!$B$6)/(1+B8545)^7</f>
        <v>-1337.214431</v>
      </c>
    </row>
    <row r="8546" ht="14.25" customHeight="1">
      <c r="A8546" s="7">
        <v>8533.0</v>
      </c>
      <c r="B8546" s="14">
        <f t="shared" si="1"/>
        <v>0.1313739408</v>
      </c>
      <c r="C8546" s="39">
        <f t="array" ref="C8546">NPV(B8546,FCFF!$C$9:$I$9)+FCFF!$B$9+FCFF!$I$9*(1+Inputs!$B$6)/(B8546-Inputs!$B$6)/(1+B8546)^7</f>
        <v>-1990.621722</v>
      </c>
    </row>
    <row r="8547" ht="14.25" customHeight="1">
      <c r="A8547" s="7">
        <v>8534.0</v>
      </c>
      <c r="B8547" s="14">
        <f t="shared" si="1"/>
        <v>0.1097474676</v>
      </c>
      <c r="C8547" s="39">
        <f t="array" ref="C8547">NPV(B8547,FCFF!$C$9:$I$9)+FCFF!$B$9+FCFF!$I$9*(1+Inputs!$B$6)/(B8547-Inputs!$B$6)/(1+B8547)^7</f>
        <v>-1625.489849</v>
      </c>
    </row>
    <row r="8548" ht="14.25" customHeight="1">
      <c r="A8548" s="7">
        <v>8535.0</v>
      </c>
      <c r="B8548" s="14">
        <f t="shared" si="1"/>
        <v>0.09986162059</v>
      </c>
      <c r="C8548" s="39">
        <f t="array" ref="C8548">NPV(B8548,FCFF!$C$9:$I$9)+FCFF!$B$9+FCFF!$I$9*(1+Inputs!$B$6)/(B8548-Inputs!$B$6)/(1+B8548)^7</f>
        <v>-1379.766896</v>
      </c>
    </row>
    <row r="8549" ht="14.25" customHeight="1">
      <c r="A8549" s="7">
        <v>8536.0</v>
      </c>
      <c r="B8549" s="14">
        <f t="shared" si="1"/>
        <v>0.1078326116</v>
      </c>
      <c r="C8549" s="39">
        <f t="array" ref="C8549">NPV(B8549,FCFF!$C$9:$I$9)+FCFF!$B$9+FCFF!$I$9*(1+Inputs!$B$6)/(B8549-Inputs!$B$6)/(1+B8549)^7</f>
        <v>-1582.87001</v>
      </c>
    </row>
    <row r="8550" ht="14.25" customHeight="1">
      <c r="A8550" s="7">
        <v>8537.0</v>
      </c>
      <c r="B8550" s="14">
        <f t="shared" si="1"/>
        <v>0.09658364298</v>
      </c>
      <c r="C8550" s="39">
        <f t="array" ref="C8550">NPV(B8550,FCFF!$C$9:$I$9)+FCFF!$B$9+FCFF!$I$9*(1+Inputs!$B$6)/(B8550-Inputs!$B$6)/(1+B8550)^7</f>
        <v>-1281.983517</v>
      </c>
    </row>
    <row r="8551" ht="14.25" customHeight="1">
      <c r="A8551" s="7">
        <v>8538.0</v>
      </c>
      <c r="B8551" s="14">
        <f t="shared" si="1"/>
        <v>0.1304947938</v>
      </c>
      <c r="C8551" s="39">
        <f t="array" ref="C8551">NPV(B8551,FCFF!$C$9:$I$9)+FCFF!$B$9+FCFF!$I$9*(1+Inputs!$B$6)/(B8551-Inputs!$B$6)/(1+B8551)^7</f>
        <v>-1979.033401</v>
      </c>
    </row>
    <row r="8552" ht="14.25" customHeight="1">
      <c r="A8552" s="7">
        <v>8539.0</v>
      </c>
      <c r="B8552" s="14">
        <f t="shared" si="1"/>
        <v>0.1113574503</v>
      </c>
      <c r="C8552" s="39">
        <f t="array" ref="C8552">NPV(B8552,FCFF!$C$9:$I$9)+FCFF!$B$9+FCFF!$I$9*(1+Inputs!$B$6)/(B8552-Inputs!$B$6)/(1+B8552)^7</f>
        <v>-1659.723252</v>
      </c>
    </row>
    <row r="8553" ht="14.25" customHeight="1">
      <c r="A8553" s="7">
        <v>8540.0</v>
      </c>
      <c r="B8553" s="14">
        <f t="shared" si="1"/>
        <v>0.1068666827</v>
      </c>
      <c r="C8553" s="39">
        <f t="array" ref="C8553">NPV(B8553,FCFF!$C$9:$I$9)+FCFF!$B$9+FCFF!$I$9*(1+Inputs!$B$6)/(B8553-Inputs!$B$6)/(1+B8553)^7</f>
        <v>-1560.542321</v>
      </c>
    </row>
    <row r="8554" ht="14.25" customHeight="1">
      <c r="A8554" s="7">
        <v>8541.0</v>
      </c>
      <c r="B8554" s="14">
        <f t="shared" si="1"/>
        <v>0.1241222726</v>
      </c>
      <c r="C8554" s="39">
        <f t="array" ref="C8554">NPV(B8554,FCFF!$C$9:$I$9)+FCFF!$B$9+FCFF!$I$9*(1+Inputs!$B$6)/(B8554-Inputs!$B$6)/(1+B8554)^7</f>
        <v>-1888.008933</v>
      </c>
    </row>
    <row r="8555" ht="14.25" customHeight="1">
      <c r="A8555" s="7">
        <v>8542.0</v>
      </c>
      <c r="B8555" s="14">
        <f t="shared" si="1"/>
        <v>0.09677638481</v>
      </c>
      <c r="C8555" s="39">
        <f t="array" ref="C8555">NPV(B8555,FCFF!$C$9:$I$9)+FCFF!$B$9+FCFF!$I$9*(1+Inputs!$B$6)/(B8555-Inputs!$B$6)/(1+B8555)^7</f>
        <v>-1287.998852</v>
      </c>
    </row>
    <row r="8556" ht="14.25" customHeight="1">
      <c r="A8556" s="7">
        <v>8543.0</v>
      </c>
      <c r="B8556" s="14">
        <f t="shared" si="1"/>
        <v>0.1190967578</v>
      </c>
      <c r="C8556" s="39">
        <f t="array" ref="C8556">NPV(B8556,FCFF!$C$9:$I$9)+FCFF!$B$9+FCFF!$I$9*(1+Inputs!$B$6)/(B8556-Inputs!$B$6)/(1+B8556)^7</f>
        <v>-1806.352928</v>
      </c>
    </row>
    <row r="8557" ht="14.25" customHeight="1">
      <c r="A8557" s="7">
        <v>8544.0</v>
      </c>
      <c r="B8557" s="14">
        <f t="shared" si="1"/>
        <v>0.11012852</v>
      </c>
      <c r="C8557" s="39">
        <f t="array" ref="C8557">NPV(B8557,FCFF!$C$9:$I$9)+FCFF!$B$9+FCFF!$I$9*(1+Inputs!$B$6)/(B8557-Inputs!$B$6)/(1+B8557)^7</f>
        <v>-1633.720726</v>
      </c>
    </row>
    <row r="8558" ht="14.25" customHeight="1">
      <c r="A8558" s="7">
        <v>8545.0</v>
      </c>
      <c r="B8558" s="14">
        <f t="shared" si="1"/>
        <v>0.1115127932</v>
      </c>
      <c r="C8558" s="39">
        <f t="array" ref="C8558">NPV(B8558,FCFF!$C$9:$I$9)+FCFF!$B$9+FCFF!$I$9*(1+Inputs!$B$6)/(B8558-Inputs!$B$6)/(1+B8558)^7</f>
        <v>-1662.952324</v>
      </c>
    </row>
    <row r="8559" ht="14.25" customHeight="1">
      <c r="A8559" s="7">
        <v>8546.0</v>
      </c>
      <c r="B8559" s="14">
        <f t="shared" si="1"/>
        <v>0.1305743263</v>
      </c>
      <c r="C8559" s="39">
        <f t="array" ref="C8559">NPV(B8559,FCFF!$C$9:$I$9)+FCFF!$B$9+FCFF!$I$9*(1+Inputs!$B$6)/(B8559-Inputs!$B$6)/(1+B8559)^7</f>
        <v>-1980.090808</v>
      </c>
    </row>
    <row r="8560" ht="14.25" customHeight="1">
      <c r="A8560" s="7">
        <v>8547.0</v>
      </c>
      <c r="B8560" s="14">
        <f t="shared" si="1"/>
        <v>0.1233622441</v>
      </c>
      <c r="C8560" s="39">
        <f t="array" ref="C8560">NPV(B8560,FCFF!$C$9:$I$9)+FCFF!$B$9+FCFF!$I$9*(1+Inputs!$B$6)/(B8560-Inputs!$B$6)/(1+B8560)^7</f>
        <v>-1876.259851</v>
      </c>
    </row>
    <row r="8561" ht="14.25" customHeight="1">
      <c r="A8561" s="7">
        <v>8548.0</v>
      </c>
      <c r="B8561" s="14">
        <f t="shared" si="1"/>
        <v>0.1273801381</v>
      </c>
      <c r="C8561" s="39">
        <f t="array" ref="C8561">NPV(B8561,FCFF!$C$9:$I$9)+FCFF!$B$9+FCFF!$I$9*(1+Inputs!$B$6)/(B8561-Inputs!$B$6)/(1+B8561)^7</f>
        <v>-1936.148347</v>
      </c>
    </row>
    <row r="8562" ht="14.25" customHeight="1">
      <c r="A8562" s="7">
        <v>8549.0</v>
      </c>
      <c r="B8562" s="14">
        <f t="shared" si="1"/>
        <v>0.1265728864</v>
      </c>
      <c r="C8562" s="39">
        <f t="array" ref="C8562">NPV(B8562,FCFF!$C$9:$I$9)+FCFF!$B$9+FCFF!$I$9*(1+Inputs!$B$6)/(B8562-Inputs!$B$6)/(1+B8562)^7</f>
        <v>-1924.545234</v>
      </c>
    </row>
    <row r="8563" ht="14.25" customHeight="1">
      <c r="A8563" s="7">
        <v>8550.0</v>
      </c>
      <c r="B8563" s="14">
        <f t="shared" si="1"/>
        <v>0.1148316095</v>
      </c>
      <c r="C8563" s="39">
        <f t="array" ref="C8563">NPV(B8563,FCFF!$C$9:$I$9)+FCFF!$B$9+FCFF!$I$9*(1+Inputs!$B$6)/(B8563-Inputs!$B$6)/(1+B8563)^7</f>
        <v>-1729.006361</v>
      </c>
    </row>
    <row r="8564" ht="14.25" customHeight="1">
      <c r="A8564" s="7">
        <v>8551.0</v>
      </c>
      <c r="B8564" s="14">
        <f t="shared" si="1"/>
        <v>0.1076738647</v>
      </c>
      <c r="C8564" s="39">
        <f t="array" ref="C8564">NPV(B8564,FCFF!$C$9:$I$9)+FCFF!$B$9+FCFF!$I$9*(1+Inputs!$B$6)/(B8564-Inputs!$B$6)/(1+B8564)^7</f>
        <v>-1579.23966</v>
      </c>
    </row>
    <row r="8565" ht="14.25" customHeight="1">
      <c r="A8565" s="7">
        <v>8552.0</v>
      </c>
      <c r="B8565" s="14">
        <f t="shared" si="1"/>
        <v>0.1299668668</v>
      </c>
      <c r="C8565" s="39">
        <f t="array" ref="C8565">NPV(B8565,FCFF!$C$9:$I$9)+FCFF!$B$9+FCFF!$I$9*(1+Inputs!$B$6)/(B8565-Inputs!$B$6)/(1+B8565)^7</f>
        <v>-1971.968112</v>
      </c>
    </row>
    <row r="8566" ht="14.25" customHeight="1">
      <c r="A8566" s="7">
        <v>8553.0</v>
      </c>
      <c r="B8566" s="14">
        <f t="shared" si="1"/>
        <v>0.09782743577</v>
      </c>
      <c r="C8566" s="39">
        <f t="array" ref="C8566">NPV(B8566,FCFF!$C$9:$I$9)+FCFF!$B$9+FCFF!$I$9*(1+Inputs!$B$6)/(B8566-Inputs!$B$6)/(1+B8566)^7</f>
        <v>-1320.200656</v>
      </c>
    </row>
    <row r="8567" ht="14.25" customHeight="1">
      <c r="A8567" s="7">
        <v>8554.0</v>
      </c>
      <c r="B8567" s="14">
        <f t="shared" si="1"/>
        <v>0.1202357866</v>
      </c>
      <c r="C8567" s="39">
        <f t="array" ref="C8567">NPV(B8567,FCFF!$C$9:$I$9)+FCFF!$B$9+FCFF!$I$9*(1+Inputs!$B$6)/(B8567-Inputs!$B$6)/(1+B8567)^7</f>
        <v>-1825.707034</v>
      </c>
    </row>
    <row r="8568" ht="14.25" customHeight="1">
      <c r="A8568" s="7">
        <v>8555.0</v>
      </c>
      <c r="B8568" s="14">
        <f t="shared" si="1"/>
        <v>0.1147254034</v>
      </c>
      <c r="C8568" s="39">
        <f t="array" ref="C8568">NPV(B8568,FCFF!$C$9:$I$9)+FCFF!$B$9+FCFF!$I$9*(1+Inputs!$B$6)/(B8568-Inputs!$B$6)/(1+B8568)^7</f>
        <v>-1726.976048</v>
      </c>
    </row>
    <row r="8569" ht="14.25" customHeight="1">
      <c r="A8569" s="7">
        <v>8556.0</v>
      </c>
      <c r="B8569" s="14">
        <f t="shared" si="1"/>
        <v>0.09928002438</v>
      </c>
      <c r="C8569" s="39">
        <f t="array" ref="C8569">NPV(B8569,FCFF!$C$9:$I$9)+FCFF!$B$9+FCFF!$I$9*(1+Inputs!$B$6)/(B8569-Inputs!$B$6)/(1+B8569)^7</f>
        <v>-1363.094678</v>
      </c>
    </row>
    <row r="8570" ht="14.25" customHeight="1">
      <c r="A8570" s="7">
        <v>8557.0</v>
      </c>
      <c r="B8570" s="14">
        <f t="shared" si="1"/>
        <v>0.1050332086</v>
      </c>
      <c r="C8570" s="39">
        <f t="array" ref="C8570">NPV(B8570,FCFF!$C$9:$I$9)+FCFF!$B$9+FCFF!$I$9*(1+Inputs!$B$6)/(B8570-Inputs!$B$6)/(1+B8570)^7</f>
        <v>-1516.54157</v>
      </c>
    </row>
    <row r="8571" ht="14.25" customHeight="1">
      <c r="A8571" s="7">
        <v>8558.0</v>
      </c>
      <c r="B8571" s="14">
        <f t="shared" si="1"/>
        <v>0.1309896291</v>
      </c>
      <c r="C8571" s="39">
        <f t="array" ref="C8571">NPV(B8571,FCFF!$C$9:$I$9)+FCFF!$B$9+FCFF!$I$9*(1+Inputs!$B$6)/(B8571-Inputs!$B$6)/(1+B8571)^7</f>
        <v>-1985.582983</v>
      </c>
    </row>
    <row r="8572" ht="14.25" customHeight="1">
      <c r="A8572" s="7">
        <v>8559.0</v>
      </c>
      <c r="B8572" s="14">
        <f t="shared" si="1"/>
        <v>0.1226950738</v>
      </c>
      <c r="C8572" s="39">
        <f t="array" ref="C8572">NPV(B8572,FCFF!$C$9:$I$9)+FCFF!$B$9+FCFF!$I$9*(1+Inputs!$B$6)/(B8572-Inputs!$B$6)/(1+B8572)^7</f>
        <v>-1865.776607</v>
      </c>
    </row>
    <row r="8573" ht="14.25" customHeight="1">
      <c r="A8573" s="7">
        <v>8560.0</v>
      </c>
      <c r="B8573" s="14">
        <f t="shared" si="1"/>
        <v>0.1120123852</v>
      </c>
      <c r="C8573" s="39">
        <f t="array" ref="C8573">NPV(B8573,FCFF!$C$9:$I$9)+FCFF!$B$9+FCFF!$I$9*(1+Inputs!$B$6)/(B8573-Inputs!$B$6)/(1+B8573)^7</f>
        <v>-1673.251234</v>
      </c>
    </row>
    <row r="8574" ht="14.25" customHeight="1">
      <c r="A8574" s="7">
        <v>8561.0</v>
      </c>
      <c r="B8574" s="14">
        <f t="shared" si="1"/>
        <v>0.1224976068</v>
      </c>
      <c r="C8574" s="39">
        <f t="array" ref="C8574">NPV(B8574,FCFF!$C$9:$I$9)+FCFF!$B$9+FCFF!$I$9*(1+Inputs!$B$6)/(B8574-Inputs!$B$6)/(1+B8574)^7</f>
        <v>-1862.642875</v>
      </c>
    </row>
    <row r="8575" ht="14.25" customHeight="1">
      <c r="A8575" s="7">
        <v>8562.0</v>
      </c>
      <c r="B8575" s="14">
        <f t="shared" si="1"/>
        <v>0.1067916983</v>
      </c>
      <c r="C8575" s="39">
        <f t="array" ref="C8575">NPV(B8575,FCFF!$C$9:$I$9)+FCFF!$B$9+FCFF!$I$9*(1+Inputs!$B$6)/(B8575-Inputs!$B$6)/(1+B8575)^7</f>
        <v>-1558.784946</v>
      </c>
    </row>
    <row r="8576" ht="14.25" customHeight="1">
      <c r="A8576" s="7">
        <v>8563.0</v>
      </c>
      <c r="B8576" s="14">
        <f t="shared" si="1"/>
        <v>0.1209596924</v>
      </c>
      <c r="C8576" s="39">
        <f t="array" ref="C8576">NPV(B8576,FCFF!$C$9:$I$9)+FCFF!$B$9+FCFF!$I$9*(1+Inputs!$B$6)/(B8576-Inputs!$B$6)/(1+B8576)^7</f>
        <v>-1837.740823</v>
      </c>
    </row>
    <row r="8577" ht="14.25" customHeight="1">
      <c r="A8577" s="7">
        <v>8564.0</v>
      </c>
      <c r="B8577" s="14">
        <f t="shared" si="1"/>
        <v>0.1159332467</v>
      </c>
      <c r="C8577" s="39">
        <f t="array" ref="C8577">NPV(B8577,FCFF!$C$9:$I$9)+FCFF!$B$9+FCFF!$I$9*(1+Inputs!$B$6)/(B8577-Inputs!$B$6)/(1+B8577)^7</f>
        <v>-1749.756513</v>
      </c>
    </row>
    <row r="8578" ht="14.25" customHeight="1">
      <c r="A8578" s="7">
        <v>8565.0</v>
      </c>
      <c r="B8578" s="14">
        <f t="shared" si="1"/>
        <v>0.1171312021</v>
      </c>
      <c r="C8578" s="39">
        <f t="array" ref="C8578">NPV(B8578,FCFF!$C$9:$I$9)+FCFF!$B$9+FCFF!$I$9*(1+Inputs!$B$6)/(B8578-Inputs!$B$6)/(1+B8578)^7</f>
        <v>-1771.697044</v>
      </c>
    </row>
    <row r="8579" ht="14.25" customHeight="1">
      <c r="A8579" s="7">
        <v>8566.0</v>
      </c>
      <c r="B8579" s="14">
        <f t="shared" si="1"/>
        <v>0.1303200322</v>
      </c>
      <c r="C8579" s="39">
        <f t="array" ref="C8579">NPV(B8579,FCFF!$C$9:$I$9)+FCFF!$B$9+FCFF!$I$9*(1+Inputs!$B$6)/(B8579-Inputs!$B$6)/(1+B8579)^7</f>
        <v>-1976.703493</v>
      </c>
    </row>
    <row r="8580" ht="14.25" customHeight="1">
      <c r="A8580" s="7">
        <v>8567.0</v>
      </c>
      <c r="B8580" s="14">
        <f t="shared" si="1"/>
        <v>0.1316247793</v>
      </c>
      <c r="C8580" s="39">
        <f t="array" ref="C8580">NPV(B8580,FCFF!$C$9:$I$9)+FCFF!$B$9+FCFF!$I$9*(1+Inputs!$B$6)/(B8580-Inputs!$B$6)/(1+B8580)^7</f>
        <v>-1993.888111</v>
      </c>
    </row>
    <row r="8581" ht="14.25" customHeight="1">
      <c r="A8581" s="7">
        <v>8568.0</v>
      </c>
      <c r="B8581" s="14">
        <f t="shared" si="1"/>
        <v>0.1051052121</v>
      </c>
      <c r="C8581" s="39">
        <f t="array" ref="C8581">NPV(B8581,FCFF!$C$9:$I$9)+FCFF!$B$9+FCFF!$I$9*(1+Inputs!$B$6)/(B8581-Inputs!$B$6)/(1+B8581)^7</f>
        <v>-1518.31095</v>
      </c>
    </row>
    <row r="8582" ht="14.25" customHeight="1">
      <c r="A8582" s="7">
        <v>8569.0</v>
      </c>
      <c r="B8582" s="14">
        <f t="shared" si="1"/>
        <v>0.09868153268</v>
      </c>
      <c r="C8582" s="39">
        <f t="array" ref="C8582">NPV(B8582,FCFF!$C$9:$I$9)+FCFF!$B$9+FCFF!$I$9*(1+Inputs!$B$6)/(B8582-Inputs!$B$6)/(1+B8582)^7</f>
        <v>-1345.641982</v>
      </c>
    </row>
    <row r="8583" ht="14.25" customHeight="1">
      <c r="A8583" s="7">
        <v>8570.0</v>
      </c>
      <c r="B8583" s="14">
        <f t="shared" si="1"/>
        <v>0.1178324804</v>
      </c>
      <c r="C8583" s="39">
        <f t="array" ref="C8583">NPV(B8583,FCFF!$C$9:$I$9)+FCFF!$B$9+FCFF!$I$9*(1+Inputs!$B$6)/(B8583-Inputs!$B$6)/(1+B8583)^7</f>
        <v>-1784.24924</v>
      </c>
    </row>
    <row r="8584" ht="14.25" customHeight="1">
      <c r="A8584" s="7">
        <v>8571.0</v>
      </c>
      <c r="B8584" s="14">
        <f t="shared" si="1"/>
        <v>0.09691575271</v>
      </c>
      <c r="C8584" s="39">
        <f t="array" ref="C8584">NPV(B8584,FCFF!$C$9:$I$9)+FCFF!$B$9+FCFF!$I$9*(1+Inputs!$B$6)/(B8584-Inputs!$B$6)/(1+B8584)^7</f>
        <v>-1292.326882</v>
      </c>
    </row>
    <row r="8585" ht="14.25" customHeight="1">
      <c r="A8585" s="7">
        <v>8572.0</v>
      </c>
      <c r="B8585" s="14">
        <f t="shared" si="1"/>
        <v>0.09491012969</v>
      </c>
      <c r="C8585" s="39">
        <f t="array" ref="C8585">NPV(B8585,FCFF!$C$9:$I$9)+FCFF!$B$9+FCFF!$I$9*(1+Inputs!$B$6)/(B8585-Inputs!$B$6)/(1+B8585)^7</f>
        <v>-1228.258696</v>
      </c>
    </row>
    <row r="8586" ht="14.25" customHeight="1">
      <c r="A8586" s="7">
        <v>8573.0</v>
      </c>
      <c r="B8586" s="14">
        <f t="shared" si="1"/>
        <v>0.1013535279</v>
      </c>
      <c r="C8586" s="39">
        <f t="array" ref="C8586">NPV(B8586,FCFF!$C$9:$I$9)+FCFF!$B$9+FCFF!$I$9*(1+Inputs!$B$6)/(B8586-Inputs!$B$6)/(1+B8586)^7</f>
        <v>-1421.283107</v>
      </c>
    </row>
    <row r="8587" ht="14.25" customHeight="1">
      <c r="A8587" s="7">
        <v>8574.0</v>
      </c>
      <c r="B8587" s="14">
        <f t="shared" si="1"/>
        <v>0.1150675217</v>
      </c>
      <c r="C8587" s="39">
        <f t="array" ref="C8587">NPV(B8587,FCFF!$C$9:$I$9)+FCFF!$B$9+FCFF!$I$9*(1+Inputs!$B$6)/(B8587-Inputs!$B$6)/(1+B8587)^7</f>
        <v>-1733.497269</v>
      </c>
    </row>
    <row r="8588" ht="14.25" customHeight="1">
      <c r="A8588" s="7">
        <v>8575.0</v>
      </c>
      <c r="B8588" s="14">
        <f t="shared" si="1"/>
        <v>0.1123581862</v>
      </c>
      <c r="C8588" s="39">
        <f t="array" ref="C8588">NPV(B8588,FCFF!$C$9:$I$9)+FCFF!$B$9+FCFF!$I$9*(1+Inputs!$B$6)/(B8588-Inputs!$B$6)/(1+B8588)^7</f>
        <v>-1680.303871</v>
      </c>
    </row>
    <row r="8589" ht="14.25" customHeight="1">
      <c r="A8589" s="7">
        <v>8576.0</v>
      </c>
      <c r="B8589" s="14">
        <f t="shared" si="1"/>
        <v>0.1049469225</v>
      </c>
      <c r="C8589" s="39">
        <f t="array" ref="C8589">NPV(B8589,FCFF!$C$9:$I$9)+FCFF!$B$9+FCFF!$I$9*(1+Inputs!$B$6)/(B8589-Inputs!$B$6)/(1+B8589)^7</f>
        <v>-1514.416646</v>
      </c>
    </row>
    <row r="8590" ht="14.25" customHeight="1">
      <c r="A8590" s="7">
        <v>8577.0</v>
      </c>
      <c r="B8590" s="14">
        <f t="shared" si="1"/>
        <v>0.104029653</v>
      </c>
      <c r="C8590" s="39">
        <f t="array" ref="C8590">NPV(B8590,FCFF!$C$9:$I$9)+FCFF!$B$9+FCFF!$I$9*(1+Inputs!$B$6)/(B8590-Inputs!$B$6)/(1+B8590)^7</f>
        <v>-1491.515514</v>
      </c>
    </row>
    <row r="8591" ht="14.25" customHeight="1">
      <c r="A8591" s="7">
        <v>8578.0</v>
      </c>
      <c r="B8591" s="14">
        <f t="shared" si="1"/>
        <v>0.1214497178</v>
      </c>
      <c r="C8591" s="39">
        <f t="array" ref="C8591">NPV(B8591,FCFF!$C$9:$I$9)+FCFF!$B$9+FCFF!$I$9*(1+Inputs!$B$6)/(B8591-Inputs!$B$6)/(1+B8591)^7</f>
        <v>-1845.772025</v>
      </c>
    </row>
    <row r="8592" ht="14.25" customHeight="1">
      <c r="A8592" s="7">
        <v>8579.0</v>
      </c>
      <c r="B8592" s="14">
        <f t="shared" si="1"/>
        <v>0.1118079356</v>
      </c>
      <c r="C8592" s="39">
        <f t="array" ref="C8592">NPV(B8592,FCFF!$C$9:$I$9)+FCFF!$B$9+FCFF!$I$9*(1+Inputs!$B$6)/(B8592-Inputs!$B$6)/(1+B8592)^7</f>
        <v>-1669.052352</v>
      </c>
    </row>
    <row r="8593" ht="14.25" customHeight="1">
      <c r="A8593" s="7">
        <v>8580.0</v>
      </c>
      <c r="B8593" s="14">
        <f t="shared" si="1"/>
        <v>0.1218093725</v>
      </c>
      <c r="C8593" s="39">
        <f t="array" ref="C8593">NPV(B8593,FCFF!$C$9:$I$9)+FCFF!$B$9+FCFF!$I$9*(1+Inputs!$B$6)/(B8593-Inputs!$B$6)/(1+B8593)^7</f>
        <v>-1851.60859</v>
      </c>
    </row>
    <row r="8594" ht="14.25" customHeight="1">
      <c r="A8594" s="7">
        <v>8581.0</v>
      </c>
      <c r="B8594" s="14">
        <f t="shared" si="1"/>
        <v>0.1305607506</v>
      </c>
      <c r="C8594" s="39">
        <f t="array" ref="C8594">NPV(B8594,FCFF!$C$9:$I$9)+FCFF!$B$9+FCFF!$I$9*(1+Inputs!$B$6)/(B8594-Inputs!$B$6)/(1+B8594)^7</f>
        <v>-1979.910445</v>
      </c>
    </row>
    <row r="8595" ht="14.25" customHeight="1">
      <c r="A8595" s="7">
        <v>8582.0</v>
      </c>
      <c r="B8595" s="14">
        <f t="shared" si="1"/>
        <v>0.1226742619</v>
      </c>
      <c r="C8595" s="39">
        <f t="array" ref="C8595">NPV(B8595,FCFF!$C$9:$I$9)+FCFF!$B$9+FCFF!$I$9*(1+Inputs!$B$6)/(B8595-Inputs!$B$6)/(1+B8595)^7</f>
        <v>-1865.447</v>
      </c>
    </row>
    <row r="8596" ht="14.25" customHeight="1">
      <c r="A8596" s="7">
        <v>8583.0</v>
      </c>
      <c r="B8596" s="14">
        <f t="shared" si="1"/>
        <v>0.122774724</v>
      </c>
      <c r="C8596" s="39">
        <f t="array" ref="C8596">NPV(B8596,FCFF!$C$9:$I$9)+FCFF!$B$9+FCFF!$I$9*(1+Inputs!$B$6)/(B8596-Inputs!$B$6)/(1+B8596)^7</f>
        <v>-1867.036604</v>
      </c>
    </row>
    <row r="8597" ht="14.25" customHeight="1">
      <c r="A8597" s="7">
        <v>8584.0</v>
      </c>
      <c r="B8597" s="14">
        <f t="shared" si="1"/>
        <v>0.09394722219</v>
      </c>
      <c r="C8597" s="39">
        <f t="array" ref="C8597">NPV(B8597,FCFF!$C$9:$I$9)+FCFF!$B$9+FCFF!$I$9*(1+Inputs!$B$6)/(B8597-Inputs!$B$6)/(1+B8597)^7</f>
        <v>-1196.080399</v>
      </c>
    </row>
    <row r="8598" ht="14.25" customHeight="1">
      <c r="A8598" s="7">
        <v>8585.0</v>
      </c>
      <c r="B8598" s="14">
        <f t="shared" si="1"/>
        <v>0.1321063226</v>
      </c>
      <c r="C8598" s="39">
        <f t="array" ref="C8598">NPV(B8598,FCFF!$C$9:$I$9)+FCFF!$B$9+FCFF!$I$9*(1+Inputs!$B$6)/(B8598-Inputs!$B$6)/(1+B8598)^7</f>
        <v>-2000.109713</v>
      </c>
    </row>
    <row r="8599" ht="14.25" customHeight="1">
      <c r="A8599" s="7">
        <v>8586.0</v>
      </c>
      <c r="B8599" s="14">
        <f t="shared" si="1"/>
        <v>0.1250653985</v>
      </c>
      <c r="C8599" s="39">
        <f t="array" ref="C8599">NPV(B8599,FCFF!$C$9:$I$9)+FCFF!$B$9+FCFF!$I$9*(1+Inputs!$B$6)/(B8599-Inputs!$B$6)/(1+B8599)^7</f>
        <v>-1902.309226</v>
      </c>
    </row>
    <row r="8600" ht="14.25" customHeight="1">
      <c r="A8600" s="7">
        <v>8587.0</v>
      </c>
      <c r="B8600" s="14">
        <f t="shared" si="1"/>
        <v>0.1291156113</v>
      </c>
      <c r="C8600" s="39">
        <f t="array" ref="C8600">NPV(B8600,FCFF!$C$9:$I$9)+FCFF!$B$9+FCFF!$I$9*(1+Inputs!$B$6)/(B8600-Inputs!$B$6)/(1+B8600)^7</f>
        <v>-1960.403616</v>
      </c>
    </row>
    <row r="8601" ht="14.25" customHeight="1">
      <c r="A8601" s="7">
        <v>8588.0</v>
      </c>
      <c r="B8601" s="14">
        <f t="shared" si="1"/>
        <v>0.1272592816</v>
      </c>
      <c r="C8601" s="39">
        <f t="array" ref="C8601">NPV(B8601,FCFF!$C$9:$I$9)+FCFF!$B$9+FCFF!$I$9*(1+Inputs!$B$6)/(B8601-Inputs!$B$6)/(1+B8601)^7</f>
        <v>-1934.424412</v>
      </c>
    </row>
    <row r="8602" ht="14.25" customHeight="1">
      <c r="A8602" s="7">
        <v>8589.0</v>
      </c>
      <c r="B8602" s="14">
        <f t="shared" si="1"/>
        <v>0.1002608383</v>
      </c>
      <c r="C8602" s="39">
        <f t="array" ref="C8602">NPV(B8602,FCFF!$C$9:$I$9)+FCFF!$B$9+FCFF!$I$9*(1+Inputs!$B$6)/(B8602-Inputs!$B$6)/(1+B8602)^7</f>
        <v>-1391.050291</v>
      </c>
    </row>
    <row r="8603" ht="14.25" customHeight="1">
      <c r="A8603" s="7">
        <v>8590.0</v>
      </c>
      <c r="B8603" s="14">
        <f t="shared" si="1"/>
        <v>0.1146738069</v>
      </c>
      <c r="C8603" s="39">
        <f t="array" ref="C8603">NPV(B8603,FCFF!$C$9:$I$9)+FCFF!$B$9+FCFF!$I$9*(1+Inputs!$B$6)/(B8603-Inputs!$B$6)/(1+B8603)^7</f>
        <v>-1725.987771</v>
      </c>
    </row>
    <row r="8604" ht="14.25" customHeight="1">
      <c r="A8604" s="7">
        <v>8591.0</v>
      </c>
      <c r="B8604" s="14">
        <f t="shared" si="1"/>
        <v>0.1230575725</v>
      </c>
      <c r="C8604" s="39">
        <f t="array" ref="C8604">NPV(B8604,FCFF!$C$9:$I$9)+FCFF!$B$9+FCFF!$I$9*(1+Inputs!$B$6)/(B8604-Inputs!$B$6)/(1+B8604)^7</f>
        <v>-1871.492441</v>
      </c>
    </row>
    <row r="8605" ht="14.25" customHeight="1">
      <c r="A8605" s="7">
        <v>8592.0</v>
      </c>
      <c r="B8605" s="14">
        <f t="shared" si="1"/>
        <v>0.1227625278</v>
      </c>
      <c r="C8605" s="39">
        <f t="array" ref="C8605">NPV(B8605,FCFF!$C$9:$I$9)+FCFF!$B$9+FCFF!$I$9*(1+Inputs!$B$6)/(B8605-Inputs!$B$6)/(1+B8605)^7</f>
        <v>-1866.843821</v>
      </c>
    </row>
    <row r="8606" ht="14.25" customHeight="1">
      <c r="A8606" s="7">
        <v>8593.0</v>
      </c>
      <c r="B8606" s="14">
        <f t="shared" si="1"/>
        <v>0.1127104349</v>
      </c>
      <c r="C8606" s="39">
        <f t="array" ref="C8606">NPV(B8606,FCFF!$C$9:$I$9)+FCFF!$B$9+FCFF!$I$9*(1+Inputs!$B$6)/(B8606-Inputs!$B$6)/(1+B8606)^7</f>
        <v>-1687.425034</v>
      </c>
    </row>
    <row r="8607" ht="14.25" customHeight="1">
      <c r="A8607" s="7">
        <v>8594.0</v>
      </c>
      <c r="B8607" s="14">
        <f t="shared" si="1"/>
        <v>0.1298983448</v>
      </c>
      <c r="C8607" s="39">
        <f t="array" ref="C8607">NPV(B8607,FCFF!$C$9:$I$9)+FCFF!$B$9+FCFF!$I$9*(1+Inputs!$B$6)/(B8607-Inputs!$B$6)/(1+B8607)^7</f>
        <v>-1971.045133</v>
      </c>
    </row>
    <row r="8608" ht="14.25" customHeight="1">
      <c r="A8608" s="7">
        <v>8595.0</v>
      </c>
      <c r="B8608" s="14">
        <f t="shared" si="1"/>
        <v>0.09964122352</v>
      </c>
      <c r="C8608" s="39">
        <f t="array" ref="C8608">NPV(B8608,FCFF!$C$9:$I$9)+FCFF!$B$9+FCFF!$I$9*(1+Inputs!$B$6)/(B8608-Inputs!$B$6)/(1+B8608)^7</f>
        <v>-1373.481871</v>
      </c>
    </row>
    <row r="8609" ht="14.25" customHeight="1">
      <c r="A8609" s="7">
        <v>8596.0</v>
      </c>
      <c r="B8609" s="14">
        <f t="shared" si="1"/>
        <v>0.1266265144</v>
      </c>
      <c r="C8609" s="39">
        <f t="array" ref="C8609">NPV(B8609,FCFF!$C$9:$I$9)+FCFF!$B$9+FCFF!$I$9*(1+Inputs!$B$6)/(B8609-Inputs!$B$6)/(1+B8609)^7</f>
        <v>-1925.322536</v>
      </c>
    </row>
    <row r="8610" ht="14.25" customHeight="1">
      <c r="A8610" s="7">
        <v>8597.0</v>
      </c>
      <c r="B8610" s="14">
        <f t="shared" si="1"/>
        <v>0.112422227</v>
      </c>
      <c r="C8610" s="39">
        <f t="array" ref="C8610">NPV(B8610,FCFF!$C$9:$I$9)+FCFF!$B$9+FCFF!$I$9*(1+Inputs!$B$6)/(B8610-Inputs!$B$6)/(1+B8610)^7</f>
        <v>-1681.603243</v>
      </c>
    </row>
    <row r="8611" ht="14.25" customHeight="1">
      <c r="A8611" s="7">
        <v>8598.0</v>
      </c>
      <c r="B8611" s="14">
        <f t="shared" si="1"/>
        <v>0.1184878615</v>
      </c>
      <c r="C8611" s="39">
        <f t="array" ref="C8611">NPV(B8611,FCFF!$C$9:$I$9)+FCFF!$B$9+FCFF!$I$9*(1+Inputs!$B$6)/(B8611-Inputs!$B$6)/(1+B8611)^7</f>
        <v>-1795.790601</v>
      </c>
    </row>
    <row r="8612" ht="14.25" customHeight="1">
      <c r="A8612" s="7">
        <v>8599.0</v>
      </c>
      <c r="B8612" s="14">
        <f t="shared" si="1"/>
        <v>0.1040605543</v>
      </c>
      <c r="C8612" s="39">
        <f t="array" ref="C8612">NPV(B8612,FCFF!$C$9:$I$9)+FCFF!$B$9+FCFF!$I$9*(1+Inputs!$B$6)/(B8612-Inputs!$B$6)/(1+B8612)^7</f>
        <v>-1492.296415</v>
      </c>
    </row>
    <row r="8613" ht="14.25" customHeight="1">
      <c r="A8613" s="7">
        <v>8600.0</v>
      </c>
      <c r="B8613" s="14">
        <f t="shared" si="1"/>
        <v>0.1280576933</v>
      </c>
      <c r="C8613" s="39">
        <f t="array" ref="C8613">NPV(B8613,FCFF!$C$9:$I$9)+FCFF!$B$9+FCFF!$I$9*(1+Inputs!$B$6)/(B8613-Inputs!$B$6)/(1+B8613)^7</f>
        <v>-1945.72836</v>
      </c>
    </row>
    <row r="8614" ht="14.25" customHeight="1">
      <c r="A8614" s="7">
        <v>8601.0</v>
      </c>
      <c r="B8614" s="14">
        <f t="shared" si="1"/>
        <v>0.1268762229</v>
      </c>
      <c r="C8614" s="39">
        <f t="array" ref="C8614">NPV(B8614,FCFF!$C$9:$I$9)+FCFF!$B$9+FCFF!$I$9*(1+Inputs!$B$6)/(B8614-Inputs!$B$6)/(1+B8614)^7</f>
        <v>-1928.929699</v>
      </c>
    </row>
    <row r="8615" ht="14.25" customHeight="1">
      <c r="A8615" s="7">
        <v>8602.0</v>
      </c>
      <c r="B8615" s="14">
        <f t="shared" si="1"/>
        <v>0.1080991143</v>
      </c>
      <c r="C8615" s="39">
        <f t="array" ref="C8615">NPV(B8615,FCFF!$C$9:$I$9)+FCFF!$B$9+FCFF!$I$9*(1+Inputs!$B$6)/(B8615-Inputs!$B$6)/(1+B8615)^7</f>
        <v>-1588.930522</v>
      </c>
    </row>
    <row r="8616" ht="14.25" customHeight="1">
      <c r="A8616" s="7">
        <v>8603.0</v>
      </c>
      <c r="B8616" s="14">
        <f t="shared" si="1"/>
        <v>0.1060063281</v>
      </c>
      <c r="C8616" s="39">
        <f t="array" ref="C8616">NPV(B8616,FCFF!$C$9:$I$9)+FCFF!$B$9+FCFF!$I$9*(1+Inputs!$B$6)/(B8616-Inputs!$B$6)/(1+B8616)^7</f>
        <v>-1540.165251</v>
      </c>
    </row>
    <row r="8617" ht="14.25" customHeight="1">
      <c r="A8617" s="7">
        <v>8604.0</v>
      </c>
      <c r="B8617" s="14">
        <f t="shared" si="1"/>
        <v>0.1019636</v>
      </c>
      <c r="C8617" s="39">
        <f t="array" ref="C8617">NPV(B8617,FCFF!$C$9:$I$9)+FCFF!$B$9+FCFF!$I$9*(1+Inputs!$B$6)/(B8617-Inputs!$B$6)/(1+B8617)^7</f>
        <v>-1437.759532</v>
      </c>
    </row>
    <row r="8618" ht="14.25" customHeight="1">
      <c r="A8618" s="7">
        <v>8605.0</v>
      </c>
      <c r="B8618" s="14">
        <f t="shared" si="1"/>
        <v>0.105607673</v>
      </c>
      <c r="C8618" s="39">
        <f t="array" ref="C8618">NPV(B8618,FCFF!$C$9:$I$9)+FCFF!$B$9+FCFF!$I$9*(1+Inputs!$B$6)/(B8618-Inputs!$B$6)/(1+B8618)^7</f>
        <v>-1530.562488</v>
      </c>
    </row>
    <row r="8619" ht="14.25" customHeight="1">
      <c r="A8619" s="7">
        <v>8606.0</v>
      </c>
      <c r="B8619" s="14">
        <f t="shared" si="1"/>
        <v>0.09415712189</v>
      </c>
      <c r="C8619" s="39">
        <f t="array" ref="C8619">NPV(B8619,FCFF!$C$9:$I$9)+FCFF!$B$9+FCFF!$I$9*(1+Inputs!$B$6)/(B8619-Inputs!$B$6)/(1+B8619)^7</f>
        <v>-1203.176411</v>
      </c>
    </row>
    <row r="8620" ht="14.25" customHeight="1">
      <c r="A8620" s="7">
        <v>8607.0</v>
      </c>
      <c r="B8620" s="14">
        <f t="shared" si="1"/>
        <v>0.1250036339</v>
      </c>
      <c r="C8620" s="39">
        <f t="array" ref="C8620">NPV(B8620,FCFF!$C$9:$I$9)+FCFF!$B$9+FCFF!$I$9*(1+Inputs!$B$6)/(B8620-Inputs!$B$6)/(1+B8620)^7</f>
        <v>-1901.382016</v>
      </c>
    </row>
    <row r="8621" ht="14.25" customHeight="1">
      <c r="A8621" s="7">
        <v>8608.0</v>
      </c>
      <c r="B8621" s="14">
        <f t="shared" si="1"/>
        <v>0.1110221299</v>
      </c>
      <c r="C8621" s="39">
        <f t="array" ref="C8621">NPV(B8621,FCFF!$C$9:$I$9)+FCFF!$B$9+FCFF!$I$9*(1+Inputs!$B$6)/(B8621-Inputs!$B$6)/(1+B8621)^7</f>
        <v>-1652.709293</v>
      </c>
    </row>
    <row r="8622" ht="14.25" customHeight="1">
      <c r="A8622" s="7">
        <v>8609.0</v>
      </c>
      <c r="B8622" s="14">
        <f t="shared" si="1"/>
        <v>0.1123354876</v>
      </c>
      <c r="C8622" s="39">
        <f t="array" ref="C8622">NPV(B8622,FCFF!$C$9:$I$9)+FCFF!$B$9+FCFF!$I$9*(1+Inputs!$B$6)/(B8622-Inputs!$B$6)/(1+B8622)^7</f>
        <v>-1679.84282</v>
      </c>
    </row>
    <row r="8623" ht="14.25" customHeight="1">
      <c r="A8623" s="7">
        <v>8610.0</v>
      </c>
      <c r="B8623" s="14">
        <f t="shared" si="1"/>
        <v>0.09958459981</v>
      </c>
      <c r="C8623" s="39">
        <f t="array" ref="C8623">NPV(B8623,FCFF!$C$9:$I$9)+FCFF!$B$9+FCFF!$I$9*(1+Inputs!$B$6)/(B8623-Inputs!$B$6)/(1+B8623)^7</f>
        <v>-1371.860677</v>
      </c>
    </row>
    <row r="8624" ht="14.25" customHeight="1">
      <c r="A8624" s="7">
        <v>8611.0</v>
      </c>
      <c r="B8624" s="14">
        <f t="shared" si="1"/>
        <v>0.1068668727</v>
      </c>
      <c r="C8624" s="39">
        <f t="array" ref="C8624">NPV(B8624,FCFF!$C$9:$I$9)+FCFF!$B$9+FCFF!$I$9*(1+Inputs!$B$6)/(B8624-Inputs!$B$6)/(1+B8624)^7</f>
        <v>-1560.546771</v>
      </c>
    </row>
    <row r="8625" ht="14.25" customHeight="1">
      <c r="A8625" s="7">
        <v>8612.0</v>
      </c>
      <c r="B8625" s="14">
        <f t="shared" si="1"/>
        <v>0.09572647341</v>
      </c>
      <c r="C8625" s="39">
        <f t="array" ref="C8625">NPV(B8625,FCFF!$C$9:$I$9)+FCFF!$B$9+FCFF!$I$9*(1+Inputs!$B$6)/(B8625-Inputs!$B$6)/(1+B8625)^7</f>
        <v>-1254.805911</v>
      </c>
    </row>
    <row r="8626" ht="14.25" customHeight="1">
      <c r="A8626" s="7">
        <v>8613.0</v>
      </c>
      <c r="B8626" s="14">
        <f t="shared" si="1"/>
        <v>0.1322101654</v>
      </c>
      <c r="C8626" s="39">
        <f t="array" ref="C8626">NPV(B8626,FCFF!$C$9:$I$9)+FCFF!$B$9+FCFF!$I$9*(1+Inputs!$B$6)/(B8626-Inputs!$B$6)/(1+B8626)^7</f>
        <v>-2001.442999</v>
      </c>
    </row>
    <row r="8627" ht="14.25" customHeight="1">
      <c r="A8627" s="7">
        <v>8614.0</v>
      </c>
      <c r="B8627" s="14">
        <f t="shared" si="1"/>
        <v>0.1280374535</v>
      </c>
      <c r="C8627" s="39">
        <f t="array" ref="C8627">NPV(B8627,FCFF!$C$9:$I$9)+FCFF!$B$9+FCFF!$I$9*(1+Inputs!$B$6)/(B8627-Inputs!$B$6)/(1+B8627)^7</f>
        <v>-1945.444258</v>
      </c>
    </row>
    <row r="8628" ht="14.25" customHeight="1">
      <c r="A8628" s="7">
        <v>8615.0</v>
      </c>
      <c r="B8628" s="14">
        <f t="shared" si="1"/>
        <v>0.1137782887</v>
      </c>
      <c r="C8628" s="39">
        <f t="array" ref="C8628">NPV(B8628,FCFF!$C$9:$I$9)+FCFF!$B$9+FCFF!$I$9*(1+Inputs!$B$6)/(B8628-Inputs!$B$6)/(1+B8628)^7</f>
        <v>-1708.632517</v>
      </c>
    </row>
    <row r="8629" ht="14.25" customHeight="1">
      <c r="A8629" s="7">
        <v>8616.0</v>
      </c>
      <c r="B8629" s="14">
        <f t="shared" si="1"/>
        <v>0.1111715738</v>
      </c>
      <c r="C8629" s="39">
        <f t="array" ref="C8629">NPV(B8629,FCFF!$C$9:$I$9)+FCFF!$B$9+FCFF!$I$9*(1+Inputs!$B$6)/(B8629-Inputs!$B$6)/(1+B8629)^7</f>
        <v>-1655.842653</v>
      </c>
    </row>
    <row r="8630" ht="14.25" customHeight="1">
      <c r="A8630" s="7">
        <v>8617.0</v>
      </c>
      <c r="B8630" s="14">
        <f t="shared" si="1"/>
        <v>0.1252224995</v>
      </c>
      <c r="C8630" s="39">
        <f t="array" ref="C8630">NPV(B8630,FCFF!$C$9:$I$9)+FCFF!$B$9+FCFF!$I$9*(1+Inputs!$B$6)/(B8630-Inputs!$B$6)/(1+B8630)^7</f>
        <v>-1904.661816</v>
      </c>
    </row>
    <row r="8631" ht="14.25" customHeight="1">
      <c r="A8631" s="7">
        <v>8618.0</v>
      </c>
      <c r="B8631" s="14">
        <f t="shared" si="1"/>
        <v>0.09560358971</v>
      </c>
      <c r="C8631" s="39">
        <f t="array" ref="C8631">NPV(B8631,FCFF!$C$9:$I$9)+FCFF!$B$9+FCFF!$I$9*(1+Inputs!$B$6)/(B8631-Inputs!$B$6)/(1+B8631)^7</f>
        <v>-1250.851776</v>
      </c>
    </row>
    <row r="8632" ht="14.25" customHeight="1">
      <c r="A8632" s="7">
        <v>8619.0</v>
      </c>
      <c r="B8632" s="14">
        <f t="shared" si="1"/>
        <v>0.1191289623</v>
      </c>
      <c r="C8632" s="39">
        <f t="array" ref="C8632">NPV(B8632,FCFF!$C$9:$I$9)+FCFF!$B$9+FCFF!$I$9*(1+Inputs!$B$6)/(B8632-Inputs!$B$6)/(1+B8632)^7</f>
        <v>-1806.907327</v>
      </c>
    </row>
    <row r="8633" ht="14.25" customHeight="1">
      <c r="A8633" s="7">
        <v>8620.0</v>
      </c>
      <c r="B8633" s="14">
        <f t="shared" si="1"/>
        <v>0.0957932857</v>
      </c>
      <c r="C8633" s="39">
        <f t="array" ref="C8633">NPV(B8633,FCFF!$C$9:$I$9)+FCFF!$B$9+FCFF!$I$9*(1+Inputs!$B$6)/(B8633-Inputs!$B$6)/(1+B8633)^7</f>
        <v>-1256.94962</v>
      </c>
    </row>
    <row r="8634" ht="14.25" customHeight="1">
      <c r="A8634" s="7">
        <v>8621.0</v>
      </c>
      <c r="B8634" s="14">
        <f t="shared" si="1"/>
        <v>0.09357213119</v>
      </c>
      <c r="C8634" s="39">
        <f t="array" ref="C8634">NPV(B8634,FCFF!$C$9:$I$9)+FCFF!$B$9+FCFF!$I$9*(1+Inputs!$B$6)/(B8634-Inputs!$B$6)/(1+B8634)^7</f>
        <v>-1183.284283</v>
      </c>
    </row>
    <row r="8635" ht="14.25" customHeight="1">
      <c r="A8635" s="7">
        <v>8622.0</v>
      </c>
      <c r="B8635" s="14">
        <f t="shared" si="1"/>
        <v>0.125492645</v>
      </c>
      <c r="C8635" s="39">
        <f t="array" ref="C8635">NPV(B8635,FCFF!$C$9:$I$9)+FCFF!$B$9+FCFF!$I$9*(1+Inputs!$B$6)/(B8635-Inputs!$B$6)/(1+B8635)^7</f>
        <v>-1908.687836</v>
      </c>
    </row>
    <row r="8636" ht="14.25" customHeight="1">
      <c r="A8636" s="7">
        <v>8623.0</v>
      </c>
      <c r="B8636" s="14">
        <f t="shared" si="1"/>
        <v>0.09314398585</v>
      </c>
      <c r="C8636" s="39">
        <f t="array" ref="C8636">NPV(B8636,FCFF!$C$9:$I$9)+FCFF!$B$9+FCFF!$I$9*(1+Inputs!$B$6)/(B8636-Inputs!$B$6)/(1+B8636)^7</f>
        <v>-1168.494444</v>
      </c>
    </row>
    <row r="8637" ht="14.25" customHeight="1">
      <c r="A8637" s="7">
        <v>8624.0</v>
      </c>
      <c r="B8637" s="14">
        <f t="shared" si="1"/>
        <v>0.09996674342</v>
      </c>
      <c r="C8637" s="39">
        <f t="array" ref="C8637">NPV(B8637,FCFF!$C$9:$I$9)+FCFF!$B$9+FCFF!$I$9*(1+Inputs!$B$6)/(B8637-Inputs!$B$6)/(1+B8637)^7</f>
        <v>-1382.750634</v>
      </c>
    </row>
    <row r="8638" ht="14.25" customHeight="1">
      <c r="A8638" s="7">
        <v>8625.0</v>
      </c>
      <c r="B8638" s="14">
        <f t="shared" si="1"/>
        <v>0.113802828</v>
      </c>
      <c r="C8638" s="39">
        <f t="array" ref="C8638">NPV(B8638,FCFF!$C$9:$I$9)+FCFF!$B$9+FCFF!$I$9*(1+Inputs!$B$6)/(B8638-Inputs!$B$6)/(1+B8638)^7</f>
        <v>-1709.113249</v>
      </c>
    </row>
    <row r="8639" ht="14.25" customHeight="1">
      <c r="A8639" s="7">
        <v>8626.0</v>
      </c>
      <c r="B8639" s="14">
        <f t="shared" si="1"/>
        <v>0.1060645317</v>
      </c>
      <c r="C8639" s="39">
        <f t="array" ref="C8639">NPV(B8639,FCFF!$C$9:$I$9)+FCFF!$B$9+FCFF!$I$9*(1+Inputs!$B$6)/(B8639-Inputs!$B$6)/(1+B8639)^7</f>
        <v>-1541.558649</v>
      </c>
    </row>
    <row r="8640" ht="14.25" customHeight="1">
      <c r="A8640" s="7">
        <v>8627.0</v>
      </c>
      <c r="B8640" s="14">
        <f t="shared" si="1"/>
        <v>0.1264463689</v>
      </c>
      <c r="C8640" s="39">
        <f t="array" ref="C8640">NPV(B8640,FCFF!$C$9:$I$9)+FCFF!$B$9+FCFF!$I$9*(1+Inputs!$B$6)/(B8640-Inputs!$B$6)/(1+B8640)^7</f>
        <v>-1922.707759</v>
      </c>
    </row>
    <row r="8641" ht="14.25" customHeight="1">
      <c r="A8641" s="7">
        <v>8628.0</v>
      </c>
      <c r="B8641" s="14">
        <f t="shared" si="1"/>
        <v>0.101315724</v>
      </c>
      <c r="C8641" s="39">
        <f t="array" ref="C8641">NPV(B8641,FCFF!$C$9:$I$9)+FCFF!$B$9+FCFF!$I$9*(1+Inputs!$B$6)/(B8641-Inputs!$B$6)/(1+B8641)^7</f>
        <v>-1420.252752</v>
      </c>
    </row>
    <row r="8642" ht="14.25" customHeight="1">
      <c r="A8642" s="7">
        <v>8629.0</v>
      </c>
      <c r="B8642" s="14">
        <f t="shared" si="1"/>
        <v>0.1137691989</v>
      </c>
      <c r="C8642" s="39">
        <f t="array" ref="C8642">NPV(B8642,FCFF!$C$9:$I$9)+FCFF!$B$9+FCFF!$I$9*(1+Inputs!$B$6)/(B8642-Inputs!$B$6)/(1+B8642)^7</f>
        <v>-1708.454372</v>
      </c>
    </row>
    <row r="8643" ht="14.25" customHeight="1">
      <c r="A8643" s="7">
        <v>8630.0</v>
      </c>
      <c r="B8643" s="14">
        <f t="shared" si="1"/>
        <v>0.1046149995</v>
      </c>
      <c r="C8643" s="39">
        <f t="array" ref="C8643">NPV(B8643,FCFF!$C$9:$I$9)+FCFF!$B$9+FCFF!$I$9*(1+Inputs!$B$6)/(B8643-Inputs!$B$6)/(1+B8643)^7</f>
        <v>-1506.195853</v>
      </c>
    </row>
    <row r="8644" ht="14.25" customHeight="1">
      <c r="A8644" s="7">
        <v>8631.0</v>
      </c>
      <c r="B8644" s="14">
        <f t="shared" si="1"/>
        <v>0.1060970268</v>
      </c>
      <c r="C8644" s="39">
        <f t="array" ref="C8644">NPV(B8644,FCFF!$C$9:$I$9)+FCFF!$B$9+FCFF!$I$9*(1+Inputs!$B$6)/(B8644-Inputs!$B$6)/(1+B8644)^7</f>
        <v>-1542.335636</v>
      </c>
    </row>
    <row r="8645" ht="14.25" customHeight="1">
      <c r="A8645" s="7">
        <v>8632.0</v>
      </c>
      <c r="B8645" s="14">
        <f t="shared" si="1"/>
        <v>0.1287801461</v>
      </c>
      <c r="C8645" s="39">
        <f t="array" ref="C8645">NPV(B8645,FCFF!$C$9:$I$9)+FCFF!$B$9+FCFF!$I$9*(1+Inputs!$B$6)/(B8645-Inputs!$B$6)/(1+B8645)^7</f>
        <v>-1955.786908</v>
      </c>
    </row>
    <row r="8646" ht="14.25" customHeight="1">
      <c r="A8646" s="7">
        <v>8633.0</v>
      </c>
      <c r="B8646" s="14">
        <f t="shared" si="1"/>
        <v>0.1300073424</v>
      </c>
      <c r="C8646" s="39">
        <f t="array" ref="C8646">NPV(B8646,FCFF!$C$9:$I$9)+FCFF!$B$9+FCFF!$I$9*(1+Inputs!$B$6)/(B8646-Inputs!$B$6)/(1+B8646)^7</f>
        <v>-1972.512667</v>
      </c>
    </row>
    <row r="8647" ht="14.25" customHeight="1">
      <c r="A8647" s="7">
        <v>8634.0</v>
      </c>
      <c r="B8647" s="14">
        <f t="shared" si="1"/>
        <v>0.09765676087</v>
      </c>
      <c r="C8647" s="39">
        <f t="array" ref="C8647">NPV(B8647,FCFF!$C$9:$I$9)+FCFF!$B$9+FCFF!$I$9*(1+Inputs!$B$6)/(B8647-Inputs!$B$6)/(1+B8647)^7</f>
        <v>-1315.039585</v>
      </c>
    </row>
    <row r="8648" ht="14.25" customHeight="1">
      <c r="A8648" s="7">
        <v>8635.0</v>
      </c>
      <c r="B8648" s="14">
        <f t="shared" si="1"/>
        <v>0.1322810173</v>
      </c>
      <c r="C8648" s="39">
        <f t="array" ref="C8648">NPV(B8648,FCFF!$C$9:$I$9)+FCFF!$B$9+FCFF!$I$9*(1+Inputs!$B$6)/(B8648-Inputs!$B$6)/(1+B8648)^7</f>
        <v>-2002.351002</v>
      </c>
    </row>
    <row r="8649" ht="14.25" customHeight="1">
      <c r="A8649" s="7">
        <v>8636.0</v>
      </c>
      <c r="B8649" s="14">
        <f t="shared" si="1"/>
        <v>0.1289341138</v>
      </c>
      <c r="C8649" s="39">
        <f t="array" ref="C8649">NPV(B8649,FCFF!$C$9:$I$9)+FCFF!$B$9+FCFF!$I$9*(1+Inputs!$B$6)/(B8649-Inputs!$B$6)/(1+B8649)^7</f>
        <v>-1957.910035</v>
      </c>
    </row>
    <row r="8650" ht="14.25" customHeight="1">
      <c r="A8650" s="7">
        <v>8637.0</v>
      </c>
      <c r="B8650" s="14">
        <f t="shared" si="1"/>
        <v>0.1028397571</v>
      </c>
      <c r="C8650" s="39">
        <f t="array" ref="C8650">NPV(B8650,FCFF!$C$9:$I$9)+FCFF!$B$9+FCFF!$I$9*(1+Inputs!$B$6)/(B8650-Inputs!$B$6)/(1+B8650)^7</f>
        <v>-1460.9337</v>
      </c>
    </row>
    <row r="8651" ht="14.25" customHeight="1">
      <c r="A8651" s="7">
        <v>8638.0</v>
      </c>
      <c r="B8651" s="14">
        <f t="shared" si="1"/>
        <v>0.1230050013</v>
      </c>
      <c r="C8651" s="39">
        <f t="array" ref="C8651">NPV(B8651,FCFF!$C$9:$I$9)+FCFF!$B$9+FCFF!$I$9*(1+Inputs!$B$6)/(B8651-Inputs!$B$6)/(1+B8651)^7</f>
        <v>-1870.66645</v>
      </c>
    </row>
    <row r="8652" ht="14.25" customHeight="1">
      <c r="A8652" s="7">
        <v>8639.0</v>
      </c>
      <c r="B8652" s="14">
        <f t="shared" si="1"/>
        <v>0.1236930012</v>
      </c>
      <c r="C8652" s="39">
        <f t="array" ref="C8652">NPV(B8652,FCFF!$C$9:$I$9)+FCFF!$B$9+FCFF!$I$9*(1+Inputs!$B$6)/(B8652-Inputs!$B$6)/(1+B8652)^7</f>
        <v>-1881.397973</v>
      </c>
    </row>
    <row r="8653" ht="14.25" customHeight="1">
      <c r="A8653" s="7">
        <v>8640.0</v>
      </c>
      <c r="B8653" s="14">
        <f t="shared" si="1"/>
        <v>0.115742276</v>
      </c>
      <c r="C8653" s="39">
        <f t="array" ref="C8653">NPV(B8653,FCFF!$C$9:$I$9)+FCFF!$B$9+FCFF!$I$9*(1+Inputs!$B$6)/(B8653-Inputs!$B$6)/(1+B8653)^7</f>
        <v>-1746.199435</v>
      </c>
    </row>
    <row r="8654" ht="14.25" customHeight="1">
      <c r="A8654" s="7">
        <v>8641.0</v>
      </c>
      <c r="B8654" s="14">
        <f t="shared" si="1"/>
        <v>0.1145526478</v>
      </c>
      <c r="C8654" s="39">
        <f t="array" ref="C8654">NPV(B8654,FCFF!$C$9:$I$9)+FCFF!$B$9+FCFF!$I$9*(1+Inputs!$B$6)/(B8654-Inputs!$B$6)/(1+B8654)^7</f>
        <v>-1723.66214</v>
      </c>
    </row>
    <row r="8655" ht="14.25" customHeight="1">
      <c r="A8655" s="7">
        <v>8642.0</v>
      </c>
      <c r="B8655" s="14">
        <f t="shared" si="1"/>
        <v>0.09979642624</v>
      </c>
      <c r="C8655" s="39">
        <f t="array" ref="C8655">NPV(B8655,FCFF!$C$9:$I$9)+FCFF!$B$9+FCFF!$I$9*(1+Inputs!$B$6)/(B8655-Inputs!$B$6)/(1+B8655)^7</f>
        <v>-1377.911918</v>
      </c>
    </row>
    <row r="8656" ht="14.25" customHeight="1">
      <c r="A8656" s="7">
        <v>8643.0</v>
      </c>
      <c r="B8656" s="14">
        <f t="shared" si="1"/>
        <v>0.1058077239</v>
      </c>
      <c r="C8656" s="39">
        <f t="array" ref="C8656">NPV(B8656,FCFF!$C$9:$I$9)+FCFF!$B$9+FCFF!$I$9*(1+Inputs!$B$6)/(B8656-Inputs!$B$6)/(1+B8656)^7</f>
        <v>-1535.394193</v>
      </c>
    </row>
    <row r="8657" ht="14.25" customHeight="1">
      <c r="A8657" s="7">
        <v>8644.0</v>
      </c>
      <c r="B8657" s="14">
        <f t="shared" si="1"/>
        <v>0.1288875289</v>
      </c>
      <c r="C8657" s="39">
        <f t="array" ref="C8657">NPV(B8657,FCFF!$C$9:$I$9)+FCFF!$B$9+FCFF!$I$9*(1+Inputs!$B$6)/(B8657-Inputs!$B$6)/(1+B8657)^7</f>
        <v>-1957.268411</v>
      </c>
    </row>
    <row r="8658" ht="14.25" customHeight="1">
      <c r="A8658" s="7">
        <v>8645.0</v>
      </c>
      <c r="B8658" s="14">
        <f t="shared" si="1"/>
        <v>0.1102415699</v>
      </c>
      <c r="C8658" s="39">
        <f t="array" ref="C8658">NPV(B8658,FCFF!$C$9:$I$9)+FCFF!$B$9+FCFF!$I$9*(1+Inputs!$B$6)/(B8658-Inputs!$B$6)/(1+B8658)^7</f>
        <v>-1636.147117</v>
      </c>
    </row>
    <row r="8659" ht="14.25" customHeight="1">
      <c r="A8659" s="7">
        <v>8646.0</v>
      </c>
      <c r="B8659" s="14">
        <f t="shared" si="1"/>
        <v>0.1196413222</v>
      </c>
      <c r="C8659" s="39">
        <f t="array" ref="C8659">NPV(B8659,FCFF!$C$9:$I$9)+FCFF!$B$9+FCFF!$I$9*(1+Inputs!$B$6)/(B8659-Inputs!$B$6)/(1+B8659)^7</f>
        <v>-1815.670954</v>
      </c>
    </row>
    <row r="8660" ht="14.25" customHeight="1">
      <c r="A8660" s="7">
        <v>8647.0</v>
      </c>
      <c r="B8660" s="14">
        <f t="shared" si="1"/>
        <v>0.108604112</v>
      </c>
      <c r="C8660" s="39">
        <f t="array" ref="C8660">NPV(B8660,FCFF!$C$9:$I$9)+FCFF!$B$9+FCFF!$I$9*(1+Inputs!$B$6)/(B8660-Inputs!$B$6)/(1+B8660)^7</f>
        <v>-1600.298776</v>
      </c>
    </row>
    <row r="8661" ht="14.25" customHeight="1">
      <c r="A8661" s="7">
        <v>8648.0</v>
      </c>
      <c r="B8661" s="14">
        <f t="shared" si="1"/>
        <v>0.1059984587</v>
      </c>
      <c r="C8661" s="39">
        <f t="array" ref="C8661">NPV(B8661,FCFF!$C$9:$I$9)+FCFF!$B$9+FCFF!$I$9*(1+Inputs!$B$6)/(B8661-Inputs!$B$6)/(1+B8661)^7</f>
        <v>-1539.97669</v>
      </c>
    </row>
    <row r="8662" ht="14.25" customHeight="1">
      <c r="A8662" s="7">
        <v>8649.0</v>
      </c>
      <c r="B8662" s="14">
        <f t="shared" si="1"/>
        <v>0.1214291846</v>
      </c>
      <c r="C8662" s="39">
        <f t="array" ref="C8662">NPV(B8662,FCFF!$C$9:$I$9)+FCFF!$B$9+FCFF!$I$9*(1+Inputs!$B$6)/(B8662-Inputs!$B$6)/(1+B8662)^7</f>
        <v>-1845.437334</v>
      </c>
    </row>
    <row r="8663" ht="14.25" customHeight="1">
      <c r="A8663" s="7">
        <v>8650.0</v>
      </c>
      <c r="B8663" s="14">
        <f t="shared" si="1"/>
        <v>0.1054283814</v>
      </c>
      <c r="C8663" s="39">
        <f t="array" ref="C8663">NPV(B8663,FCFF!$C$9:$I$9)+FCFF!$B$9+FCFF!$I$9*(1+Inputs!$B$6)/(B8663-Inputs!$B$6)/(1+B8663)^7</f>
        <v>-1526.209925</v>
      </c>
    </row>
    <row r="8664" ht="14.25" customHeight="1">
      <c r="A8664" s="7">
        <v>8651.0</v>
      </c>
      <c r="B8664" s="14">
        <f t="shared" si="1"/>
        <v>0.09894441352</v>
      </c>
      <c r="C8664" s="39">
        <f t="array" ref="C8664">NPV(B8664,FCFF!$C$9:$I$9)+FCFF!$B$9+FCFF!$I$9*(1+Inputs!$B$6)/(B8664-Inputs!$B$6)/(1+B8664)^7</f>
        <v>-1353.345342</v>
      </c>
    </row>
    <row r="8665" ht="14.25" customHeight="1">
      <c r="A8665" s="7">
        <v>8652.0</v>
      </c>
      <c r="B8665" s="14">
        <f t="shared" si="1"/>
        <v>0.1105501793</v>
      </c>
      <c r="C8665" s="39">
        <f t="array" ref="C8665">NPV(B8665,FCFF!$C$9:$I$9)+FCFF!$B$9+FCFF!$I$9*(1+Inputs!$B$6)/(B8665-Inputs!$B$6)/(1+B8665)^7</f>
        <v>-1642.734974</v>
      </c>
    </row>
    <row r="8666" ht="14.25" customHeight="1">
      <c r="A8666" s="7">
        <v>8653.0</v>
      </c>
      <c r="B8666" s="14">
        <f t="shared" si="1"/>
        <v>0.1193166822</v>
      </c>
      <c r="C8666" s="39">
        <f t="array" ref="C8666">NPV(B8666,FCFF!$C$9:$I$9)+FCFF!$B$9+FCFF!$I$9*(1+Inputs!$B$6)/(B8666-Inputs!$B$6)/(1+B8666)^7</f>
        <v>-1810.130508</v>
      </c>
    </row>
    <row r="8667" ht="14.25" customHeight="1">
      <c r="A8667" s="7">
        <v>8654.0</v>
      </c>
      <c r="B8667" s="14">
        <f t="shared" si="1"/>
        <v>0.1238724063</v>
      </c>
      <c r="C8667" s="39">
        <f t="array" ref="C8667">NPV(B8667,FCFF!$C$9:$I$9)+FCFF!$B$9+FCFF!$I$9*(1+Inputs!$B$6)/(B8667-Inputs!$B$6)/(1+B8667)^7</f>
        <v>-1884.168749</v>
      </c>
    </row>
    <row r="8668" ht="14.25" customHeight="1">
      <c r="A8668" s="7">
        <v>8655.0</v>
      </c>
      <c r="B8668" s="14">
        <f t="shared" si="1"/>
        <v>0.09769259978</v>
      </c>
      <c r="C8668" s="39">
        <f t="array" ref="C8668">NPV(B8668,FCFF!$C$9:$I$9)+FCFF!$B$9+FCFF!$I$9*(1+Inputs!$B$6)/(B8668-Inputs!$B$6)/(1+B8668)^7</f>
        <v>-1316.125485</v>
      </c>
    </row>
    <row r="8669" ht="14.25" customHeight="1">
      <c r="A8669" s="7">
        <v>8656.0</v>
      </c>
      <c r="B8669" s="14">
        <f t="shared" si="1"/>
        <v>0.1299075874</v>
      </c>
      <c r="C8669" s="39">
        <f t="array" ref="C8669">NPV(B8669,FCFF!$C$9:$I$9)+FCFF!$B$9+FCFF!$I$9*(1+Inputs!$B$6)/(B8669-Inputs!$B$6)/(1+B8669)^7</f>
        <v>-1971.169709</v>
      </c>
    </row>
    <row r="8670" ht="14.25" customHeight="1">
      <c r="A8670" s="7">
        <v>8657.0</v>
      </c>
      <c r="B8670" s="14">
        <f t="shared" si="1"/>
        <v>0.09753826559</v>
      </c>
      <c r="C8670" s="39">
        <f t="array" ref="C8670">NPV(B8670,FCFF!$C$9:$I$9)+FCFF!$B$9+FCFF!$I$9*(1+Inputs!$B$6)/(B8670-Inputs!$B$6)/(1+B8670)^7</f>
        <v>-1311.441038</v>
      </c>
    </row>
    <row r="8671" ht="14.25" customHeight="1">
      <c r="A8671" s="7">
        <v>8658.0</v>
      </c>
      <c r="B8671" s="14">
        <f t="shared" si="1"/>
        <v>0.1237152742</v>
      </c>
      <c r="C8671" s="39">
        <f t="array" ref="C8671">NPV(B8671,FCFF!$C$9:$I$9)+FCFF!$B$9+FCFF!$I$9*(1+Inputs!$B$6)/(B8671-Inputs!$B$6)/(1+B8671)^7</f>
        <v>-1881.742578</v>
      </c>
    </row>
    <row r="8672" ht="14.25" customHeight="1">
      <c r="A8672" s="7">
        <v>8659.0</v>
      </c>
      <c r="B8672" s="14">
        <f t="shared" si="1"/>
        <v>0.1027890765</v>
      </c>
      <c r="C8672" s="39">
        <f t="array" ref="C8672">NPV(B8672,FCFF!$C$9:$I$9)+FCFF!$B$9+FCFF!$I$9*(1+Inputs!$B$6)/(B8672-Inputs!$B$6)/(1+B8672)^7</f>
        <v>-1459.60861</v>
      </c>
    </row>
    <row r="8673" ht="14.25" customHeight="1">
      <c r="A8673" s="7">
        <v>8660.0</v>
      </c>
      <c r="B8673" s="14">
        <f t="shared" si="1"/>
        <v>0.1069253123</v>
      </c>
      <c r="C8673" s="39">
        <f t="array" ref="C8673">NPV(B8673,FCFF!$C$9:$I$9)+FCFF!$B$9+FCFF!$I$9*(1+Inputs!$B$6)/(B8673-Inputs!$B$6)/(1+B8673)^7</f>
        <v>-1561.913951</v>
      </c>
    </row>
    <row r="8674" ht="14.25" customHeight="1">
      <c r="A8674" s="7">
        <v>8661.0</v>
      </c>
      <c r="B8674" s="14">
        <f t="shared" si="1"/>
        <v>0.1035458915</v>
      </c>
      <c r="C8674" s="39">
        <f t="array" ref="C8674">NPV(B8674,FCFF!$C$9:$I$9)+FCFF!$B$9+FCFF!$I$9*(1+Inputs!$B$6)/(B8674-Inputs!$B$6)/(1+B8674)^7</f>
        <v>-1479.203478</v>
      </c>
    </row>
    <row r="8675" ht="14.25" customHeight="1">
      <c r="A8675" s="7">
        <v>8662.0</v>
      </c>
      <c r="B8675" s="14">
        <f t="shared" si="1"/>
        <v>0.0935608829</v>
      </c>
      <c r="C8675" s="39">
        <f t="array" ref="C8675">NPV(B8675,FCFF!$C$9:$I$9)+FCFF!$B$9+FCFF!$I$9*(1+Inputs!$B$6)/(B8675-Inputs!$B$6)/(1+B8675)^7</f>
        <v>-1182.898243</v>
      </c>
    </row>
    <row r="8676" ht="14.25" customHeight="1">
      <c r="A8676" s="7">
        <v>8663.0</v>
      </c>
      <c r="B8676" s="14">
        <f t="shared" si="1"/>
        <v>0.0968815487</v>
      </c>
      <c r="C8676" s="39">
        <f t="array" ref="C8676">NPV(B8676,FCFF!$C$9:$I$9)+FCFF!$B$9+FCFF!$I$9*(1+Inputs!$B$6)/(B8676-Inputs!$B$6)/(1+B8676)^7</f>
        <v>-1291.266354</v>
      </c>
    </row>
    <row r="8677" ht="14.25" customHeight="1">
      <c r="A8677" s="7">
        <v>8664.0</v>
      </c>
      <c r="B8677" s="14">
        <f t="shared" si="1"/>
        <v>0.1137140081</v>
      </c>
      <c r="C8677" s="39">
        <f t="array" ref="C8677">NPV(B8677,FCFF!$C$9:$I$9)+FCFF!$B$9+FCFF!$I$9*(1+Inputs!$B$6)/(B8677-Inputs!$B$6)/(1+B8677)^7</f>
        <v>-1707.371849</v>
      </c>
    </row>
    <row r="8678" ht="14.25" customHeight="1">
      <c r="A8678" s="7">
        <v>8665.0</v>
      </c>
      <c r="B8678" s="14">
        <f t="shared" si="1"/>
        <v>0.1032592783</v>
      </c>
      <c r="C8678" s="39">
        <f t="array" ref="C8678">NPV(B8678,FCFF!$C$9:$I$9)+FCFF!$B$9+FCFF!$I$9*(1+Inputs!$B$6)/(B8678-Inputs!$B$6)/(1+B8678)^7</f>
        <v>-1471.83105</v>
      </c>
    </row>
    <row r="8679" ht="14.25" customHeight="1">
      <c r="A8679" s="7">
        <v>8666.0</v>
      </c>
      <c r="B8679" s="14">
        <f t="shared" si="1"/>
        <v>0.1116451036</v>
      </c>
      <c r="C8679" s="39">
        <f t="array" ref="C8679">NPV(B8679,FCFF!$C$9:$I$9)+FCFF!$B$9+FCFF!$I$9*(1+Inputs!$B$6)/(B8679-Inputs!$B$6)/(1+B8679)^7</f>
        <v>-1665.692582</v>
      </c>
    </row>
    <row r="8680" ht="14.25" customHeight="1">
      <c r="A8680" s="7">
        <v>8667.0</v>
      </c>
      <c r="B8680" s="14">
        <f t="shared" si="1"/>
        <v>0.10174472</v>
      </c>
      <c r="C8680" s="39">
        <f t="array" ref="C8680">NPV(B8680,FCFF!$C$9:$I$9)+FCFF!$B$9+FCFF!$I$9*(1+Inputs!$B$6)/(B8680-Inputs!$B$6)/(1+B8680)^7</f>
        <v>-1431.880749</v>
      </c>
    </row>
    <row r="8681" ht="14.25" customHeight="1">
      <c r="A8681" s="7">
        <v>8668.0</v>
      </c>
      <c r="B8681" s="14">
        <f t="shared" si="1"/>
        <v>0.09762789029</v>
      </c>
      <c r="C8681" s="39">
        <f t="array" ref="C8681">NPV(B8681,FCFF!$C$9:$I$9)+FCFF!$B$9+FCFF!$I$9*(1+Inputs!$B$6)/(B8681-Inputs!$B$6)/(1+B8681)^7</f>
        <v>-1314.163985</v>
      </c>
    </row>
    <row r="8682" ht="14.25" customHeight="1">
      <c r="A8682" s="7">
        <v>8669.0</v>
      </c>
      <c r="B8682" s="14">
        <f t="shared" si="1"/>
        <v>0.09537400328</v>
      </c>
      <c r="C8682" s="39">
        <f t="array" ref="C8682">NPV(B8682,FCFF!$C$9:$I$9)+FCFF!$B$9+FCFF!$I$9*(1+Inputs!$B$6)/(B8682-Inputs!$B$6)/(1+B8682)^7</f>
        <v>-1243.424555</v>
      </c>
    </row>
    <row r="8683" ht="14.25" customHeight="1">
      <c r="A8683" s="7">
        <v>8670.0</v>
      </c>
      <c r="B8683" s="14">
        <f t="shared" si="1"/>
        <v>0.09441207054</v>
      </c>
      <c r="C8683" s="39">
        <f t="array" ref="C8683">NPV(B8683,FCFF!$C$9:$I$9)+FCFF!$B$9+FCFF!$I$9*(1+Inputs!$B$6)/(B8683-Inputs!$B$6)/(1+B8683)^7</f>
        <v>-1211.73374</v>
      </c>
    </row>
    <row r="8684" ht="14.25" customHeight="1">
      <c r="A8684" s="7">
        <v>8671.0</v>
      </c>
      <c r="B8684" s="14">
        <f t="shared" si="1"/>
        <v>0.1116042891</v>
      </c>
      <c r="C8684" s="39">
        <f t="array" ref="C8684">NPV(B8684,FCFF!$C$9:$I$9)+FCFF!$B$9+FCFF!$I$9*(1+Inputs!$B$6)/(B8684-Inputs!$B$6)/(1+B8684)^7</f>
        <v>-1664.848263</v>
      </c>
    </row>
    <row r="8685" ht="14.25" customHeight="1">
      <c r="A8685" s="7">
        <v>8672.0</v>
      </c>
      <c r="B8685" s="14">
        <f t="shared" si="1"/>
        <v>0.1072237935</v>
      </c>
      <c r="C8685" s="39">
        <f t="array" ref="C8685">NPV(B8685,FCFF!$C$9:$I$9)+FCFF!$B$9+FCFF!$I$9*(1+Inputs!$B$6)/(B8685-Inputs!$B$6)/(1+B8685)^7</f>
        <v>-1568.863779</v>
      </c>
    </row>
    <row r="8686" ht="14.25" customHeight="1">
      <c r="A8686" s="7">
        <v>8673.0</v>
      </c>
      <c r="B8686" s="14">
        <f t="shared" si="1"/>
        <v>0.1097283205</v>
      </c>
      <c r="C8686" s="39">
        <f t="array" ref="C8686">NPV(B8686,FCFF!$C$9:$I$9)+FCFF!$B$9+FCFF!$I$9*(1+Inputs!$B$6)/(B8686-Inputs!$B$6)/(1+B8686)^7</f>
        <v>-1625.074123</v>
      </c>
    </row>
    <row r="8687" ht="14.25" customHeight="1">
      <c r="A8687" s="7">
        <v>8674.0</v>
      </c>
      <c r="B8687" s="14">
        <f t="shared" si="1"/>
        <v>0.1215884751</v>
      </c>
      <c r="C8687" s="39">
        <f t="array" ref="C8687">NPV(B8687,FCFF!$C$9:$I$9)+FCFF!$B$9+FCFF!$I$9*(1+Inputs!$B$6)/(B8687-Inputs!$B$6)/(1+B8687)^7</f>
        <v>-1848.029587</v>
      </c>
    </row>
    <row r="8688" ht="14.25" customHeight="1">
      <c r="A8688" s="7">
        <v>8675.0</v>
      </c>
      <c r="B8688" s="14">
        <f t="shared" si="1"/>
        <v>0.1136135469</v>
      </c>
      <c r="C8688" s="39">
        <f t="array" ref="C8688">NPV(B8688,FCFF!$C$9:$I$9)+FCFF!$B$9+FCFF!$I$9*(1+Inputs!$B$6)/(B8688-Inputs!$B$6)/(1+B8688)^7</f>
        <v>-1705.397559</v>
      </c>
    </row>
    <row r="8689" ht="14.25" customHeight="1">
      <c r="A8689" s="7">
        <v>8676.0</v>
      </c>
      <c r="B8689" s="14">
        <f t="shared" si="1"/>
        <v>0.09988727844</v>
      </c>
      <c r="C8689" s="39">
        <f t="array" ref="C8689">NPV(B8689,FCFF!$C$9:$I$9)+FCFF!$B$9+FCFF!$I$9*(1+Inputs!$B$6)/(B8689-Inputs!$B$6)/(1+B8689)^7</f>
        <v>-1380.495985</v>
      </c>
    </row>
    <row r="8690" ht="14.25" customHeight="1">
      <c r="A8690" s="7">
        <v>8677.0</v>
      </c>
      <c r="B8690" s="14">
        <f t="shared" si="1"/>
        <v>0.1083871531</v>
      </c>
      <c r="C8690" s="39">
        <f t="array" ref="C8690">NPV(B8690,FCFF!$C$9:$I$9)+FCFF!$B$9+FCFF!$I$9*(1+Inputs!$B$6)/(B8690-Inputs!$B$6)/(1+B8690)^7</f>
        <v>-1595.433165</v>
      </c>
    </row>
    <row r="8691" ht="14.25" customHeight="1">
      <c r="A8691" s="7">
        <v>8678.0</v>
      </c>
      <c r="B8691" s="14">
        <f t="shared" si="1"/>
        <v>0.1025178055</v>
      </c>
      <c r="C8691" s="39">
        <f t="array" ref="C8691">NPV(B8691,FCFF!$C$9:$I$9)+FCFF!$B$9+FCFF!$I$9*(1+Inputs!$B$6)/(B8691-Inputs!$B$6)/(1+B8691)^7</f>
        <v>-1452.484067</v>
      </c>
    </row>
    <row r="8692" ht="14.25" customHeight="1">
      <c r="A8692" s="7">
        <v>8679.0</v>
      </c>
      <c r="B8692" s="14">
        <f t="shared" si="1"/>
        <v>0.1261136714</v>
      </c>
      <c r="C8692" s="39">
        <f t="array" ref="C8692">NPV(B8692,FCFF!$C$9:$I$9)+FCFF!$B$9+FCFF!$I$9*(1+Inputs!$B$6)/(B8692-Inputs!$B$6)/(1+B8692)^7</f>
        <v>-1917.850999</v>
      </c>
    </row>
    <row r="8693" ht="14.25" customHeight="1">
      <c r="A8693" s="7">
        <v>8680.0</v>
      </c>
      <c r="B8693" s="14">
        <f t="shared" si="1"/>
        <v>0.1030166691</v>
      </c>
      <c r="C8693" s="39">
        <f t="array" ref="C8693">NPV(B8693,FCFF!$C$9:$I$9)+FCFF!$B$9+FCFF!$I$9*(1+Inputs!$B$6)/(B8693-Inputs!$B$6)/(1+B8693)^7</f>
        <v>-1465.5446</v>
      </c>
    </row>
    <row r="8694" ht="14.25" customHeight="1">
      <c r="A8694" s="7">
        <v>8681.0</v>
      </c>
      <c r="B8694" s="14">
        <f t="shared" si="1"/>
        <v>0.1186095113</v>
      </c>
      <c r="C8694" s="39">
        <f t="array" ref="C8694">NPV(B8694,FCFF!$C$9:$I$9)+FCFF!$B$9+FCFF!$I$9*(1+Inputs!$B$6)/(B8694-Inputs!$B$6)/(1+B8694)^7</f>
        <v>-1797.91307</v>
      </c>
    </row>
    <row r="8695" ht="14.25" customHeight="1">
      <c r="A8695" s="7">
        <v>8682.0</v>
      </c>
      <c r="B8695" s="14">
        <f t="shared" si="1"/>
        <v>0.1318368207</v>
      </c>
      <c r="C8695" s="39">
        <f t="array" ref="C8695">NPV(B8695,FCFF!$C$9:$I$9)+FCFF!$B$9+FCFF!$I$9*(1+Inputs!$B$6)/(B8695-Inputs!$B$6)/(1+B8695)^7</f>
        <v>-1996.635616</v>
      </c>
    </row>
    <row r="8696" ht="14.25" customHeight="1">
      <c r="A8696" s="7">
        <v>8683.0</v>
      </c>
      <c r="B8696" s="14">
        <f t="shared" si="1"/>
        <v>0.09394163331</v>
      </c>
      <c r="C8696" s="39">
        <f t="array" ref="C8696">NPV(B8696,FCFF!$C$9:$I$9)+FCFF!$B$9+FCFF!$I$9*(1+Inputs!$B$6)/(B8696-Inputs!$B$6)/(1+B8696)^7</f>
        <v>-1195.890827</v>
      </c>
    </row>
    <row r="8697" ht="14.25" customHeight="1">
      <c r="A8697" s="7">
        <v>8684.0</v>
      </c>
      <c r="B8697" s="14">
        <f t="shared" si="1"/>
        <v>0.1271012115</v>
      </c>
      <c r="C8697" s="39">
        <f t="array" ref="C8697">NPV(B8697,FCFF!$C$9:$I$9)+FCFF!$B$9+FCFF!$I$9*(1+Inputs!$B$6)/(B8697-Inputs!$B$6)/(1+B8697)^7</f>
        <v>-1932.162666</v>
      </c>
    </row>
    <row r="8698" ht="14.25" customHeight="1">
      <c r="A8698" s="7">
        <v>8685.0</v>
      </c>
      <c r="B8698" s="14">
        <f t="shared" si="1"/>
        <v>0.1236234184</v>
      </c>
      <c r="C8698" s="39">
        <f t="array" ref="C8698">NPV(B8698,FCFF!$C$9:$I$9)+FCFF!$B$9+FCFF!$I$9*(1+Inputs!$B$6)/(B8698-Inputs!$B$6)/(1+B8698)^7</f>
        <v>-1880.320264</v>
      </c>
    </row>
    <row r="8699" ht="14.25" customHeight="1">
      <c r="A8699" s="7">
        <v>8686.0</v>
      </c>
      <c r="B8699" s="14">
        <f t="shared" si="1"/>
        <v>0.1221468516</v>
      </c>
      <c r="C8699" s="39">
        <f t="array" ref="C8699">NPV(B8699,FCFF!$C$9:$I$9)+FCFF!$B$9+FCFF!$I$9*(1+Inputs!$B$6)/(B8699-Inputs!$B$6)/(1+B8699)^7</f>
        <v>-1857.04123</v>
      </c>
    </row>
    <row r="8700" ht="14.25" customHeight="1">
      <c r="A8700" s="7">
        <v>8687.0</v>
      </c>
      <c r="B8700" s="14">
        <f t="shared" si="1"/>
        <v>0.09493245417</v>
      </c>
      <c r="C8700" s="39">
        <f t="array" ref="C8700">NPV(B8700,FCFF!$C$9:$I$9)+FCFF!$B$9+FCFF!$I$9*(1+Inputs!$B$6)/(B8700-Inputs!$B$6)/(1+B8700)^7</f>
        <v>-1228.993502</v>
      </c>
    </row>
    <row r="8701" ht="14.25" customHeight="1">
      <c r="A8701" s="7">
        <v>8688.0</v>
      </c>
      <c r="B8701" s="14">
        <f t="shared" si="1"/>
        <v>0.1317248254</v>
      </c>
      <c r="C8701" s="39">
        <f t="array" ref="C8701">NPV(B8701,FCFF!$C$9:$I$9)+FCFF!$B$9+FCFF!$I$9*(1+Inputs!$B$6)/(B8701-Inputs!$B$6)/(1+B8701)^7</f>
        <v>-1995.186004</v>
      </c>
    </row>
    <row r="8702" ht="14.25" customHeight="1">
      <c r="A8702" s="7">
        <v>8689.0</v>
      </c>
      <c r="B8702" s="14">
        <f t="shared" si="1"/>
        <v>0.1201402208</v>
      </c>
      <c r="C8702" s="39">
        <f t="array" ref="C8702">NPV(B8702,FCFF!$C$9:$I$9)+FCFF!$B$9+FCFF!$I$9*(1+Inputs!$B$6)/(B8702-Inputs!$B$6)/(1+B8702)^7</f>
        <v>-1824.103094</v>
      </c>
    </row>
    <row r="8703" ht="14.25" customHeight="1">
      <c r="A8703" s="7">
        <v>8690.0</v>
      </c>
      <c r="B8703" s="14">
        <f t="shared" si="1"/>
        <v>0.1171528135</v>
      </c>
      <c r="C8703" s="39">
        <f t="array" ref="C8703">NPV(B8703,FCFF!$C$9:$I$9)+FCFF!$B$9+FCFF!$I$9*(1+Inputs!$B$6)/(B8703-Inputs!$B$6)/(1+B8703)^7</f>
        <v>-1772.087041</v>
      </c>
    </row>
    <row r="8704" ht="14.25" customHeight="1">
      <c r="A8704" s="7">
        <v>8691.0</v>
      </c>
      <c r="B8704" s="14">
        <f t="shared" si="1"/>
        <v>0.1128953387</v>
      </c>
      <c r="C8704" s="39">
        <f t="array" ref="C8704">NPV(B8704,FCFF!$C$9:$I$9)+FCFF!$B$9+FCFF!$I$9*(1+Inputs!$B$6)/(B8704-Inputs!$B$6)/(1+B8704)^7</f>
        <v>-1691.137924</v>
      </c>
    </row>
    <row r="8705" ht="14.25" customHeight="1">
      <c r="A8705" s="7">
        <v>8692.0</v>
      </c>
      <c r="B8705" s="14">
        <f t="shared" si="1"/>
        <v>0.1244722769</v>
      </c>
      <c r="C8705" s="39">
        <f t="array" ref="C8705">NPV(B8705,FCFF!$C$9:$I$9)+FCFF!$B$9+FCFF!$I$9*(1+Inputs!$B$6)/(B8705-Inputs!$B$6)/(1+B8705)^7</f>
        <v>-1893.351606</v>
      </c>
    </row>
    <row r="8706" ht="14.25" customHeight="1">
      <c r="A8706" s="7">
        <v>8693.0</v>
      </c>
      <c r="B8706" s="14">
        <f t="shared" si="1"/>
        <v>0.120797985</v>
      </c>
      <c r="C8706" s="39">
        <f t="array" ref="C8706">NPV(B8706,FCFF!$C$9:$I$9)+FCFF!$B$9+FCFF!$I$9*(1+Inputs!$B$6)/(B8706-Inputs!$B$6)/(1+B8706)^7</f>
        <v>-1835.070344</v>
      </c>
    </row>
    <row r="8707" ht="14.25" customHeight="1">
      <c r="A8707" s="7">
        <v>8694.0</v>
      </c>
      <c r="B8707" s="14">
        <f t="shared" si="1"/>
        <v>0.1208131518</v>
      </c>
      <c r="C8707" s="39">
        <f t="array" ref="C8707">NPV(B8707,FCFF!$C$9:$I$9)+FCFF!$B$9+FCFF!$I$9*(1+Inputs!$B$6)/(B8707-Inputs!$B$6)/(1+B8707)^7</f>
        <v>-1835.321242</v>
      </c>
    </row>
    <row r="8708" ht="14.25" customHeight="1">
      <c r="A8708" s="7">
        <v>8695.0</v>
      </c>
      <c r="B8708" s="14">
        <f t="shared" si="1"/>
        <v>0.09972605339</v>
      </c>
      <c r="C8708" s="39">
        <f t="array" ref="C8708">NPV(B8708,FCFF!$C$9:$I$9)+FCFF!$B$9+FCFF!$I$9*(1+Inputs!$B$6)/(B8708-Inputs!$B$6)/(1+B8708)^7</f>
        <v>-1375.90568</v>
      </c>
    </row>
    <row r="8709" ht="14.25" customHeight="1">
      <c r="A8709" s="7">
        <v>8696.0</v>
      </c>
      <c r="B8709" s="14">
        <f t="shared" si="1"/>
        <v>0.1279098796</v>
      </c>
      <c r="C8709" s="39">
        <f t="array" ref="C8709">NPV(B8709,FCFF!$C$9:$I$9)+FCFF!$B$9+FCFF!$I$9*(1+Inputs!$B$6)/(B8709-Inputs!$B$6)/(1+B8709)^7</f>
        <v>-1943.650612</v>
      </c>
    </row>
    <row r="8710" ht="14.25" customHeight="1">
      <c r="A8710" s="7">
        <v>8697.0</v>
      </c>
      <c r="B8710" s="14">
        <f t="shared" si="1"/>
        <v>0.09523148561</v>
      </c>
      <c r="C8710" s="39">
        <f t="array" ref="C8710">NPV(B8710,FCFF!$C$9:$I$9)+FCFF!$B$9+FCFF!$I$9*(1+Inputs!$B$6)/(B8710-Inputs!$B$6)/(1+B8710)^7</f>
        <v>-1238.787898</v>
      </c>
    </row>
    <row r="8711" ht="14.25" customHeight="1">
      <c r="A8711" s="7">
        <v>8698.0</v>
      </c>
      <c r="B8711" s="14">
        <f t="shared" si="1"/>
        <v>0.1263642543</v>
      </c>
      <c r="C8711" s="39">
        <f t="array" ref="C8711">NPV(B8711,FCFF!$C$9:$I$9)+FCFF!$B$9+FCFF!$I$9*(1+Inputs!$B$6)/(B8711-Inputs!$B$6)/(1+B8711)^7</f>
        <v>-1921.512391</v>
      </c>
    </row>
    <row r="8712" ht="14.25" customHeight="1">
      <c r="A8712" s="7">
        <v>8699.0</v>
      </c>
      <c r="B8712" s="14">
        <f t="shared" si="1"/>
        <v>0.1029507056</v>
      </c>
      <c r="C8712" s="39">
        <f t="array" ref="C8712">NPV(B8712,FCFF!$C$9:$I$9)+FCFF!$B$9+FCFF!$I$9*(1+Inputs!$B$6)/(B8712-Inputs!$B$6)/(1+B8712)^7</f>
        <v>-1463.828031</v>
      </c>
    </row>
    <row r="8713" ht="14.25" customHeight="1">
      <c r="A8713" s="7">
        <v>8700.0</v>
      </c>
      <c r="B8713" s="14">
        <f t="shared" si="1"/>
        <v>0.1212581611</v>
      </c>
      <c r="C8713" s="39">
        <f t="array" ref="C8713">NPV(B8713,FCFF!$C$9:$I$9)+FCFF!$B$9+FCFF!$I$9*(1+Inputs!$B$6)/(B8713-Inputs!$B$6)/(1+B8713)^7</f>
        <v>-1842.643438</v>
      </c>
    </row>
    <row r="8714" ht="14.25" customHeight="1">
      <c r="A8714" s="7">
        <v>8701.0</v>
      </c>
      <c r="B8714" s="14">
        <f t="shared" si="1"/>
        <v>0.1052241149</v>
      </c>
      <c r="C8714" s="39">
        <f t="array" ref="C8714">NPV(B8714,FCFF!$C$9:$I$9)+FCFF!$B$9+FCFF!$I$9*(1+Inputs!$B$6)/(B8714-Inputs!$B$6)/(1+B8714)^7</f>
        <v>-1521.225252</v>
      </c>
    </row>
    <row r="8715" ht="14.25" customHeight="1">
      <c r="A8715" s="7">
        <v>8702.0</v>
      </c>
      <c r="B8715" s="14">
        <f t="shared" si="1"/>
        <v>0.09365314906</v>
      </c>
      <c r="C8715" s="39">
        <f t="array" ref="C8715">NPV(B8715,FCFF!$C$9:$I$9)+FCFF!$B$9+FCFF!$I$9*(1+Inputs!$B$6)/(B8715-Inputs!$B$6)/(1+B8715)^7</f>
        <v>-1186.060821</v>
      </c>
    </row>
    <row r="8716" ht="14.25" customHeight="1">
      <c r="A8716" s="7">
        <v>8703.0</v>
      </c>
      <c r="B8716" s="14">
        <f t="shared" si="1"/>
        <v>0.1148789035</v>
      </c>
      <c r="C8716" s="39">
        <f t="array" ref="C8716">NPV(B8716,FCFF!$C$9:$I$9)+FCFF!$B$9+FCFF!$I$9*(1+Inputs!$B$6)/(B8716-Inputs!$B$6)/(1+B8716)^7</f>
        <v>-1729.908758</v>
      </c>
    </row>
    <row r="8717" ht="14.25" customHeight="1">
      <c r="A8717" s="7">
        <v>8704.0</v>
      </c>
      <c r="B8717" s="14">
        <f t="shared" si="1"/>
        <v>0.1110692329</v>
      </c>
      <c r="C8717" s="39">
        <f t="array" ref="C8717">NPV(B8717,FCFF!$C$9:$I$9)+FCFF!$B$9+FCFF!$I$9*(1+Inputs!$B$6)/(B8717-Inputs!$B$6)/(1+B8717)^7</f>
        <v>-1653.698184</v>
      </c>
    </row>
    <row r="8718" ht="14.25" customHeight="1">
      <c r="A8718" s="7">
        <v>8705.0</v>
      </c>
      <c r="B8718" s="14">
        <f t="shared" si="1"/>
        <v>0.1174048413</v>
      </c>
      <c r="C8718" s="39">
        <f t="array" ref="C8718">NPV(B8718,FCFF!$C$9:$I$9)+FCFF!$B$9+FCFF!$I$9*(1+Inputs!$B$6)/(B8718-Inputs!$B$6)/(1+B8718)^7</f>
        <v>-1776.620132</v>
      </c>
    </row>
    <row r="8719" ht="14.25" customHeight="1">
      <c r="A8719" s="7">
        <v>8706.0</v>
      </c>
      <c r="B8719" s="14">
        <f t="shared" si="1"/>
        <v>0.1040326576</v>
      </c>
      <c r="C8719" s="39">
        <f t="array" ref="C8719">NPV(B8719,FCFF!$C$9:$I$9)+FCFF!$B$9+FCFF!$I$9*(1+Inputs!$B$6)/(B8719-Inputs!$B$6)/(1+B8719)^7</f>
        <v>-1491.591472</v>
      </c>
    </row>
    <row r="8720" ht="14.25" customHeight="1">
      <c r="A8720" s="7">
        <v>8707.0</v>
      </c>
      <c r="B8720" s="14">
        <f t="shared" si="1"/>
        <v>0.1256770955</v>
      </c>
      <c r="C8720" s="39">
        <f t="array" ref="C8720">NPV(B8720,FCFF!$C$9:$I$9)+FCFF!$B$9+FCFF!$I$9*(1+Inputs!$B$6)/(B8720-Inputs!$B$6)/(1+B8720)^7</f>
        <v>-1911.422717</v>
      </c>
    </row>
    <row r="8721" ht="14.25" customHeight="1">
      <c r="A8721" s="7">
        <v>8708.0</v>
      </c>
      <c r="B8721" s="14">
        <f t="shared" si="1"/>
        <v>0.1291669268</v>
      </c>
      <c r="C8721" s="39">
        <f t="array" ref="C8721">NPV(B8721,FCFF!$C$9:$I$9)+FCFF!$B$9+FCFF!$I$9*(1+Inputs!$B$6)/(B8721-Inputs!$B$6)/(1+B8721)^7</f>
        <v>-1961.106843</v>
      </c>
    </row>
    <row r="8722" ht="14.25" customHeight="1">
      <c r="A8722" s="7">
        <v>8709.0</v>
      </c>
      <c r="B8722" s="14">
        <f t="shared" si="1"/>
        <v>0.1312111649</v>
      </c>
      <c r="C8722" s="39">
        <f t="array" ref="C8722">NPV(B8722,FCFF!$C$9:$I$9)+FCFF!$B$9+FCFF!$I$9*(1+Inputs!$B$6)/(B8722-Inputs!$B$6)/(1+B8722)^7</f>
        <v>-1988.492639</v>
      </c>
    </row>
    <row r="8723" ht="14.25" customHeight="1">
      <c r="A8723" s="7">
        <v>8710.0</v>
      </c>
      <c r="B8723" s="14">
        <f t="shared" si="1"/>
        <v>0.09914344987</v>
      </c>
      <c r="C8723" s="39">
        <f t="array" ref="C8723">NPV(B8723,FCFF!$C$9:$I$9)+FCFF!$B$9+FCFF!$I$9*(1+Inputs!$B$6)/(B8723-Inputs!$B$6)/(1+B8723)^7</f>
        <v>-1359.138721</v>
      </c>
    </row>
    <row r="8724" ht="14.25" customHeight="1">
      <c r="A8724" s="7">
        <v>8711.0</v>
      </c>
      <c r="B8724" s="14">
        <f t="shared" si="1"/>
        <v>0.1150556821</v>
      </c>
      <c r="C8724" s="39">
        <f t="array" ref="C8724">NPV(B8724,FCFF!$C$9:$I$9)+FCFF!$B$9+FCFF!$I$9*(1+Inputs!$B$6)/(B8724-Inputs!$B$6)/(1+B8724)^7</f>
        <v>-1733.272507</v>
      </c>
    </row>
    <row r="8725" ht="14.25" customHeight="1">
      <c r="A8725" s="7">
        <v>8712.0</v>
      </c>
      <c r="B8725" s="14">
        <f t="shared" si="1"/>
        <v>0.1163030671</v>
      </c>
      <c r="C8725" s="39">
        <f t="array" ref="C8725">NPV(B8725,FCFF!$C$9:$I$9)+FCFF!$B$9+FCFF!$I$9*(1+Inputs!$B$6)/(B8725-Inputs!$B$6)/(1+B8725)^7</f>
        <v>-1756.597986</v>
      </c>
    </row>
    <row r="8726" ht="14.25" customHeight="1">
      <c r="A8726" s="7">
        <v>8713.0</v>
      </c>
      <c r="B8726" s="14">
        <f t="shared" si="1"/>
        <v>0.100346836</v>
      </c>
      <c r="C8726" s="39">
        <f t="array" ref="C8726">NPV(B8726,FCFF!$C$9:$I$9)+FCFF!$B$9+FCFF!$I$9*(1+Inputs!$B$6)/(B8726-Inputs!$B$6)/(1+B8726)^7</f>
        <v>-1393.464029</v>
      </c>
    </row>
    <row r="8727" ht="14.25" customHeight="1">
      <c r="A8727" s="7">
        <v>8714.0</v>
      </c>
      <c r="B8727" s="14">
        <f t="shared" si="1"/>
        <v>0.1232277912</v>
      </c>
      <c r="C8727" s="39">
        <f t="array" ref="C8727">NPV(B8727,FCFF!$C$9:$I$9)+FCFF!$B$9+FCFF!$I$9*(1+Inputs!$B$6)/(B8727-Inputs!$B$6)/(1+B8727)^7</f>
        <v>-1874.160072</v>
      </c>
    </row>
    <row r="8728" ht="14.25" customHeight="1">
      <c r="A8728" s="7">
        <v>8715.0</v>
      </c>
      <c r="B8728" s="14">
        <f t="shared" si="1"/>
        <v>0.1158963207</v>
      </c>
      <c r="C8728" s="39">
        <f t="array" ref="C8728">NPV(B8728,FCFF!$C$9:$I$9)+FCFF!$B$9+FCFF!$I$9*(1+Inputs!$B$6)/(B8728-Inputs!$B$6)/(1+B8728)^7</f>
        <v>-1749.070011</v>
      </c>
    </row>
    <row r="8729" ht="14.25" customHeight="1">
      <c r="A8729" s="7">
        <v>8716.0</v>
      </c>
      <c r="B8729" s="14">
        <f t="shared" si="1"/>
        <v>0.1264285512</v>
      </c>
      <c r="C8729" s="39">
        <f t="array" ref="C8729">NPV(B8729,FCFF!$C$9:$I$9)+FCFF!$B$9+FCFF!$I$9*(1+Inputs!$B$6)/(B8729-Inputs!$B$6)/(1+B8729)^7</f>
        <v>-1922.448568</v>
      </c>
    </row>
    <row r="8730" ht="14.25" customHeight="1">
      <c r="A8730" s="7">
        <v>8717.0</v>
      </c>
      <c r="B8730" s="14">
        <f t="shared" si="1"/>
        <v>0.1327209023</v>
      </c>
      <c r="C8730" s="39">
        <f t="array" ref="C8730">NPV(B8730,FCFF!$C$9:$I$9)+FCFF!$B$9+FCFF!$I$9*(1+Inputs!$B$6)/(B8730-Inputs!$B$6)/(1+B8730)^7</f>
        <v>-2007.957773</v>
      </c>
    </row>
    <row r="8731" ht="14.25" customHeight="1">
      <c r="A8731" s="7">
        <v>8718.0</v>
      </c>
      <c r="B8731" s="14">
        <f t="shared" si="1"/>
        <v>0.1181900596</v>
      </c>
      <c r="C8731" s="39">
        <f t="array" ref="C8731">NPV(B8731,FCFF!$C$9:$I$9)+FCFF!$B$9+FCFF!$I$9*(1+Inputs!$B$6)/(B8731-Inputs!$B$6)/(1+B8731)^7</f>
        <v>-1790.568677</v>
      </c>
    </row>
    <row r="8732" ht="14.25" customHeight="1">
      <c r="A8732" s="7">
        <v>8719.0</v>
      </c>
      <c r="B8732" s="14">
        <f t="shared" si="1"/>
        <v>0.1080286532</v>
      </c>
      <c r="C8732" s="39">
        <f t="array" ref="C8732">NPV(B8732,FCFF!$C$9:$I$9)+FCFF!$B$9+FCFF!$I$9*(1+Inputs!$B$6)/(B8732-Inputs!$B$6)/(1+B8732)^7</f>
        <v>-1587.332311</v>
      </c>
    </row>
    <row r="8733" ht="14.25" customHeight="1">
      <c r="A8733" s="7">
        <v>8720.0</v>
      </c>
      <c r="B8733" s="14">
        <f t="shared" si="1"/>
        <v>0.1191732435</v>
      </c>
      <c r="C8733" s="39">
        <f t="array" ref="C8733">NPV(B8733,FCFF!$C$9:$I$9)+FCFF!$B$9+FCFF!$I$9*(1+Inputs!$B$6)/(B8733-Inputs!$B$6)/(1+B8733)^7</f>
        <v>-1807.668934</v>
      </c>
    </row>
    <row r="8734" ht="14.25" customHeight="1">
      <c r="A8734" s="7">
        <v>8721.0</v>
      </c>
      <c r="B8734" s="14">
        <f t="shared" si="1"/>
        <v>0.1068624688</v>
      </c>
      <c r="C8734" s="39">
        <f t="array" ref="C8734">NPV(B8734,FCFF!$C$9:$I$9)+FCFF!$B$9+FCFF!$I$9*(1+Inputs!$B$6)/(B8734-Inputs!$B$6)/(1+B8734)^7</f>
        <v>-1560.443655</v>
      </c>
    </row>
    <row r="8735" ht="14.25" customHeight="1">
      <c r="A8735" s="7">
        <v>8722.0</v>
      </c>
      <c r="B8735" s="14">
        <f t="shared" si="1"/>
        <v>0.1064394325</v>
      </c>
      <c r="C8735" s="39">
        <f t="array" ref="C8735">NPV(B8735,FCFF!$C$9:$I$9)+FCFF!$B$9+FCFF!$I$9*(1+Inputs!$B$6)/(B8735-Inputs!$B$6)/(1+B8735)^7</f>
        <v>-1550.48179</v>
      </c>
    </row>
    <row r="8736" ht="14.25" customHeight="1">
      <c r="A8736" s="7">
        <v>8723.0</v>
      </c>
      <c r="B8736" s="14">
        <f t="shared" si="1"/>
        <v>0.1114985015</v>
      </c>
      <c r="C8736" s="39">
        <f t="array" ref="C8736">NPV(B8736,FCFF!$C$9:$I$9)+FCFF!$B$9+FCFF!$I$9*(1+Inputs!$B$6)/(B8736-Inputs!$B$6)/(1+B8736)^7</f>
        <v>-1662.655779</v>
      </c>
    </row>
    <row r="8737" ht="14.25" customHeight="1">
      <c r="A8737" s="7">
        <v>8724.0</v>
      </c>
      <c r="B8737" s="14">
        <f t="shared" si="1"/>
        <v>0.1170739849</v>
      </c>
      <c r="C8737" s="39">
        <f t="array" ref="C8737">NPV(B8737,FCFF!$C$9:$I$9)+FCFF!$B$9+FCFF!$I$9*(1+Inputs!$B$6)/(B8737-Inputs!$B$6)/(1+B8737)^7</f>
        <v>-1770.663527</v>
      </c>
    </row>
    <row r="8738" ht="14.25" customHeight="1">
      <c r="A8738" s="7">
        <v>8725.0</v>
      </c>
      <c r="B8738" s="14">
        <f t="shared" si="1"/>
        <v>0.1020633783</v>
      </c>
      <c r="C8738" s="39">
        <f t="array" ref="C8738">NPV(B8738,FCFF!$C$9:$I$9)+FCFF!$B$9+FCFF!$I$9*(1+Inputs!$B$6)/(B8738-Inputs!$B$6)/(1+B8738)^7</f>
        <v>-1440.427436</v>
      </c>
    </row>
    <row r="8739" ht="14.25" customHeight="1">
      <c r="A8739" s="7">
        <v>8726.0</v>
      </c>
      <c r="B8739" s="14">
        <f t="shared" si="1"/>
        <v>0.1186204637</v>
      </c>
      <c r="C8739" s="39">
        <f t="array" ref="C8739">NPV(B8739,FCFF!$C$9:$I$9)+FCFF!$B$9+FCFF!$I$9*(1+Inputs!$B$6)/(B8739-Inputs!$B$6)/(1+B8739)^7</f>
        <v>-1798.103859</v>
      </c>
    </row>
    <row r="8740" ht="14.25" customHeight="1">
      <c r="A8740" s="7">
        <v>8727.0</v>
      </c>
      <c r="B8740" s="14">
        <f t="shared" si="1"/>
        <v>0.1260523675</v>
      </c>
      <c r="C8740" s="39">
        <f t="array" ref="C8740">NPV(B8740,FCFF!$C$9:$I$9)+FCFF!$B$9+FCFF!$I$9*(1+Inputs!$B$6)/(B8740-Inputs!$B$6)/(1+B8740)^7</f>
        <v>-1916.95213</v>
      </c>
    </row>
    <row r="8741" ht="14.25" customHeight="1">
      <c r="A8741" s="7">
        <v>8728.0</v>
      </c>
      <c r="B8741" s="14">
        <f t="shared" si="1"/>
        <v>0.1292853355</v>
      </c>
      <c r="C8741" s="39">
        <f t="array" ref="C8741">NPV(B8741,FCFF!$C$9:$I$9)+FCFF!$B$9+FCFF!$I$9*(1+Inputs!$B$6)/(B8741-Inputs!$B$6)/(1+B8741)^7</f>
        <v>-1962.726512</v>
      </c>
    </row>
    <row r="8742" ht="14.25" customHeight="1">
      <c r="A8742" s="7">
        <v>8729.0</v>
      </c>
      <c r="B8742" s="14">
        <f t="shared" si="1"/>
        <v>0.1050088032</v>
      </c>
      <c r="C8742" s="39">
        <f t="array" ref="C8742">NPV(B8742,FCFF!$C$9:$I$9)+FCFF!$B$9+FCFF!$I$9*(1+Inputs!$B$6)/(B8742-Inputs!$B$6)/(1+B8742)^7</f>
        <v>-1515.941056</v>
      </c>
    </row>
    <row r="8743" ht="14.25" customHeight="1">
      <c r="A8743" s="7">
        <v>8730.0</v>
      </c>
      <c r="B8743" s="14">
        <f t="shared" si="1"/>
        <v>0.121657572</v>
      </c>
      <c r="C8743" s="39">
        <f t="array" ref="C8743">NPV(B8743,FCFF!$C$9:$I$9)+FCFF!$B$9+FCFF!$I$9*(1+Inputs!$B$6)/(B8743-Inputs!$B$6)/(1+B8743)^7</f>
        <v>-1849.151073</v>
      </c>
    </row>
    <row r="8744" ht="14.25" customHeight="1">
      <c r="A8744" s="7">
        <v>8731.0</v>
      </c>
      <c r="B8744" s="14">
        <f t="shared" si="1"/>
        <v>0.1071959261</v>
      </c>
      <c r="C8744" s="39">
        <f t="array" ref="C8744">NPV(B8744,FCFF!$C$9:$I$9)+FCFF!$B$9+FCFF!$I$9*(1+Inputs!$B$6)/(B8744-Inputs!$B$6)/(1+B8744)^7</f>
        <v>-1568.217247</v>
      </c>
    </row>
    <row r="8745" ht="14.25" customHeight="1">
      <c r="A8745" s="7">
        <v>8732.0</v>
      </c>
      <c r="B8745" s="14">
        <f t="shared" si="1"/>
        <v>0.1049529846</v>
      </c>
      <c r="C8745" s="39">
        <f t="array" ref="C8745">NPV(B8745,FCFF!$C$9:$I$9)+FCFF!$B$9+FCFF!$I$9*(1+Inputs!$B$6)/(B8745-Inputs!$B$6)/(1+B8745)^7</f>
        <v>-1514.5661</v>
      </c>
    </row>
    <row r="8746" ht="14.25" customHeight="1">
      <c r="A8746" s="7">
        <v>8733.0</v>
      </c>
      <c r="B8746" s="14">
        <f t="shared" si="1"/>
        <v>0.1274135947</v>
      </c>
      <c r="C8746" s="39">
        <f t="array" ref="C8746">NPV(B8746,FCFF!$C$9:$I$9)+FCFF!$B$9+FCFF!$I$9*(1+Inputs!$B$6)/(B8746-Inputs!$B$6)/(1+B8746)^7</f>
        <v>-1936.624768</v>
      </c>
    </row>
    <row r="8747" ht="14.25" customHeight="1">
      <c r="A8747" s="7">
        <v>8734.0</v>
      </c>
      <c r="B8747" s="14">
        <f t="shared" si="1"/>
        <v>0.1171097755</v>
      </c>
      <c r="C8747" s="39">
        <f t="array" ref="C8747">NPV(B8747,FCFF!$C$9:$I$9)+FCFF!$B$9+FCFF!$I$9*(1+Inputs!$B$6)/(B8747-Inputs!$B$6)/(1+B8747)^7</f>
        <v>-1771.310182</v>
      </c>
    </row>
    <row r="8748" ht="14.25" customHeight="1">
      <c r="A8748" s="7">
        <v>8735.0</v>
      </c>
      <c r="B8748" s="14">
        <f t="shared" si="1"/>
        <v>0.09906697443</v>
      </c>
      <c r="C8748" s="39">
        <f t="array" ref="C8748">NPV(B8748,FCFF!$C$9:$I$9)+FCFF!$B$9+FCFF!$I$9*(1+Inputs!$B$6)/(B8748-Inputs!$B$6)/(1+B8748)^7</f>
        <v>-1356.916706</v>
      </c>
    </row>
    <row r="8749" ht="14.25" customHeight="1">
      <c r="A8749" s="7">
        <v>8736.0</v>
      </c>
      <c r="B8749" s="14">
        <f t="shared" si="1"/>
        <v>0.1171250687</v>
      </c>
      <c r="C8749" s="39">
        <f t="array" ref="C8749">NPV(B8749,FCFF!$C$9:$I$9)+FCFF!$B$9+FCFF!$I$9*(1+Inputs!$B$6)/(B8749-Inputs!$B$6)/(1+B8749)^7</f>
        <v>-1771.586325</v>
      </c>
    </row>
    <row r="8750" ht="14.25" customHeight="1">
      <c r="A8750" s="7">
        <v>8737.0</v>
      </c>
      <c r="B8750" s="14">
        <f t="shared" si="1"/>
        <v>0.1071900039</v>
      </c>
      <c r="C8750" s="39">
        <f t="array" ref="C8750">NPV(B8750,FCFF!$C$9:$I$9)+FCFF!$B$9+FCFF!$I$9*(1+Inputs!$B$6)/(B8750-Inputs!$B$6)/(1+B8750)^7</f>
        <v>-1568.079789</v>
      </c>
    </row>
    <row r="8751" ht="14.25" customHeight="1">
      <c r="A8751" s="7">
        <v>8738.0</v>
      </c>
      <c r="B8751" s="14">
        <f t="shared" si="1"/>
        <v>0.1106523293</v>
      </c>
      <c r="C8751" s="39">
        <f t="array" ref="C8751">NPV(B8751,FCFF!$C$9:$I$9)+FCFF!$B$9+FCFF!$I$9*(1+Inputs!$B$6)/(B8751-Inputs!$B$6)/(1+B8751)^7</f>
        <v>-1644.904078</v>
      </c>
    </row>
    <row r="8752" ht="14.25" customHeight="1">
      <c r="A8752" s="7">
        <v>8739.0</v>
      </c>
      <c r="B8752" s="14">
        <f t="shared" si="1"/>
        <v>0.1204961361</v>
      </c>
      <c r="C8752" s="39">
        <f t="array" ref="C8752">NPV(B8752,FCFF!$C$9:$I$9)+FCFF!$B$9+FCFF!$I$9*(1+Inputs!$B$6)/(B8752-Inputs!$B$6)/(1+B8752)^7</f>
        <v>-1830.058439</v>
      </c>
    </row>
    <row r="8753" ht="14.25" customHeight="1">
      <c r="A8753" s="7">
        <v>8740.0</v>
      </c>
      <c r="B8753" s="14">
        <f t="shared" si="1"/>
        <v>0.1120219611</v>
      </c>
      <c r="C8753" s="39">
        <f t="array" ref="C8753">NPV(B8753,FCFF!$C$9:$I$9)+FCFF!$B$9+FCFF!$I$9*(1+Inputs!$B$6)/(B8753-Inputs!$B$6)/(1+B8753)^7</f>
        <v>-1673.447366</v>
      </c>
    </row>
    <row r="8754" ht="14.25" customHeight="1">
      <c r="A8754" s="7">
        <v>8741.0</v>
      </c>
      <c r="B8754" s="14">
        <f t="shared" si="1"/>
        <v>0.1299302292</v>
      </c>
      <c r="C8754" s="39">
        <f t="array" ref="C8754">NPV(B8754,FCFF!$C$9:$I$9)+FCFF!$B$9+FCFF!$I$9*(1+Inputs!$B$6)/(B8754-Inputs!$B$6)/(1+B8754)^7</f>
        <v>-1971.474781</v>
      </c>
    </row>
    <row r="8755" ht="14.25" customHeight="1">
      <c r="A8755" s="7">
        <v>8742.0</v>
      </c>
      <c r="B8755" s="14">
        <f t="shared" si="1"/>
        <v>0.1205722264</v>
      </c>
      <c r="C8755" s="39">
        <f t="array" ref="C8755">NPV(B8755,FCFF!$C$9:$I$9)+FCFF!$B$9+FCFF!$I$9*(1+Inputs!$B$6)/(B8755-Inputs!$B$6)/(1+B8755)^7</f>
        <v>-1831.325184</v>
      </c>
    </row>
    <row r="8756" ht="14.25" customHeight="1">
      <c r="A8756" s="7">
        <v>8743.0</v>
      </c>
      <c r="B8756" s="14">
        <f t="shared" si="1"/>
        <v>0.1030114106</v>
      </c>
      <c r="C8756" s="39">
        <f t="array" ref="C8756">NPV(B8756,FCFF!$C$9:$I$9)+FCFF!$B$9+FCFF!$I$9*(1+Inputs!$B$6)/(B8756-Inputs!$B$6)/(1+B8756)^7</f>
        <v>-1465.407873</v>
      </c>
    </row>
    <row r="8757" ht="14.25" customHeight="1">
      <c r="A8757" s="7">
        <v>8744.0</v>
      </c>
      <c r="B8757" s="14">
        <f t="shared" si="1"/>
        <v>0.1286803932</v>
      </c>
      <c r="C8757" s="39">
        <f t="array" ref="C8757">NPV(B8757,FCFF!$C$9:$I$9)+FCFF!$B$9+FCFF!$I$9*(1+Inputs!$B$6)/(B8757-Inputs!$B$6)/(1+B8757)^7</f>
        <v>-1954.407545</v>
      </c>
    </row>
    <row r="8758" ht="14.25" customHeight="1">
      <c r="A8758" s="7">
        <v>8745.0</v>
      </c>
      <c r="B8758" s="14">
        <f t="shared" si="1"/>
        <v>0.1179950562</v>
      </c>
      <c r="C8758" s="39">
        <f t="array" ref="C8758">NPV(B8758,FCFF!$C$9:$I$9)+FCFF!$B$9+FCFF!$I$9*(1+Inputs!$B$6)/(B8758-Inputs!$B$6)/(1+B8758)^7</f>
        <v>-1787.129122</v>
      </c>
    </row>
    <row r="8759" ht="14.25" customHeight="1">
      <c r="A8759" s="7">
        <v>8746.0</v>
      </c>
      <c r="B8759" s="14">
        <f t="shared" si="1"/>
        <v>0.1164848274</v>
      </c>
      <c r="C8759" s="39">
        <f t="array" ref="C8759">NPV(B8759,FCFF!$C$9:$I$9)+FCFF!$B$9+FCFF!$I$9*(1+Inputs!$B$6)/(B8759-Inputs!$B$6)/(1+B8759)^7</f>
        <v>-1759.937958</v>
      </c>
    </row>
    <row r="8760" ht="14.25" customHeight="1">
      <c r="A8760" s="7">
        <v>8747.0</v>
      </c>
      <c r="B8760" s="14">
        <f t="shared" si="1"/>
        <v>0.1081755097</v>
      </c>
      <c r="C8760" s="39">
        <f t="array" ref="C8760">NPV(B8760,FCFF!$C$9:$I$9)+FCFF!$B$9+FCFF!$I$9*(1+Inputs!$B$6)/(B8760-Inputs!$B$6)/(1+B8760)^7</f>
        <v>-1590.659994</v>
      </c>
    </row>
    <row r="8761" ht="14.25" customHeight="1">
      <c r="A8761" s="7">
        <v>8748.0</v>
      </c>
      <c r="B8761" s="14">
        <f t="shared" si="1"/>
        <v>0.1004330978</v>
      </c>
      <c r="C8761" s="39">
        <f t="array" ref="C8761">NPV(B8761,FCFF!$C$9:$I$9)+FCFF!$B$9+FCFF!$I$9*(1+Inputs!$B$6)/(B8761-Inputs!$B$6)/(1+B8761)^7</f>
        <v>-1395.879216</v>
      </c>
    </row>
    <row r="8762" ht="14.25" customHeight="1">
      <c r="A8762" s="7">
        <v>8749.0</v>
      </c>
      <c r="B8762" s="14">
        <f t="shared" si="1"/>
        <v>0.111257651</v>
      </c>
      <c r="C8762" s="39">
        <f t="array" ref="C8762">NPV(B8762,FCFF!$C$9:$I$9)+FCFF!$B$9+FCFF!$I$9*(1+Inputs!$B$6)/(B8762-Inputs!$B$6)/(1+B8762)^7</f>
        <v>-1657.641998</v>
      </c>
    </row>
    <row r="8763" ht="14.25" customHeight="1">
      <c r="A8763" s="7">
        <v>8750.0</v>
      </c>
      <c r="B8763" s="14">
        <f t="shared" si="1"/>
        <v>0.1190492339</v>
      </c>
      <c r="C8763" s="39">
        <f t="array" ref="C8763">NPV(B8763,FCFF!$C$9:$I$9)+FCFF!$B$9+FCFF!$I$9*(1+Inputs!$B$6)/(B8763-Inputs!$B$6)/(1+B8763)^7</f>
        <v>-1805.534033</v>
      </c>
    </row>
    <row r="8764" ht="14.25" customHeight="1">
      <c r="A8764" s="7">
        <v>8751.0</v>
      </c>
      <c r="B8764" s="14">
        <f t="shared" si="1"/>
        <v>0.1265276811</v>
      </c>
      <c r="C8764" s="39">
        <f t="array" ref="C8764">NPV(B8764,FCFF!$C$9:$I$9)+FCFF!$B$9+FCFF!$I$9*(1+Inputs!$B$6)/(B8764-Inputs!$B$6)/(1+B8764)^7</f>
        <v>-1923.88929</v>
      </c>
    </row>
    <row r="8765" ht="14.25" customHeight="1">
      <c r="A8765" s="7">
        <v>8752.0</v>
      </c>
      <c r="B8765" s="14">
        <f t="shared" si="1"/>
        <v>0.1123804602</v>
      </c>
      <c r="C8765" s="39">
        <f t="array" ref="C8765">NPV(B8765,FCFF!$C$9:$I$9)+FCFF!$B$9+FCFF!$I$9*(1+Inputs!$B$6)/(B8765-Inputs!$B$6)/(1+B8765)^7</f>
        <v>-1680.756044</v>
      </c>
    </row>
    <row r="8766" ht="14.25" customHeight="1">
      <c r="A8766" s="7">
        <v>8753.0</v>
      </c>
      <c r="B8766" s="14">
        <f t="shared" si="1"/>
        <v>0.1265594024</v>
      </c>
      <c r="C8766" s="39">
        <f t="array" ref="C8766">NPV(B8766,FCFF!$C$9:$I$9)+FCFF!$B$9+FCFF!$I$9*(1+Inputs!$B$6)/(B8766-Inputs!$B$6)/(1+B8766)^7</f>
        <v>-1924.349645</v>
      </c>
    </row>
    <row r="8767" ht="14.25" customHeight="1">
      <c r="A8767" s="7">
        <v>8754.0</v>
      </c>
      <c r="B8767" s="14">
        <f t="shared" si="1"/>
        <v>0.1272802683</v>
      </c>
      <c r="C8767" s="39">
        <f t="array" ref="C8767">NPV(B8767,FCFF!$C$9:$I$9)+FCFF!$B$9+FCFF!$I$9*(1+Inputs!$B$6)/(B8767-Inputs!$B$6)/(1+B8767)^7</f>
        <v>-1934.724104</v>
      </c>
    </row>
    <row r="8768" ht="14.25" customHeight="1">
      <c r="A8768" s="7">
        <v>8755.0</v>
      </c>
      <c r="B8768" s="14">
        <f t="shared" si="1"/>
        <v>0.1015345776</v>
      </c>
      <c r="C8768" s="39">
        <f t="array" ref="C8768">NPV(B8768,FCFF!$C$9:$I$9)+FCFF!$B$9+FCFF!$I$9*(1+Inputs!$B$6)/(B8768-Inputs!$B$6)/(1+B8768)^7</f>
        <v>-1426.202418</v>
      </c>
    </row>
    <row r="8769" ht="14.25" customHeight="1">
      <c r="A8769" s="7">
        <v>8756.0</v>
      </c>
      <c r="B8769" s="14">
        <f t="shared" si="1"/>
        <v>0.1079559906</v>
      </c>
      <c r="C8769" s="39">
        <f t="array" ref="C8769">NPV(B8769,FCFF!$C$9:$I$9)+FCFF!$B$9+FCFF!$I$9*(1+Inputs!$B$6)/(B8769-Inputs!$B$6)/(1+B8769)^7</f>
        <v>-1585.681053</v>
      </c>
    </row>
    <row r="8770" ht="14.25" customHeight="1">
      <c r="A8770" s="7">
        <v>8757.0</v>
      </c>
      <c r="B8770" s="14">
        <f t="shared" si="1"/>
        <v>0.1321924993</v>
      </c>
      <c r="C8770" s="39">
        <f t="array" ref="C8770">NPV(B8770,FCFF!$C$9:$I$9)+FCFF!$B$9+FCFF!$I$9*(1+Inputs!$B$6)/(B8770-Inputs!$B$6)/(1+B8770)^7</f>
        <v>-2001.216384</v>
      </c>
    </row>
    <row r="8771" ht="14.25" customHeight="1">
      <c r="A8771" s="7">
        <v>8758.0</v>
      </c>
      <c r="B8771" s="14">
        <f t="shared" si="1"/>
        <v>0.1121253064</v>
      </c>
      <c r="C8771" s="39">
        <f t="array" ref="C8771">NPV(B8771,FCFF!$C$9:$I$9)+FCFF!$B$9+FCFF!$I$9*(1+Inputs!$B$6)/(B8771-Inputs!$B$6)/(1+B8771)^7</f>
        <v>-1675.561053</v>
      </c>
    </row>
    <row r="8772" ht="14.25" customHeight="1">
      <c r="A8772" s="7">
        <v>8759.0</v>
      </c>
      <c r="B8772" s="14">
        <f t="shared" si="1"/>
        <v>0.1093375217</v>
      </c>
      <c r="C8772" s="39">
        <f t="array" ref="C8772">NPV(B8772,FCFF!$C$9:$I$9)+FCFF!$B$9+FCFF!$I$9*(1+Inputs!$B$6)/(B8772-Inputs!$B$6)/(1+B8772)^7</f>
        <v>-1616.543738</v>
      </c>
    </row>
    <row r="8773" ht="14.25" customHeight="1">
      <c r="A8773" s="7">
        <v>8760.0</v>
      </c>
      <c r="B8773" s="14">
        <f t="shared" si="1"/>
        <v>0.1128827359</v>
      </c>
      <c r="C8773" s="39">
        <f t="array" ref="C8773">NPV(B8773,FCFF!$C$9:$I$9)+FCFF!$B$9+FCFF!$I$9*(1+Inputs!$B$6)/(B8773-Inputs!$B$6)/(1+B8773)^7</f>
        <v>-1690.885405</v>
      </c>
    </row>
    <row r="8774" ht="14.25" customHeight="1">
      <c r="A8774" s="7">
        <v>8761.0</v>
      </c>
      <c r="B8774" s="14">
        <f t="shared" si="1"/>
        <v>0.109231763</v>
      </c>
      <c r="C8774" s="39">
        <f t="array" ref="C8774">NPV(B8774,FCFF!$C$9:$I$9)+FCFF!$B$9+FCFF!$I$9*(1+Inputs!$B$6)/(B8774-Inputs!$B$6)/(1+B8774)^7</f>
        <v>-1614.220308</v>
      </c>
    </row>
    <row r="8775" ht="14.25" customHeight="1">
      <c r="A8775" s="7">
        <v>8762.0</v>
      </c>
      <c r="B8775" s="14">
        <f t="shared" si="1"/>
        <v>0.1032944692</v>
      </c>
      <c r="C8775" s="39">
        <f t="array" ref="C8775">NPV(B8775,FCFF!$C$9:$I$9)+FCFF!$B$9+FCFF!$I$9*(1+Inputs!$B$6)/(B8775-Inputs!$B$6)/(1+B8775)^7</f>
        <v>-1472.739404</v>
      </c>
    </row>
    <row r="8776" ht="14.25" customHeight="1">
      <c r="A8776" s="7">
        <v>8763.0</v>
      </c>
      <c r="B8776" s="14">
        <f t="shared" si="1"/>
        <v>0.09871632883</v>
      </c>
      <c r="C8776" s="39">
        <f t="array" ref="C8776">NPV(B8776,FCFF!$C$9:$I$9)+FCFF!$B$9+FCFF!$I$9*(1+Inputs!$B$6)/(B8776-Inputs!$B$6)/(1+B8776)^7</f>
        <v>-1346.665031</v>
      </c>
    </row>
    <row r="8777" ht="14.25" customHeight="1">
      <c r="A8777" s="7">
        <v>8764.0</v>
      </c>
      <c r="B8777" s="14">
        <f t="shared" si="1"/>
        <v>0.1162630555</v>
      </c>
      <c r="C8777" s="39">
        <f t="array" ref="C8777">NPV(B8777,FCFF!$C$9:$I$9)+FCFF!$B$9+FCFF!$I$9*(1+Inputs!$B$6)/(B8777-Inputs!$B$6)/(1+B8777)^7</f>
        <v>-1755.860761</v>
      </c>
    </row>
    <row r="8778" ht="14.25" customHeight="1">
      <c r="A8778" s="7">
        <v>8765.0</v>
      </c>
      <c r="B8778" s="14">
        <f t="shared" si="1"/>
        <v>0.09329605323</v>
      </c>
      <c r="C8778" s="39">
        <f t="array" ref="C8778">NPV(B8778,FCFF!$C$9:$I$9)+FCFF!$B$9+FCFF!$I$9*(1+Inputs!$B$6)/(B8778-Inputs!$B$6)/(1+B8778)^7</f>
        <v>-1173.770107</v>
      </c>
    </row>
    <row r="8779" ht="14.25" customHeight="1">
      <c r="A8779" s="7">
        <v>8766.0</v>
      </c>
      <c r="B8779" s="14">
        <f t="shared" si="1"/>
        <v>0.1209030203</v>
      </c>
      <c r="C8779" s="39">
        <f t="array" ref="C8779">NPV(B8779,FCFF!$C$9:$I$9)+FCFF!$B$9+FCFF!$I$9*(1+Inputs!$B$6)/(B8779-Inputs!$B$6)/(1+B8779)^7</f>
        <v>-1836.806073</v>
      </c>
    </row>
    <row r="8780" ht="14.25" customHeight="1">
      <c r="A8780" s="7">
        <v>8767.0</v>
      </c>
      <c r="B8780" s="14">
        <f t="shared" si="1"/>
        <v>0.09557266848</v>
      </c>
      <c r="C8780" s="39">
        <f t="array" ref="C8780">NPV(B8780,FCFF!$C$9:$I$9)+FCFF!$B$9+FCFF!$I$9*(1+Inputs!$B$6)/(B8780-Inputs!$B$6)/(1+B8780)^7</f>
        <v>-1249.854475</v>
      </c>
    </row>
    <row r="8781" ht="14.25" customHeight="1">
      <c r="A8781" s="7">
        <v>8768.0</v>
      </c>
      <c r="B8781" s="14">
        <f t="shared" si="1"/>
        <v>0.09623951644</v>
      </c>
      <c r="C8781" s="39">
        <f t="array" ref="C8781">NPV(B8781,FCFF!$C$9:$I$9)+FCFF!$B$9+FCFF!$I$9*(1+Inputs!$B$6)/(B8781-Inputs!$B$6)/(1+B8781)^7</f>
        <v>-1271.156766</v>
      </c>
    </row>
    <row r="8782" ht="14.25" customHeight="1">
      <c r="A8782" s="7">
        <v>8769.0</v>
      </c>
      <c r="B8782" s="14">
        <f t="shared" si="1"/>
        <v>0.09832737693</v>
      </c>
      <c r="C8782" s="39">
        <f t="array" ref="C8782">NPV(B8782,FCFF!$C$9:$I$9)+FCFF!$B$9+FCFF!$I$9*(1+Inputs!$B$6)/(B8782-Inputs!$B$6)/(1+B8782)^7</f>
        <v>-1335.169941</v>
      </c>
    </row>
    <row r="8783" ht="14.25" customHeight="1">
      <c r="A8783" s="7">
        <v>8770.0</v>
      </c>
      <c r="B8783" s="14">
        <f t="shared" si="1"/>
        <v>0.1243051091</v>
      </c>
      <c r="C8783" s="39">
        <f t="array" ref="C8783">NPV(B8783,FCFF!$C$9:$I$9)+FCFF!$B$9+FCFF!$I$9*(1+Inputs!$B$6)/(B8783-Inputs!$B$6)/(1+B8783)^7</f>
        <v>-1890.805151</v>
      </c>
    </row>
    <row r="8784" ht="14.25" customHeight="1">
      <c r="A8784" s="7">
        <v>8771.0</v>
      </c>
      <c r="B8784" s="14">
        <f t="shared" si="1"/>
        <v>0.1023687568</v>
      </c>
      <c r="C8784" s="39">
        <f t="array" ref="C8784">NPV(B8784,FCFF!$C$9:$I$9)+FCFF!$B$9+FCFF!$I$9*(1+Inputs!$B$6)/(B8784-Inputs!$B$6)/(1+B8784)^7</f>
        <v>-1448.546481</v>
      </c>
    </row>
    <row r="8785" ht="14.25" customHeight="1">
      <c r="A8785" s="7">
        <v>8772.0</v>
      </c>
      <c r="B8785" s="14">
        <f t="shared" si="1"/>
        <v>0.1016099552</v>
      </c>
      <c r="C8785" s="39">
        <f t="array" ref="C8785">NPV(B8785,FCFF!$C$9:$I$9)+FCFF!$B$9+FCFF!$I$9*(1+Inputs!$B$6)/(B8785-Inputs!$B$6)/(1+B8785)^7</f>
        <v>-1428.243097</v>
      </c>
    </row>
    <row r="8786" ht="14.25" customHeight="1">
      <c r="A8786" s="7">
        <v>8773.0</v>
      </c>
      <c r="B8786" s="14">
        <f t="shared" si="1"/>
        <v>0.1182336574</v>
      </c>
      <c r="C8786" s="39">
        <f t="array" ref="C8786">NPV(B8786,FCFF!$C$9:$I$9)+FCFF!$B$9+FCFF!$I$9*(1+Inputs!$B$6)/(B8786-Inputs!$B$6)/(1+B8786)^7</f>
        <v>-1791.335482</v>
      </c>
    </row>
    <row r="8787" ht="14.25" customHeight="1">
      <c r="A8787" s="7">
        <v>8774.0</v>
      </c>
      <c r="B8787" s="14">
        <f t="shared" si="1"/>
        <v>0.1075683404</v>
      </c>
      <c r="C8787" s="39">
        <f t="array" ref="C8787">NPV(B8787,FCFF!$C$9:$I$9)+FCFF!$B$9+FCFF!$I$9*(1+Inputs!$B$6)/(B8787-Inputs!$B$6)/(1+B8787)^7</f>
        <v>-1576.818006</v>
      </c>
    </row>
    <row r="8788" ht="14.25" customHeight="1">
      <c r="A8788" s="7">
        <v>8775.0</v>
      </c>
      <c r="B8788" s="14">
        <f t="shared" si="1"/>
        <v>0.1153399847</v>
      </c>
      <c r="C8788" s="39">
        <f t="array" ref="C8788">NPV(B8788,FCFF!$C$9:$I$9)+FCFF!$B$9+FCFF!$I$9*(1+Inputs!$B$6)/(B8788-Inputs!$B$6)/(1+B8788)^7</f>
        <v>-1738.65166</v>
      </c>
    </row>
    <row r="8789" ht="14.25" customHeight="1">
      <c r="A8789" s="7">
        <v>8776.0</v>
      </c>
      <c r="B8789" s="14">
        <f t="shared" si="1"/>
        <v>0.1209750797</v>
      </c>
      <c r="C8789" s="39">
        <f t="array" ref="C8789">NPV(B8789,FCFF!$C$9:$I$9)+FCFF!$B$9+FCFF!$I$9*(1+Inputs!$B$6)/(B8789-Inputs!$B$6)/(1+B8789)^7</f>
        <v>-1837.994408</v>
      </c>
    </row>
    <row r="8790" ht="14.25" customHeight="1">
      <c r="A8790" s="7">
        <v>8777.0</v>
      </c>
      <c r="B8790" s="14">
        <f t="shared" si="1"/>
        <v>0.1027489174</v>
      </c>
      <c r="C8790" s="39">
        <f t="array" ref="C8790">NPV(B8790,FCFF!$C$9:$I$9)+FCFF!$B$9+FCFF!$I$9*(1+Inputs!$B$6)/(B8790-Inputs!$B$6)/(1+B8790)^7</f>
        <v>-1458.557286</v>
      </c>
    </row>
    <row r="8791" ht="14.25" customHeight="1">
      <c r="A8791" s="7">
        <v>8778.0</v>
      </c>
      <c r="B8791" s="14">
        <f t="shared" si="1"/>
        <v>0.1243589251</v>
      </c>
      <c r="C8791" s="39">
        <f t="array" ref="C8791">NPV(B8791,FCFF!$C$9:$I$9)+FCFF!$B$9+FCFF!$I$9*(1+Inputs!$B$6)/(B8791-Inputs!$B$6)/(1+B8791)^7</f>
        <v>-1891.625981</v>
      </c>
    </row>
    <row r="8792" ht="14.25" customHeight="1">
      <c r="A8792" s="7">
        <v>8779.0</v>
      </c>
      <c r="B8792" s="14">
        <f t="shared" si="1"/>
        <v>0.1009328892</v>
      </c>
      <c r="C8792" s="39">
        <f t="array" ref="C8792">NPV(B8792,FCFF!$C$9:$I$9)+FCFF!$B$9+FCFF!$I$9*(1+Inputs!$B$6)/(B8792-Inputs!$B$6)/(1+B8792)^7</f>
        <v>-1409.755998</v>
      </c>
    </row>
    <row r="8793" ht="14.25" customHeight="1">
      <c r="A8793" s="7">
        <v>8780.0</v>
      </c>
      <c r="B8793" s="14">
        <f t="shared" si="1"/>
        <v>0.1274422954</v>
      </c>
      <c r="C8793" s="39">
        <f t="array" ref="C8793">NPV(B8793,FCFF!$C$9:$I$9)+FCFF!$B$9+FCFF!$I$9*(1+Inputs!$B$6)/(B8793-Inputs!$B$6)/(1+B8793)^7</f>
        <v>-1937.033184</v>
      </c>
    </row>
    <row r="8794" ht="14.25" customHeight="1">
      <c r="A8794" s="7">
        <v>8781.0</v>
      </c>
      <c r="B8794" s="14">
        <f t="shared" si="1"/>
        <v>0.1106224469</v>
      </c>
      <c r="C8794" s="39">
        <f t="array" ref="C8794">NPV(B8794,FCFF!$C$9:$I$9)+FCFF!$B$9+FCFF!$I$9*(1+Inputs!$B$6)/(B8794-Inputs!$B$6)/(1+B8794)^7</f>
        <v>-1644.27013</v>
      </c>
    </row>
    <row r="8795" ht="14.25" customHeight="1">
      <c r="A8795" s="7">
        <v>8782.0</v>
      </c>
      <c r="B8795" s="14">
        <f t="shared" si="1"/>
        <v>0.0945775155</v>
      </c>
      <c r="C8795" s="39">
        <f t="array" ref="C8795">NPV(B8795,FCFF!$C$9:$I$9)+FCFF!$B$9+FCFF!$I$9*(1+Inputs!$B$6)/(B8795-Inputs!$B$6)/(1+B8795)^7</f>
        <v>-1217.251041</v>
      </c>
    </row>
    <row r="8796" ht="14.25" customHeight="1">
      <c r="A8796" s="7">
        <v>8783.0</v>
      </c>
      <c r="B8796" s="14">
        <f t="shared" si="1"/>
        <v>0.09780271004</v>
      </c>
      <c r="C8796" s="39">
        <f t="array" ref="C8796">NPV(B8796,FCFF!$C$9:$I$9)+FCFF!$B$9+FCFF!$I$9*(1+Inputs!$B$6)/(B8796-Inputs!$B$6)/(1+B8796)^7</f>
        <v>-1319.45458</v>
      </c>
    </row>
    <row r="8797" ht="14.25" customHeight="1">
      <c r="A8797" s="7">
        <v>8784.0</v>
      </c>
      <c r="B8797" s="14">
        <f t="shared" si="1"/>
        <v>0.09960473976</v>
      </c>
      <c r="C8797" s="39">
        <f t="array" ref="C8797">NPV(B8797,FCFF!$C$9:$I$9)+FCFF!$B$9+FCFF!$I$9*(1+Inputs!$B$6)/(B8797-Inputs!$B$6)/(1+B8797)^7</f>
        <v>-1372.437608</v>
      </c>
    </row>
    <row r="8798" ht="14.25" customHeight="1">
      <c r="A8798" s="7">
        <v>8785.0</v>
      </c>
      <c r="B8798" s="14">
        <f t="shared" si="1"/>
        <v>0.1162563414</v>
      </c>
      <c r="C8798" s="39">
        <f t="array" ref="C8798">NPV(B8798,FCFF!$C$9:$I$9)+FCFF!$B$9+FCFF!$I$9*(1+Inputs!$B$6)/(B8798-Inputs!$B$6)/(1+B8798)^7</f>
        <v>-1755.73698</v>
      </c>
    </row>
    <row r="8799" ht="14.25" customHeight="1">
      <c r="A8799" s="7">
        <v>8786.0</v>
      </c>
      <c r="B8799" s="14">
        <f t="shared" si="1"/>
        <v>0.1309061193</v>
      </c>
      <c r="C8799" s="39">
        <f t="array" ref="C8799">NPV(B8799,FCFF!$C$9:$I$9)+FCFF!$B$9+FCFF!$I$9*(1+Inputs!$B$6)/(B8799-Inputs!$B$6)/(1+B8799)^7</f>
        <v>-1984.482556</v>
      </c>
    </row>
    <row r="8800" ht="14.25" customHeight="1">
      <c r="A8800" s="7">
        <v>8787.0</v>
      </c>
      <c r="B8800" s="14">
        <f t="shared" si="1"/>
        <v>0.1218375607</v>
      </c>
      <c r="C8800" s="39">
        <f t="array" ref="C8800">NPV(B8800,FCFF!$C$9:$I$9)+FCFF!$B$9+FCFF!$I$9*(1+Inputs!$B$6)/(B8800-Inputs!$B$6)/(1+B8800)^7</f>
        <v>-1852.063981</v>
      </c>
    </row>
    <row r="8801" ht="14.25" customHeight="1">
      <c r="A8801" s="7">
        <v>8788.0</v>
      </c>
      <c r="B8801" s="14">
        <f t="shared" si="1"/>
        <v>0.1084598453</v>
      </c>
      <c r="C8801" s="39">
        <f t="array" ref="C8801">NPV(B8801,FCFF!$C$9:$I$9)+FCFF!$B$9+FCFF!$I$9*(1+Inputs!$B$6)/(B8801-Inputs!$B$6)/(1+B8801)^7</f>
        <v>-1597.066475</v>
      </c>
    </row>
    <row r="8802" ht="14.25" customHeight="1">
      <c r="A8802" s="7">
        <v>8789.0</v>
      </c>
      <c r="B8802" s="14">
        <f t="shared" si="1"/>
        <v>0.10516862</v>
      </c>
      <c r="C8802" s="39">
        <f t="array" ref="C8802">NPV(B8802,FCFF!$C$9:$I$9)+FCFF!$B$9+FCFF!$I$9*(1+Inputs!$B$6)/(B8802-Inputs!$B$6)/(1+B8802)^7</f>
        <v>-1519.866245</v>
      </c>
    </row>
    <row r="8803" ht="14.25" customHeight="1">
      <c r="A8803" s="7">
        <v>8790.0</v>
      </c>
      <c r="B8803" s="14">
        <f t="shared" si="1"/>
        <v>0.1054968062</v>
      </c>
      <c r="C8803" s="39">
        <f t="array" ref="C8803">NPV(B8803,FCFF!$C$9:$I$9)+FCFF!$B$9+FCFF!$I$9*(1+Inputs!$B$6)/(B8803-Inputs!$B$6)/(1+B8803)^7</f>
        <v>-1527.873525</v>
      </c>
    </row>
    <row r="8804" ht="14.25" customHeight="1">
      <c r="A8804" s="7">
        <v>8791.0</v>
      </c>
      <c r="B8804" s="14">
        <f t="shared" si="1"/>
        <v>0.1290590698</v>
      </c>
      <c r="C8804" s="39">
        <f t="array" ref="C8804">NPV(B8804,FCFF!$C$9:$I$9)+FCFF!$B$9+FCFF!$I$9*(1+Inputs!$B$6)/(B8804-Inputs!$B$6)/(1+B8804)^7</f>
        <v>-1959.627856</v>
      </c>
    </row>
    <row r="8805" ht="14.25" customHeight="1">
      <c r="A8805" s="7">
        <v>8792.0</v>
      </c>
      <c r="B8805" s="14">
        <f t="shared" si="1"/>
        <v>0.1251270401</v>
      </c>
      <c r="C8805" s="39">
        <f t="array" ref="C8805">NPV(B8805,FCFF!$C$9:$I$9)+FCFF!$B$9+FCFF!$I$9*(1+Inputs!$B$6)/(B8805-Inputs!$B$6)/(1+B8805)^7</f>
        <v>-1903.233303</v>
      </c>
    </row>
    <row r="8806" ht="14.25" customHeight="1">
      <c r="A8806" s="7">
        <v>8793.0</v>
      </c>
      <c r="B8806" s="14">
        <f t="shared" si="1"/>
        <v>0.09916690545</v>
      </c>
      <c r="C8806" s="39">
        <f t="array" ref="C8806">NPV(B8806,FCFF!$C$9:$I$9)+FCFF!$B$9+FCFF!$I$9*(1+Inputs!$B$6)/(B8806-Inputs!$B$6)/(1+B8806)^7</f>
        <v>-1359.819241</v>
      </c>
    </row>
    <row r="8807" ht="14.25" customHeight="1">
      <c r="A8807" s="7">
        <v>8794.0</v>
      </c>
      <c r="B8807" s="14">
        <f t="shared" si="1"/>
        <v>0.09535322716</v>
      </c>
      <c r="C8807" s="39">
        <f t="array" ref="C8807">NPV(B8807,FCFF!$C$9:$I$9)+FCFF!$B$9+FCFF!$I$9*(1+Inputs!$B$6)/(B8807-Inputs!$B$6)/(1+B8807)^7</f>
        <v>-1242.749878</v>
      </c>
    </row>
    <row r="8808" ht="14.25" customHeight="1">
      <c r="A8808" s="7">
        <v>8795.0</v>
      </c>
      <c r="B8808" s="14">
        <f t="shared" si="1"/>
        <v>0.09488217095</v>
      </c>
      <c r="C8808" s="39">
        <f t="array" ref="C8808">NPV(B8808,FCFF!$C$9:$I$9)+FCFF!$B$9+FCFF!$I$9*(1+Inputs!$B$6)/(B8808-Inputs!$B$6)/(1+B8808)^7</f>
        <v>-1227.337732</v>
      </c>
    </row>
    <row r="8809" ht="14.25" customHeight="1">
      <c r="A8809" s="7">
        <v>8796.0</v>
      </c>
      <c r="B8809" s="14">
        <f t="shared" si="1"/>
        <v>0.1256695205</v>
      </c>
      <c r="C8809" s="39">
        <f t="array" ref="C8809">NPV(B8809,FCFF!$C$9:$I$9)+FCFF!$B$9+FCFF!$I$9*(1+Inputs!$B$6)/(B8809-Inputs!$B$6)/(1+B8809)^7</f>
        <v>-1911.310623</v>
      </c>
    </row>
    <row r="8810" ht="14.25" customHeight="1">
      <c r="A8810" s="7">
        <v>8797.0</v>
      </c>
      <c r="B8810" s="14">
        <f t="shared" si="1"/>
        <v>0.123875521</v>
      </c>
      <c r="C8810" s="39">
        <f t="array" ref="C8810">NPV(B8810,FCFF!$C$9:$I$9)+FCFF!$B$9+FCFF!$I$9*(1+Inputs!$B$6)/(B8810-Inputs!$B$6)/(1+B8810)^7</f>
        <v>-1884.216752</v>
      </c>
    </row>
    <row r="8811" ht="14.25" customHeight="1">
      <c r="A8811" s="7">
        <v>8798.0</v>
      </c>
      <c r="B8811" s="14">
        <f t="shared" si="1"/>
        <v>0.1195262991</v>
      </c>
      <c r="C8811" s="39">
        <f t="array" ref="C8811">NPV(B8811,FCFF!$C$9:$I$9)+FCFF!$B$9+FCFF!$I$9*(1+Inputs!$B$6)/(B8811-Inputs!$B$6)/(1+B8811)^7</f>
        <v>-1813.712779</v>
      </c>
    </row>
    <row r="8812" ht="14.25" customHeight="1">
      <c r="A8812" s="7">
        <v>8799.0</v>
      </c>
      <c r="B8812" s="14">
        <f t="shared" si="1"/>
        <v>0.09809949491</v>
      </c>
      <c r="C8812" s="39">
        <f t="array" ref="C8812">NPV(B8812,FCFF!$C$9:$I$9)+FCFF!$B$9+FCFF!$I$9*(1+Inputs!$B$6)/(B8812-Inputs!$B$6)/(1+B8812)^7</f>
        <v>-1328.373974</v>
      </c>
    </row>
    <row r="8813" ht="14.25" customHeight="1">
      <c r="A8813" s="7">
        <v>8800.0</v>
      </c>
      <c r="B8813" s="14">
        <f t="shared" si="1"/>
        <v>0.1070203432</v>
      </c>
      <c r="C8813" s="39">
        <f t="array" ref="C8813">NPV(B8813,FCFF!$C$9:$I$9)+FCFF!$B$9+FCFF!$I$9*(1+Inputs!$B$6)/(B8813-Inputs!$B$6)/(1+B8813)^7</f>
        <v>-1564.132639</v>
      </c>
    </row>
    <row r="8814" ht="14.25" customHeight="1">
      <c r="A8814" s="7">
        <v>8801.0</v>
      </c>
      <c r="B8814" s="14">
        <f t="shared" si="1"/>
        <v>0.1092666123</v>
      </c>
      <c r="C8814" s="39">
        <f t="array" ref="C8814">NPV(B8814,FCFF!$C$9:$I$9)+FCFF!$B$9+FCFF!$I$9*(1+Inputs!$B$6)/(B8814-Inputs!$B$6)/(1+B8814)^7</f>
        <v>-1614.986626</v>
      </c>
    </row>
    <row r="8815" ht="14.25" customHeight="1">
      <c r="A8815" s="7">
        <v>8802.0</v>
      </c>
      <c r="B8815" s="14">
        <f t="shared" si="1"/>
        <v>0.132065684</v>
      </c>
      <c r="C8815" s="39">
        <f t="array" ref="C8815">NPV(B8815,FCFF!$C$9:$I$9)+FCFF!$B$9+FCFF!$I$9*(1+Inputs!$B$6)/(B8815-Inputs!$B$6)/(1+B8815)^7</f>
        <v>-1999.58713</v>
      </c>
    </row>
    <row r="8816" ht="14.25" customHeight="1">
      <c r="A8816" s="7">
        <v>8803.0</v>
      </c>
      <c r="B8816" s="14">
        <f t="shared" si="1"/>
        <v>0.1140886839</v>
      </c>
      <c r="C8816" s="39">
        <f t="array" ref="C8816">NPV(B8816,FCFF!$C$9:$I$9)+FCFF!$B$9+FCFF!$I$9*(1+Inputs!$B$6)/(B8816-Inputs!$B$6)/(1+B8816)^7</f>
        <v>-1714.6917</v>
      </c>
    </row>
    <row r="8817" ht="14.25" customHeight="1">
      <c r="A8817" s="7">
        <v>8804.0</v>
      </c>
      <c r="B8817" s="14">
        <f t="shared" si="1"/>
        <v>0.1019583883</v>
      </c>
      <c r="C8817" s="39">
        <f t="array" ref="C8817">NPV(B8817,FCFF!$C$9:$I$9)+FCFF!$B$9+FCFF!$I$9*(1+Inputs!$B$6)/(B8817-Inputs!$B$6)/(1+B8817)^7</f>
        <v>-1437.619974</v>
      </c>
    </row>
    <row r="8818" ht="14.25" customHeight="1">
      <c r="A8818" s="7">
        <v>8805.0</v>
      </c>
      <c r="B8818" s="14">
        <f t="shared" si="1"/>
        <v>0.09810375978</v>
      </c>
      <c r="C8818" s="39">
        <f t="array" ref="C8818">NPV(B8818,FCFF!$C$9:$I$9)+FCFF!$B$9+FCFF!$I$9*(1+Inputs!$B$6)/(B8818-Inputs!$B$6)/(1+B8818)^7</f>
        <v>-1328.50158</v>
      </c>
    </row>
    <row r="8819" ht="14.25" customHeight="1">
      <c r="A8819" s="7">
        <v>8806.0</v>
      </c>
      <c r="B8819" s="14">
        <f t="shared" si="1"/>
        <v>0.1217390472</v>
      </c>
      <c r="C8819" s="39">
        <f t="array" ref="C8819">NPV(B8819,FCFF!$C$9:$I$9)+FCFF!$B$9+FCFF!$I$9*(1+Inputs!$B$6)/(B8819-Inputs!$B$6)/(1+B8819)^7</f>
        <v>-1850.471161</v>
      </c>
    </row>
    <row r="8820" ht="14.25" customHeight="1">
      <c r="A8820" s="7">
        <v>8807.0</v>
      </c>
      <c r="B8820" s="14">
        <f t="shared" si="1"/>
        <v>0.1041237067</v>
      </c>
      <c r="C8820" s="39">
        <f t="array" ref="C8820">NPV(B8820,FCFF!$C$9:$I$9)+FCFF!$B$9+FCFF!$I$9*(1+Inputs!$B$6)/(B8820-Inputs!$B$6)/(1+B8820)^7</f>
        <v>-1493.890269</v>
      </c>
    </row>
    <row r="8821" ht="14.25" customHeight="1">
      <c r="A8821" s="7">
        <v>8808.0</v>
      </c>
      <c r="B8821" s="14">
        <f t="shared" si="1"/>
        <v>0.1112750655</v>
      </c>
      <c r="C8821" s="39">
        <f t="array" ref="C8821">NPV(B8821,FCFF!$C$9:$I$9)+FCFF!$B$9+FCFF!$I$9*(1+Inputs!$B$6)/(B8821-Inputs!$B$6)/(1+B8821)^7</f>
        <v>-1658.00555</v>
      </c>
    </row>
    <row r="8822" ht="14.25" customHeight="1">
      <c r="A8822" s="7">
        <v>8809.0</v>
      </c>
      <c r="B8822" s="14">
        <f t="shared" si="1"/>
        <v>0.1277143322</v>
      </c>
      <c r="C8822" s="39">
        <f t="array" ref="C8822">NPV(B8822,FCFF!$C$9:$I$9)+FCFF!$B$9+FCFF!$I$9*(1+Inputs!$B$6)/(B8822-Inputs!$B$6)/(1+B8822)^7</f>
        <v>-1940.891465</v>
      </c>
    </row>
    <row r="8823" ht="14.25" customHeight="1">
      <c r="A8823" s="7">
        <v>8810.0</v>
      </c>
      <c r="B8823" s="14">
        <f t="shared" si="1"/>
        <v>0.1128513532</v>
      </c>
      <c r="C8823" s="39">
        <f t="array" ref="C8823">NPV(B8823,FCFF!$C$9:$I$9)+FCFF!$B$9+FCFF!$I$9*(1+Inputs!$B$6)/(B8823-Inputs!$B$6)/(1+B8823)^7</f>
        <v>-1690.256252</v>
      </c>
    </row>
    <row r="8824" ht="14.25" customHeight="1">
      <c r="A8824" s="7">
        <v>8811.0</v>
      </c>
      <c r="B8824" s="14">
        <f t="shared" si="1"/>
        <v>0.0963041104</v>
      </c>
      <c r="C8824" s="39">
        <f t="array" ref="C8824">NPV(B8824,FCFF!$C$9:$I$9)+FCFF!$B$9+FCFF!$I$9*(1+Inputs!$B$6)/(B8824-Inputs!$B$6)/(1+B8824)^7</f>
        <v>-1273.197532</v>
      </c>
    </row>
    <row r="8825" ht="14.25" customHeight="1">
      <c r="A8825" s="7">
        <v>8812.0</v>
      </c>
      <c r="B8825" s="14">
        <f t="shared" si="1"/>
        <v>0.09771794489</v>
      </c>
      <c r="C8825" s="39">
        <f t="array" ref="C8825">NPV(B8825,FCFF!$C$9:$I$9)+FCFF!$B$9+FCFF!$I$9*(1+Inputs!$B$6)/(B8825-Inputs!$B$6)/(1+B8825)^7</f>
        <v>-1316.892733</v>
      </c>
    </row>
    <row r="8826" ht="14.25" customHeight="1">
      <c r="A8826" s="7">
        <v>8813.0</v>
      </c>
      <c r="B8826" s="14">
        <f t="shared" si="1"/>
        <v>0.1072646478</v>
      </c>
      <c r="C8826" s="39">
        <f t="array" ref="C8826">NPV(B8826,FCFF!$C$9:$I$9)+FCFF!$B$9+FCFF!$I$9*(1+Inputs!$B$6)/(B8826-Inputs!$B$6)/(1+B8826)^7</f>
        <v>-1569.810746</v>
      </c>
    </row>
    <row r="8827" ht="14.25" customHeight="1">
      <c r="A8827" s="7">
        <v>8814.0</v>
      </c>
      <c r="B8827" s="14">
        <f t="shared" si="1"/>
        <v>0.1010667977</v>
      </c>
      <c r="C8827" s="39">
        <f t="array" ref="C8827">NPV(B8827,FCFF!$C$9:$I$9)+FCFF!$B$9+FCFF!$I$9*(1+Inputs!$B$6)/(B8827-Inputs!$B$6)/(1+B8827)^7</f>
        <v>-1413.440548</v>
      </c>
    </row>
    <row r="8828" ht="14.25" customHeight="1">
      <c r="A8828" s="7">
        <v>8815.0</v>
      </c>
      <c r="B8828" s="14">
        <f t="shared" si="1"/>
        <v>0.1284989188</v>
      </c>
      <c r="C8828" s="39">
        <f t="array" ref="C8828">NPV(B8828,FCFF!$C$9:$I$9)+FCFF!$B$9+FCFF!$I$9*(1+Inputs!$B$6)/(B8828-Inputs!$B$6)/(1+B8828)^7</f>
        <v>-1951.890404</v>
      </c>
    </row>
    <row r="8829" ht="14.25" customHeight="1">
      <c r="A8829" s="7">
        <v>8816.0</v>
      </c>
      <c r="B8829" s="14">
        <f t="shared" si="1"/>
        <v>0.1289928057</v>
      </c>
      <c r="C8829" s="39">
        <f t="array" ref="C8829">NPV(B8829,FCFF!$C$9:$I$9)+FCFF!$B$9+FCFF!$I$9*(1+Inputs!$B$6)/(B8829-Inputs!$B$6)/(1+B8829)^7</f>
        <v>-1958.717482</v>
      </c>
    </row>
    <row r="8830" ht="14.25" customHeight="1">
      <c r="A8830" s="7">
        <v>8817.0</v>
      </c>
      <c r="B8830" s="14">
        <f t="shared" si="1"/>
        <v>0.09571985028</v>
      </c>
      <c r="C8830" s="39">
        <f t="array" ref="C8830">NPV(B8830,FCFF!$C$9:$I$9)+FCFF!$B$9+FCFF!$I$9*(1+Inputs!$B$6)/(B8830-Inputs!$B$6)/(1+B8830)^7</f>
        <v>-1254.593168</v>
      </c>
    </row>
    <row r="8831" ht="14.25" customHeight="1">
      <c r="A8831" s="7">
        <v>8818.0</v>
      </c>
      <c r="B8831" s="14">
        <f t="shared" si="1"/>
        <v>0.09395626643</v>
      </c>
      <c r="C8831" s="39">
        <f t="array" ref="C8831">NPV(B8831,FCFF!$C$9:$I$9)+FCFF!$B$9+FCFF!$I$9*(1+Inputs!$B$6)/(B8831-Inputs!$B$6)/(1+B8831)^7</f>
        <v>-1196.387106</v>
      </c>
    </row>
    <row r="8832" ht="14.25" customHeight="1">
      <c r="A8832" s="7">
        <v>8819.0</v>
      </c>
      <c r="B8832" s="14">
        <f t="shared" si="1"/>
        <v>0.1248347354</v>
      </c>
      <c r="C8832" s="39">
        <f t="array" ref="C8832">NPV(B8832,FCFF!$C$9:$I$9)+FCFF!$B$9+FCFF!$I$9*(1+Inputs!$B$6)/(B8832-Inputs!$B$6)/(1+B8832)^7</f>
        <v>-1898.8399</v>
      </c>
    </row>
    <row r="8833" ht="14.25" customHeight="1">
      <c r="A8833" s="7">
        <v>8820.0</v>
      </c>
      <c r="B8833" s="14">
        <f t="shared" si="1"/>
        <v>0.09605090995</v>
      </c>
      <c r="C8833" s="39">
        <f t="array" ref="C8833">NPV(B8833,FCFF!$C$9:$I$9)+FCFF!$B$9+FCFF!$I$9*(1+Inputs!$B$6)/(B8833-Inputs!$B$6)/(1+B8833)^7</f>
        <v>-1265.175217</v>
      </c>
    </row>
    <row r="8834" ht="14.25" customHeight="1">
      <c r="A8834" s="7">
        <v>8821.0</v>
      </c>
      <c r="B8834" s="14">
        <f t="shared" si="1"/>
        <v>0.1149281684</v>
      </c>
      <c r="C8834" s="39">
        <f t="array" ref="C8834">NPV(B8834,FCFF!$C$9:$I$9)+FCFF!$B$9+FCFF!$I$9*(1+Inputs!$B$6)/(B8834-Inputs!$B$6)/(1+B8834)^7</f>
        <v>-1730.847644</v>
      </c>
    </row>
    <row r="8835" ht="14.25" customHeight="1">
      <c r="A8835" s="7">
        <v>8822.0</v>
      </c>
      <c r="B8835" s="14">
        <f t="shared" si="1"/>
        <v>0.09806354794</v>
      </c>
      <c r="C8835" s="39">
        <f t="array" ref="C8835">NPV(B8835,FCFF!$C$9:$I$9)+FCFF!$B$9+FCFF!$I$9*(1+Inputs!$B$6)/(B8835-Inputs!$B$6)/(1+B8835)^7</f>
        <v>-1327.29779</v>
      </c>
    </row>
    <row r="8836" ht="14.25" customHeight="1">
      <c r="A8836" s="7">
        <v>8823.0</v>
      </c>
      <c r="B8836" s="14">
        <f t="shared" si="1"/>
        <v>0.1246403949</v>
      </c>
      <c r="C8836" s="39">
        <f t="array" ref="C8836">NPV(B8836,FCFF!$C$9:$I$9)+FCFF!$B$9+FCFF!$I$9*(1+Inputs!$B$6)/(B8836-Inputs!$B$6)/(1+B8836)^7</f>
        <v>-1895.902823</v>
      </c>
    </row>
    <row r="8837" ht="14.25" customHeight="1">
      <c r="A8837" s="7">
        <v>8824.0</v>
      </c>
      <c r="B8837" s="14">
        <f t="shared" si="1"/>
        <v>0.1280836184</v>
      </c>
      <c r="C8837" s="39">
        <f t="array" ref="C8837">NPV(B8837,FCFF!$C$9:$I$9)+FCFF!$B$9+FCFF!$I$9*(1+Inputs!$B$6)/(B8837-Inputs!$B$6)/(1+B8837)^7</f>
        <v>-1946.09208</v>
      </c>
    </row>
    <row r="8838" ht="14.25" customHeight="1">
      <c r="A8838" s="7">
        <v>8825.0</v>
      </c>
      <c r="B8838" s="14">
        <f t="shared" si="1"/>
        <v>0.1277770896</v>
      </c>
      <c r="C8838" s="39">
        <f t="array" ref="C8838">NPV(B8838,FCFF!$C$9:$I$9)+FCFF!$B$9+FCFF!$I$9*(1+Inputs!$B$6)/(B8838-Inputs!$B$6)/(1+B8838)^7</f>
        <v>-1941.778261</v>
      </c>
    </row>
    <row r="8839" ht="14.25" customHeight="1">
      <c r="A8839" s="7">
        <v>8826.0</v>
      </c>
      <c r="B8839" s="14">
        <f t="shared" si="1"/>
        <v>0.1026038094</v>
      </c>
      <c r="C8839" s="39">
        <f t="array" ref="C8839">NPV(B8839,FCFF!$C$9:$I$9)+FCFF!$B$9+FCFF!$I$9*(1+Inputs!$B$6)/(B8839-Inputs!$B$6)/(1+B8839)^7</f>
        <v>-1454.748679</v>
      </c>
    </row>
    <row r="8840" ht="14.25" customHeight="1">
      <c r="A8840" s="7">
        <v>8827.0</v>
      </c>
      <c r="B8840" s="14">
        <f t="shared" si="1"/>
        <v>0.09639332742</v>
      </c>
      <c r="C8840" s="39">
        <f t="array" ref="C8840">NPV(B8840,FCFF!$C$9:$I$9)+FCFF!$B$9+FCFF!$I$9*(1+Inputs!$B$6)/(B8840-Inputs!$B$6)/(1+B8840)^7</f>
        <v>-1276.009725</v>
      </c>
    </row>
    <row r="8841" ht="14.25" customHeight="1">
      <c r="A8841" s="7">
        <v>8828.0</v>
      </c>
      <c r="B8841" s="14">
        <f t="shared" si="1"/>
        <v>0.1170917885</v>
      </c>
      <c r="C8841" s="39">
        <f t="array" ref="C8841">NPV(B8841,FCFF!$C$9:$I$9)+FCFF!$B$9+FCFF!$I$9*(1+Inputs!$B$6)/(B8841-Inputs!$B$6)/(1+B8841)^7</f>
        <v>-1770.985267</v>
      </c>
    </row>
    <row r="8842" ht="14.25" customHeight="1">
      <c r="A8842" s="7">
        <v>8829.0</v>
      </c>
      <c r="B8842" s="14">
        <f t="shared" si="1"/>
        <v>0.1131267626</v>
      </c>
      <c r="C8842" s="39">
        <f t="array" ref="C8842">NPV(B8842,FCFF!$C$9:$I$9)+FCFF!$B$9+FCFF!$I$9*(1+Inputs!$B$6)/(B8842-Inputs!$B$6)/(1+B8842)^7</f>
        <v>-1695.760732</v>
      </c>
    </row>
    <row r="8843" ht="14.25" customHeight="1">
      <c r="A8843" s="7">
        <v>8830.0</v>
      </c>
      <c r="B8843" s="14">
        <f t="shared" si="1"/>
        <v>0.09447818578</v>
      </c>
      <c r="C8843" s="39">
        <f t="array" ref="C8843">NPV(B8843,FCFF!$C$9:$I$9)+FCFF!$B$9+FCFF!$I$9*(1+Inputs!$B$6)/(B8843-Inputs!$B$6)/(1+B8843)^7</f>
        <v>-1213.941937</v>
      </c>
    </row>
    <row r="8844" ht="14.25" customHeight="1">
      <c r="A8844" s="7">
        <v>8831.0</v>
      </c>
      <c r="B8844" s="14">
        <f t="shared" si="1"/>
        <v>0.1290956257</v>
      </c>
      <c r="C8844" s="39">
        <f t="array" ref="C8844">NPV(B8844,FCFF!$C$9:$I$9)+FCFF!$B$9+FCFF!$I$9*(1+Inputs!$B$6)/(B8844-Inputs!$B$6)/(1+B8844)^7</f>
        <v>-1960.129519</v>
      </c>
    </row>
    <row r="8845" ht="14.25" customHeight="1">
      <c r="A8845" s="7">
        <v>8832.0</v>
      </c>
      <c r="B8845" s="14">
        <f t="shared" si="1"/>
        <v>0.132592681</v>
      </c>
      <c r="C8845" s="39">
        <f t="array" ref="C8845">NPV(B8845,FCFF!$C$9:$I$9)+FCFF!$B$9+FCFF!$I$9*(1+Inputs!$B$6)/(B8845-Inputs!$B$6)/(1+B8845)^7</f>
        <v>-2006.328886</v>
      </c>
    </row>
    <row r="8846" ht="14.25" customHeight="1">
      <c r="A8846" s="7">
        <v>8833.0</v>
      </c>
      <c r="B8846" s="14">
        <f t="shared" si="1"/>
        <v>0.1172337613</v>
      </c>
      <c r="C8846" s="39">
        <f t="array" ref="C8846">NPV(B8846,FCFF!$C$9:$I$9)+FCFF!$B$9+FCFF!$I$9*(1+Inputs!$B$6)/(B8846-Inputs!$B$6)/(1+B8846)^7</f>
        <v>-1773.54601</v>
      </c>
    </row>
    <row r="8847" ht="14.25" customHeight="1">
      <c r="A8847" s="7">
        <v>8834.0</v>
      </c>
      <c r="B8847" s="14">
        <f t="shared" si="1"/>
        <v>0.1001086256</v>
      </c>
      <c r="C8847" s="39">
        <f t="array" ref="C8847">NPV(B8847,FCFF!$C$9:$I$9)+FCFF!$B$9+FCFF!$I$9*(1+Inputs!$B$6)/(B8847-Inputs!$B$6)/(1+B8847)^7</f>
        <v>-1386.763446</v>
      </c>
    </row>
    <row r="8848" ht="14.25" customHeight="1">
      <c r="A8848" s="7">
        <v>8835.0</v>
      </c>
      <c r="B8848" s="14">
        <f t="shared" si="1"/>
        <v>0.09964059042</v>
      </c>
      <c r="C8848" s="39">
        <f t="array" ref="C8848">NPV(B8848,FCFF!$C$9:$I$9)+FCFF!$B$9+FCFF!$I$9*(1+Inputs!$B$6)/(B8848-Inputs!$B$6)/(1+B8848)^7</f>
        <v>-1373.463759</v>
      </c>
    </row>
    <row r="8849" ht="14.25" customHeight="1">
      <c r="A8849" s="7">
        <v>8836.0</v>
      </c>
      <c r="B8849" s="14">
        <f t="shared" si="1"/>
        <v>0.1109724571</v>
      </c>
      <c r="C8849" s="39">
        <f t="array" ref="C8849">NPV(B8849,FCFF!$C$9:$I$9)+FCFF!$B$9+FCFF!$I$9*(1+Inputs!$B$6)/(B8849-Inputs!$B$6)/(1+B8849)^7</f>
        <v>-1651.665161</v>
      </c>
    </row>
    <row r="8850" ht="14.25" customHeight="1">
      <c r="A8850" s="7">
        <v>8837.0</v>
      </c>
      <c r="B8850" s="14">
        <f t="shared" si="1"/>
        <v>0.1156361602</v>
      </c>
      <c r="C8850" s="39">
        <f t="array" ref="C8850">NPV(B8850,FCFF!$C$9:$I$9)+FCFF!$B$9+FCFF!$I$9*(1+Inputs!$B$6)/(B8850-Inputs!$B$6)/(1+B8850)^7</f>
        <v>-1744.215703</v>
      </c>
    </row>
    <row r="8851" ht="14.25" customHeight="1">
      <c r="A8851" s="7">
        <v>8838.0</v>
      </c>
      <c r="B8851" s="14">
        <f t="shared" si="1"/>
        <v>0.1066674603</v>
      </c>
      <c r="C8851" s="39">
        <f t="array" ref="C8851">NPV(B8851,FCFF!$C$9:$I$9)+FCFF!$B$9+FCFF!$I$9*(1+Inputs!$B$6)/(B8851-Inputs!$B$6)/(1+B8851)^7</f>
        <v>-1555.865486</v>
      </c>
    </row>
    <row r="8852" ht="14.25" customHeight="1">
      <c r="A8852" s="7">
        <v>8839.0</v>
      </c>
      <c r="B8852" s="14">
        <f t="shared" si="1"/>
        <v>0.1271133687</v>
      </c>
      <c r="C8852" s="39">
        <f t="array" ref="C8852">NPV(B8852,FCFF!$C$9:$I$9)+FCFF!$B$9+FCFF!$I$9*(1+Inputs!$B$6)/(B8852-Inputs!$B$6)/(1+B8852)^7</f>
        <v>-1932.336899</v>
      </c>
    </row>
    <row r="8853" ht="14.25" customHeight="1">
      <c r="A8853" s="7">
        <v>8840.0</v>
      </c>
      <c r="B8853" s="14">
        <f t="shared" si="1"/>
        <v>0.1241876069</v>
      </c>
      <c r="C8853" s="39">
        <f t="array" ref="C8853">NPV(B8853,FCFF!$C$9:$I$9)+FCFF!$B$9+FCFF!$I$9*(1+Inputs!$B$6)/(B8853-Inputs!$B$6)/(1+B8853)^7</f>
        <v>-1889.00946</v>
      </c>
    </row>
    <row r="8854" ht="14.25" customHeight="1">
      <c r="A8854" s="7">
        <v>8841.0</v>
      </c>
      <c r="B8854" s="14">
        <f t="shared" si="1"/>
        <v>0.119978685</v>
      </c>
      <c r="C8854" s="39">
        <f t="array" ref="C8854">NPV(B8854,FCFF!$C$9:$I$9)+FCFF!$B$9+FCFF!$I$9*(1+Inputs!$B$6)/(B8854-Inputs!$B$6)/(1+B8854)^7</f>
        <v>-1821.38373</v>
      </c>
    </row>
    <row r="8855" ht="14.25" customHeight="1">
      <c r="A8855" s="7">
        <v>8842.0</v>
      </c>
      <c r="B8855" s="14">
        <f t="shared" si="1"/>
        <v>0.1085964714</v>
      </c>
      <c r="C8855" s="39">
        <f t="array" ref="C8855">NPV(B8855,FCFF!$C$9:$I$9)+FCFF!$B$9+FCFF!$I$9*(1+Inputs!$B$6)/(B8855-Inputs!$B$6)/(1+B8855)^7</f>
        <v>-1600.127895</v>
      </c>
    </row>
    <row r="8856" ht="14.25" customHeight="1">
      <c r="A8856" s="7">
        <v>8843.0</v>
      </c>
      <c r="B8856" s="14">
        <f t="shared" si="1"/>
        <v>0.1236021018</v>
      </c>
      <c r="C8856" s="39">
        <f t="array" ref="C8856">NPV(B8856,FCFF!$C$9:$I$9)+FCFF!$B$9+FCFF!$I$9*(1+Inputs!$B$6)/(B8856-Inputs!$B$6)/(1+B8856)^7</f>
        <v>-1879.989766</v>
      </c>
    </row>
    <row r="8857" ht="14.25" customHeight="1">
      <c r="A8857" s="7">
        <v>8844.0</v>
      </c>
      <c r="B8857" s="14">
        <f t="shared" si="1"/>
        <v>0.1289640171</v>
      </c>
      <c r="C8857" s="39">
        <f t="array" ref="C8857">NPV(B8857,FCFF!$C$9:$I$9)+FCFF!$B$9+FCFF!$I$9*(1+Inputs!$B$6)/(B8857-Inputs!$B$6)/(1+B8857)^7</f>
        <v>-1958.321556</v>
      </c>
    </row>
    <row r="8858" ht="14.25" customHeight="1">
      <c r="A8858" s="7">
        <v>8845.0</v>
      </c>
      <c r="B8858" s="14">
        <f t="shared" si="1"/>
        <v>0.1310145033</v>
      </c>
      <c r="C8858" s="39">
        <f t="array" ref="C8858">NPV(B8858,FCFF!$C$9:$I$9)+FCFF!$B$9+FCFF!$I$9*(1+Inputs!$B$6)/(B8858-Inputs!$B$6)/(1+B8858)^7</f>
        <v>-1985.910374</v>
      </c>
    </row>
    <row r="8859" ht="14.25" customHeight="1">
      <c r="A8859" s="7">
        <v>8846.0</v>
      </c>
      <c r="B8859" s="14">
        <f t="shared" si="1"/>
        <v>0.09488053668</v>
      </c>
      <c r="C8859" s="39">
        <f t="array" ref="C8859">NPV(B8859,FCFF!$C$9:$I$9)+FCFF!$B$9+FCFF!$I$9*(1+Inputs!$B$6)/(B8859-Inputs!$B$6)/(1+B8859)^7</f>
        <v>-1227.283875</v>
      </c>
    </row>
    <row r="8860" ht="14.25" customHeight="1">
      <c r="A8860" s="7">
        <v>8847.0</v>
      </c>
      <c r="B8860" s="14">
        <f t="shared" si="1"/>
        <v>0.09597879893</v>
      </c>
      <c r="C8860" s="39">
        <f t="array" ref="C8860">NPV(B8860,FCFF!$C$9:$I$9)+FCFF!$B$9+FCFF!$I$9*(1+Inputs!$B$6)/(B8860-Inputs!$B$6)/(1+B8860)^7</f>
        <v>-1262.879254</v>
      </c>
    </row>
    <row r="8861" ht="14.25" customHeight="1">
      <c r="A8861" s="7">
        <v>8848.0</v>
      </c>
      <c r="B8861" s="14">
        <f t="shared" si="1"/>
        <v>0.1303376517</v>
      </c>
      <c r="C8861" s="39">
        <f t="array" ref="C8861">NPV(B8861,FCFF!$C$9:$I$9)+FCFF!$B$9+FCFF!$I$9*(1+Inputs!$B$6)/(B8861-Inputs!$B$6)/(1+B8861)^7</f>
        <v>-1976.938794</v>
      </c>
    </row>
    <row r="8862" ht="14.25" customHeight="1">
      <c r="A8862" s="7">
        <v>8849.0</v>
      </c>
      <c r="B8862" s="14">
        <f t="shared" si="1"/>
        <v>0.1120280435</v>
      </c>
      <c r="C8862" s="39">
        <f t="array" ref="C8862">NPV(B8862,FCFF!$C$9:$I$9)+FCFF!$B$9+FCFF!$I$9*(1+Inputs!$B$6)/(B8862-Inputs!$B$6)/(1+B8862)^7</f>
        <v>-1673.57192</v>
      </c>
    </row>
    <row r="8863" ht="14.25" customHeight="1">
      <c r="A8863" s="7">
        <v>8850.0</v>
      </c>
      <c r="B8863" s="14">
        <f t="shared" si="1"/>
        <v>0.09836127674</v>
      </c>
      <c r="C8863" s="39">
        <f t="array" ref="C8863">NPV(B8863,FCFF!$C$9:$I$9)+FCFF!$B$9+FCFF!$I$9*(1+Inputs!$B$6)/(B8863-Inputs!$B$6)/(1+B8863)^7</f>
        <v>-1336.177032</v>
      </c>
    </row>
    <row r="8864" ht="14.25" customHeight="1">
      <c r="A8864" s="7">
        <v>8851.0</v>
      </c>
      <c r="B8864" s="14">
        <f t="shared" si="1"/>
        <v>0.1042419924</v>
      </c>
      <c r="C8864" s="39">
        <f t="array" ref="C8864">NPV(B8864,FCFF!$C$9:$I$9)+FCFF!$B$9+FCFF!$I$9*(1+Inputs!$B$6)/(B8864-Inputs!$B$6)/(1+B8864)^7</f>
        <v>-1496.868166</v>
      </c>
    </row>
    <row r="8865" ht="14.25" customHeight="1">
      <c r="A8865" s="7">
        <v>8852.0</v>
      </c>
      <c r="B8865" s="14">
        <f t="shared" si="1"/>
        <v>0.122326166</v>
      </c>
      <c r="C8865" s="39">
        <f t="array" ref="C8865">NPV(B8865,FCFF!$C$9:$I$9)+FCFF!$B$9+FCFF!$I$9*(1+Inputs!$B$6)/(B8865-Inputs!$B$6)/(1+B8865)^7</f>
        <v>-1859.910586</v>
      </c>
    </row>
    <row r="8866" ht="14.25" customHeight="1">
      <c r="A8866" s="7">
        <v>8853.0</v>
      </c>
      <c r="B8866" s="14">
        <f t="shared" si="1"/>
        <v>0.09618103803</v>
      </c>
      <c r="C8866" s="39">
        <f t="array" ref="C8866">NPV(B8866,FCFF!$C$9:$I$9)+FCFF!$B$9+FCFF!$I$9*(1+Inputs!$B$6)/(B8866-Inputs!$B$6)/(1+B8866)^7</f>
        <v>-1269.305789</v>
      </c>
    </row>
    <row r="8867" ht="14.25" customHeight="1">
      <c r="A8867" s="7">
        <v>8854.0</v>
      </c>
      <c r="B8867" s="14">
        <f t="shared" si="1"/>
        <v>0.1104463802</v>
      </c>
      <c r="C8867" s="39">
        <f t="array" ref="C8867">NPV(B8867,FCFF!$C$9:$I$9)+FCFF!$B$9+FCFF!$I$9*(1+Inputs!$B$6)/(B8867-Inputs!$B$6)/(1+B8867)^7</f>
        <v>-1640.525015</v>
      </c>
    </row>
    <row r="8868" ht="14.25" customHeight="1">
      <c r="A8868" s="7">
        <v>8855.0</v>
      </c>
      <c r="B8868" s="14">
        <f t="shared" si="1"/>
        <v>0.09939602099</v>
      </c>
      <c r="C8868" s="39">
        <f t="array" ref="C8868">NPV(B8868,FCFF!$C$9:$I$9)+FCFF!$B$9+FCFF!$I$9*(1+Inputs!$B$6)/(B8868-Inputs!$B$6)/(1+B8868)^7</f>
        <v>-1366.442299</v>
      </c>
    </row>
    <row r="8869" ht="14.25" customHeight="1">
      <c r="A8869" s="7">
        <v>8856.0</v>
      </c>
      <c r="B8869" s="14">
        <f t="shared" si="1"/>
        <v>0.1137160661</v>
      </c>
      <c r="C8869" s="39">
        <f t="array" ref="C8869">NPV(B8869,FCFF!$C$9:$I$9)+FCFF!$B$9+FCFF!$I$9*(1+Inputs!$B$6)/(B8869-Inputs!$B$6)/(1+B8869)^7</f>
        <v>-1707.41224</v>
      </c>
    </row>
    <row r="8870" ht="14.25" customHeight="1">
      <c r="A8870" s="7">
        <v>8857.0</v>
      </c>
      <c r="B8870" s="14">
        <f t="shared" si="1"/>
        <v>0.1267918064</v>
      </c>
      <c r="C8870" s="39">
        <f t="array" ref="C8870">NPV(B8870,FCFF!$C$9:$I$9)+FCFF!$B$9+FCFF!$I$9*(1+Inputs!$B$6)/(B8870-Inputs!$B$6)/(1+B8870)^7</f>
        <v>-1927.712504</v>
      </c>
    </row>
    <row r="8871" ht="14.25" customHeight="1">
      <c r="A8871" s="7">
        <v>8858.0</v>
      </c>
      <c r="B8871" s="14">
        <f t="shared" si="1"/>
        <v>0.1228906706</v>
      </c>
      <c r="C8871" s="39">
        <f t="array" ref="C8871">NPV(B8871,FCFF!$C$9:$I$9)+FCFF!$B$9+FCFF!$I$9*(1+Inputs!$B$6)/(B8871-Inputs!$B$6)/(1+B8871)^7</f>
        <v>-1868.866662</v>
      </c>
    </row>
    <row r="8872" ht="14.25" customHeight="1">
      <c r="A8872" s="7">
        <v>8859.0</v>
      </c>
      <c r="B8872" s="14">
        <f t="shared" si="1"/>
        <v>0.1274746065</v>
      </c>
      <c r="C8872" s="39">
        <f t="array" ref="C8872">NPV(B8872,FCFF!$C$9:$I$9)+FCFF!$B$9+FCFF!$I$9*(1+Inputs!$B$6)/(B8872-Inputs!$B$6)/(1+B8872)^7</f>
        <v>-1937.492667</v>
      </c>
    </row>
    <row r="8873" ht="14.25" customHeight="1">
      <c r="A8873" s="7">
        <v>8860.0</v>
      </c>
      <c r="B8873" s="14">
        <f t="shared" si="1"/>
        <v>0.1283953426</v>
      </c>
      <c r="C8873" s="39">
        <f t="array" ref="C8873">NPV(B8873,FCFF!$C$9:$I$9)+FCFF!$B$9+FCFF!$I$9*(1+Inputs!$B$6)/(B8873-Inputs!$B$6)/(1+B8873)^7</f>
        <v>-1950.449249</v>
      </c>
    </row>
    <row r="8874" ht="14.25" customHeight="1">
      <c r="A8874" s="7">
        <v>8861.0</v>
      </c>
      <c r="B8874" s="14">
        <f t="shared" si="1"/>
        <v>0.1213155904</v>
      </c>
      <c r="C8874" s="39">
        <f t="array" ref="C8874">NPV(B8874,FCFF!$C$9:$I$9)+FCFF!$B$9+FCFF!$I$9*(1+Inputs!$B$6)/(B8874-Inputs!$B$6)/(1+B8874)^7</f>
        <v>-1843.582862</v>
      </c>
    </row>
    <row r="8875" ht="14.25" customHeight="1">
      <c r="A8875" s="7">
        <v>8862.0</v>
      </c>
      <c r="B8875" s="14">
        <f t="shared" si="1"/>
        <v>0.1128952235</v>
      </c>
      <c r="C8875" s="39">
        <f t="array" ref="C8875">NPV(B8875,FCFF!$C$9:$I$9)+FCFF!$B$9+FCFF!$I$9*(1+Inputs!$B$6)/(B8875-Inputs!$B$6)/(1+B8875)^7</f>
        <v>-1691.135614</v>
      </c>
    </row>
    <row r="8876" ht="14.25" customHeight="1">
      <c r="A8876" s="7">
        <v>8863.0</v>
      </c>
      <c r="B8876" s="14">
        <f t="shared" si="1"/>
        <v>0.1161992024</v>
      </c>
      <c r="C8876" s="39">
        <f t="array" ref="C8876">NPV(B8876,FCFF!$C$9:$I$9)+FCFF!$B$9+FCFF!$I$9*(1+Inputs!$B$6)/(B8876-Inputs!$B$6)/(1+B8876)^7</f>
        <v>-1754.682764</v>
      </c>
    </row>
    <row r="8877" ht="14.25" customHeight="1">
      <c r="A8877" s="7">
        <v>8864.0</v>
      </c>
      <c r="B8877" s="14">
        <f t="shared" si="1"/>
        <v>0.1273568383</v>
      </c>
      <c r="C8877" s="39">
        <f t="array" ref="C8877">NPV(B8877,FCFF!$C$9:$I$9)+FCFF!$B$9+FCFF!$I$9*(1+Inputs!$B$6)/(B8877-Inputs!$B$6)/(1+B8877)^7</f>
        <v>-1935.816351</v>
      </c>
    </row>
    <row r="8878" ht="14.25" customHeight="1">
      <c r="A8878" s="7">
        <v>8865.0</v>
      </c>
      <c r="B8878" s="14">
        <f t="shared" si="1"/>
        <v>0.1078015836</v>
      </c>
      <c r="C8878" s="39">
        <f t="array" ref="C8878">NPV(B8878,FCFF!$C$9:$I$9)+FCFF!$B$9+FCFF!$I$9*(1+Inputs!$B$6)/(B8878-Inputs!$B$6)/(1+B8878)^7</f>
        <v>-1582.161635</v>
      </c>
    </row>
    <row r="8879" ht="14.25" customHeight="1">
      <c r="A8879" s="7">
        <v>8866.0</v>
      </c>
      <c r="B8879" s="14">
        <f t="shared" si="1"/>
        <v>0.1185912035</v>
      </c>
      <c r="C8879" s="39">
        <f t="array" ref="C8879">NPV(B8879,FCFF!$C$9:$I$9)+FCFF!$B$9+FCFF!$I$9*(1+Inputs!$B$6)/(B8879-Inputs!$B$6)/(1+B8879)^7</f>
        <v>-1797.59404</v>
      </c>
    </row>
    <row r="8880" ht="14.25" customHeight="1">
      <c r="A8880" s="7">
        <v>8867.0</v>
      </c>
      <c r="B8880" s="14">
        <f t="shared" si="1"/>
        <v>0.09689541033</v>
      </c>
      <c r="C8880" s="39">
        <f t="array" ref="C8880">NPV(B8880,FCFF!$C$9:$I$9)+FCFF!$B$9+FCFF!$I$9*(1+Inputs!$B$6)/(B8880-Inputs!$B$6)/(1+B8880)^7</f>
        <v>-1291.696278</v>
      </c>
    </row>
    <row r="8881" ht="14.25" customHeight="1">
      <c r="A8881" s="7">
        <v>8868.0</v>
      </c>
      <c r="B8881" s="14">
        <f t="shared" si="1"/>
        <v>0.09344288428</v>
      </c>
      <c r="C8881" s="39">
        <f t="array" ref="C8881">NPV(B8881,FCFF!$C$9:$I$9)+FCFF!$B$9+FCFF!$I$9*(1+Inputs!$B$6)/(B8881-Inputs!$B$6)/(1+B8881)^7</f>
        <v>-1178.840381</v>
      </c>
    </row>
    <row r="8882" ht="14.25" customHeight="1">
      <c r="A8882" s="7">
        <v>8869.0</v>
      </c>
      <c r="B8882" s="14">
        <f t="shared" si="1"/>
        <v>0.1268601018</v>
      </c>
      <c r="C8882" s="39">
        <f t="array" ref="C8882">NPV(B8882,FCFF!$C$9:$I$9)+FCFF!$B$9+FCFF!$I$9*(1+Inputs!$B$6)/(B8882-Inputs!$B$6)/(1+B8882)^7</f>
        <v>-1928.697427</v>
      </c>
    </row>
    <row r="8883" ht="14.25" customHeight="1">
      <c r="A8883" s="7">
        <v>8870.0</v>
      </c>
      <c r="B8883" s="14">
        <f t="shared" si="1"/>
        <v>0.09904536891</v>
      </c>
      <c r="C8883" s="39">
        <f t="array" ref="C8883">NPV(B8883,FCFF!$C$9:$I$9)+FCFF!$B$9+FCFF!$I$9*(1+Inputs!$B$6)/(B8883-Inputs!$B$6)/(1+B8883)^7</f>
        <v>-1356.288056</v>
      </c>
    </row>
    <row r="8884" ht="14.25" customHeight="1">
      <c r="A8884" s="7">
        <v>8871.0</v>
      </c>
      <c r="B8884" s="14">
        <f t="shared" si="1"/>
        <v>0.09667356077</v>
      </c>
      <c r="C8884" s="39">
        <f t="array" ref="C8884">NPV(B8884,FCFF!$C$9:$I$9)+FCFF!$B$9+FCFF!$I$9*(1+Inputs!$B$6)/(B8884-Inputs!$B$6)/(1+B8884)^7</f>
        <v>-1284.794105</v>
      </c>
    </row>
    <row r="8885" ht="14.25" customHeight="1">
      <c r="A8885" s="7">
        <v>8872.0</v>
      </c>
      <c r="B8885" s="14">
        <f t="shared" si="1"/>
        <v>0.1300970895</v>
      </c>
      <c r="C8885" s="39">
        <f t="array" ref="C8885">NPV(B8885,FCFF!$C$9:$I$9)+FCFF!$B$9+FCFF!$I$9*(1+Inputs!$B$6)/(B8885-Inputs!$B$6)/(1+B8885)^7</f>
        <v>-1973.718411</v>
      </c>
    </row>
    <row r="8886" ht="14.25" customHeight="1">
      <c r="A8886" s="7">
        <v>8873.0</v>
      </c>
      <c r="B8886" s="14">
        <f t="shared" si="1"/>
        <v>0.1026811513</v>
      </c>
      <c r="C8886" s="39">
        <f t="array" ref="C8886">NPV(B8886,FCFF!$C$9:$I$9)+FCFF!$B$9+FCFF!$I$9*(1+Inputs!$B$6)/(B8886-Inputs!$B$6)/(1+B8886)^7</f>
        <v>-1456.780567</v>
      </c>
    </row>
    <row r="8887" ht="14.25" customHeight="1">
      <c r="A8887" s="7">
        <v>8874.0</v>
      </c>
      <c r="B8887" s="14">
        <f t="shared" si="1"/>
        <v>0.1162445344</v>
      </c>
      <c r="C8887" s="39">
        <f t="array" ref="C8887">NPV(B8887,FCFF!$C$9:$I$9)+FCFF!$B$9+FCFF!$I$9*(1+Inputs!$B$6)/(B8887-Inputs!$B$6)/(1+B8887)^7</f>
        <v>-1755.519261</v>
      </c>
    </row>
    <row r="8888" ht="14.25" customHeight="1">
      <c r="A8888" s="7">
        <v>8875.0</v>
      </c>
      <c r="B8888" s="14">
        <f t="shared" si="1"/>
        <v>0.1045123809</v>
      </c>
      <c r="C8888" s="39">
        <f t="array" ref="C8888">NPV(B8888,FCFF!$C$9:$I$9)+FCFF!$B$9+FCFF!$I$9*(1+Inputs!$B$6)/(B8888-Inputs!$B$6)/(1+B8888)^7</f>
        <v>-1503.63918</v>
      </c>
    </row>
    <row r="8889" ht="14.25" customHeight="1">
      <c r="A8889" s="7">
        <v>8876.0</v>
      </c>
      <c r="B8889" s="14">
        <f t="shared" si="1"/>
        <v>0.111834463</v>
      </c>
      <c r="C8889" s="39">
        <f t="array" ref="C8889">NPV(B8889,FCFF!$C$9:$I$9)+FCFF!$B$9+FCFF!$I$9*(1+Inputs!$B$6)/(B8889-Inputs!$B$6)/(1+B8889)^7</f>
        <v>-1669.598387</v>
      </c>
    </row>
    <row r="8890" ht="14.25" customHeight="1">
      <c r="A8890" s="7">
        <v>8877.0</v>
      </c>
      <c r="B8890" s="14">
        <f t="shared" si="1"/>
        <v>0.1234034656</v>
      </c>
      <c r="C8890" s="39">
        <f t="array" ref="C8890">NPV(B8890,FCFF!$C$9:$I$9)+FCFF!$B$9+FCFF!$I$9*(1+Inputs!$B$6)/(B8890-Inputs!$B$6)/(1+B8890)^7</f>
        <v>-1876.902323</v>
      </c>
    </row>
    <row r="8891" ht="14.25" customHeight="1">
      <c r="A8891" s="7">
        <v>8878.0</v>
      </c>
      <c r="B8891" s="14">
        <f t="shared" si="1"/>
        <v>0.1160865674</v>
      </c>
      <c r="C8891" s="39">
        <f t="array" ref="C8891">NPV(B8891,FCFF!$C$9:$I$9)+FCFF!$B$9+FCFF!$I$9*(1+Inputs!$B$6)/(B8891-Inputs!$B$6)/(1+B8891)^7</f>
        <v>-1752.600341</v>
      </c>
    </row>
    <row r="8892" ht="14.25" customHeight="1">
      <c r="A8892" s="7">
        <v>8879.0</v>
      </c>
      <c r="B8892" s="14">
        <f t="shared" si="1"/>
        <v>0.1097674718</v>
      </c>
      <c r="C8892" s="39">
        <f t="array" ref="C8892">NPV(B8892,FCFF!$C$9:$I$9)+FCFF!$B$9+FCFF!$I$9*(1+Inputs!$B$6)/(B8892-Inputs!$B$6)/(1+B8892)^7</f>
        <v>-1625.923968</v>
      </c>
    </row>
    <row r="8893" ht="14.25" customHeight="1">
      <c r="A8893" s="7">
        <v>8880.0</v>
      </c>
      <c r="B8893" s="14">
        <f t="shared" si="1"/>
        <v>0.1068363544</v>
      </c>
      <c r="C8893" s="39">
        <f t="array" ref="C8893">NPV(B8893,FCFF!$C$9:$I$9)+FCFF!$B$9+FCFF!$I$9*(1+Inputs!$B$6)/(B8893-Inputs!$B$6)/(1+B8893)^7</f>
        <v>-1559.831955</v>
      </c>
    </row>
    <row r="8894" ht="14.25" customHeight="1">
      <c r="A8894" s="7">
        <v>8881.0</v>
      </c>
      <c r="B8894" s="14">
        <f t="shared" si="1"/>
        <v>0.1141409051</v>
      </c>
      <c r="C8894" s="39">
        <f t="array" ref="C8894">NPV(B8894,FCFF!$C$9:$I$9)+FCFF!$B$9+FCFF!$I$9*(1+Inputs!$B$6)/(B8894-Inputs!$B$6)/(1+B8894)^7</f>
        <v>-1715.70652</v>
      </c>
    </row>
    <row r="8895" ht="14.25" customHeight="1">
      <c r="A8895" s="7">
        <v>8882.0</v>
      </c>
      <c r="B8895" s="14">
        <f t="shared" si="1"/>
        <v>0.1012258224</v>
      </c>
      <c r="C8895" s="39">
        <f t="array" ref="C8895">NPV(B8895,FCFF!$C$9:$I$9)+FCFF!$B$9+FCFF!$I$9*(1+Inputs!$B$6)/(B8895-Inputs!$B$6)/(1+B8895)^7</f>
        <v>-1417.79802</v>
      </c>
    </row>
    <row r="8896" ht="14.25" customHeight="1">
      <c r="A8896" s="7">
        <v>8883.0</v>
      </c>
      <c r="B8896" s="14">
        <f t="shared" si="1"/>
        <v>0.1127591386</v>
      </c>
      <c r="C8896" s="39">
        <f t="array" ref="C8896">NPV(B8896,FCFF!$C$9:$I$9)+FCFF!$B$9+FCFF!$I$9*(1+Inputs!$B$6)/(B8896-Inputs!$B$6)/(1+B8896)^7</f>
        <v>-1688.404684</v>
      </c>
    </row>
    <row r="8897" ht="14.25" customHeight="1">
      <c r="A8897" s="7">
        <v>8884.0</v>
      </c>
      <c r="B8897" s="14">
        <f t="shared" si="1"/>
        <v>0.1110220342</v>
      </c>
      <c r="C8897" s="39">
        <f t="array" ref="C8897">NPV(B8897,FCFF!$C$9:$I$9)+FCFF!$B$9+FCFF!$I$9*(1+Inputs!$B$6)/(B8897-Inputs!$B$6)/(1+B8897)^7</f>
        <v>-1652.707282</v>
      </c>
    </row>
    <row r="8898" ht="14.25" customHeight="1">
      <c r="A8898" s="7">
        <v>8885.0</v>
      </c>
      <c r="B8898" s="14">
        <f t="shared" si="1"/>
        <v>0.1152309061</v>
      </c>
      <c r="C8898" s="39">
        <f t="array" ref="C8898">NPV(B8898,FCFF!$C$9:$I$9)+FCFF!$B$9+FCFF!$I$9*(1+Inputs!$B$6)/(B8898-Inputs!$B$6)/(1+B8898)^7</f>
        <v>-1736.592275</v>
      </c>
    </row>
    <row r="8899" ht="14.25" customHeight="1">
      <c r="A8899" s="7">
        <v>8886.0</v>
      </c>
      <c r="B8899" s="14">
        <f t="shared" si="1"/>
        <v>0.1006912326</v>
      </c>
      <c r="C8899" s="39">
        <f t="array" ref="C8899">NPV(B8899,FCFF!$C$9:$I$9)+FCFF!$B$9+FCFF!$I$9*(1+Inputs!$B$6)/(B8899-Inputs!$B$6)/(1+B8899)^7</f>
        <v>-1403.071071</v>
      </c>
    </row>
    <row r="8900" ht="14.25" customHeight="1">
      <c r="A8900" s="7">
        <v>8887.0</v>
      </c>
      <c r="B8900" s="14">
        <f t="shared" si="1"/>
        <v>0.09447693387</v>
      </c>
      <c r="C8900" s="39">
        <f t="array" ref="C8900">NPV(B8900,FCFF!$C$9:$I$9)+FCFF!$B$9+FCFF!$I$9*(1+Inputs!$B$6)/(B8900-Inputs!$B$6)/(1+B8900)^7</f>
        <v>-1213.900165</v>
      </c>
    </row>
    <row r="8901" ht="14.25" customHeight="1">
      <c r="A8901" s="7">
        <v>8888.0</v>
      </c>
      <c r="B8901" s="14">
        <f t="shared" si="1"/>
        <v>0.1081440129</v>
      </c>
      <c r="C8901" s="39">
        <f t="array" ref="C8901">NPV(B8901,FCFF!$C$9:$I$9)+FCFF!$B$9+FCFF!$I$9*(1+Inputs!$B$6)/(B8901-Inputs!$B$6)/(1+B8901)^7</f>
        <v>-1589.947376</v>
      </c>
    </row>
    <row r="8902" ht="14.25" customHeight="1">
      <c r="A8902" s="7">
        <v>8889.0</v>
      </c>
      <c r="B8902" s="14">
        <f t="shared" si="1"/>
        <v>0.09377749245</v>
      </c>
      <c r="C8902" s="39">
        <f t="array" ref="C8902">NPV(B8902,FCFF!$C$9:$I$9)+FCFF!$B$9+FCFF!$I$9*(1+Inputs!$B$6)/(B8902-Inputs!$B$6)/(1+B8902)^7</f>
        <v>-1190.308576</v>
      </c>
    </row>
    <row r="8903" ht="14.25" customHeight="1">
      <c r="A8903" s="7">
        <v>8890.0</v>
      </c>
      <c r="B8903" s="14">
        <f t="shared" si="1"/>
        <v>0.1295155724</v>
      </c>
      <c r="C8903" s="39">
        <f t="array" ref="C8903">NPV(B8903,FCFF!$C$9:$I$9)+FCFF!$B$9+FCFF!$I$9*(1+Inputs!$B$6)/(B8903-Inputs!$B$6)/(1+B8903)^7</f>
        <v>-1965.863886</v>
      </c>
    </row>
    <row r="8904" ht="14.25" customHeight="1">
      <c r="A8904" s="7">
        <v>8891.0</v>
      </c>
      <c r="B8904" s="14">
        <f t="shared" si="1"/>
        <v>0.1260710632</v>
      </c>
      <c r="C8904" s="39">
        <f t="array" ref="C8904">NPV(B8904,FCFF!$C$9:$I$9)+FCFF!$B$9+FCFF!$I$9*(1+Inputs!$B$6)/(B8904-Inputs!$B$6)/(1+B8904)^7</f>
        <v>-1917.226387</v>
      </c>
    </row>
    <row r="8905" ht="14.25" customHeight="1">
      <c r="A8905" s="7">
        <v>8892.0</v>
      </c>
      <c r="B8905" s="14">
        <f t="shared" si="1"/>
        <v>0.1018995565</v>
      </c>
      <c r="C8905" s="39">
        <f t="array" ref="C8905">NPV(B8905,FCFF!$C$9:$I$9)+FCFF!$B$9+FCFF!$I$9*(1+Inputs!$B$6)/(B8905-Inputs!$B$6)/(1+B8905)^7</f>
        <v>-1436.043168</v>
      </c>
    </row>
    <row r="8906" ht="14.25" customHeight="1">
      <c r="A8906" s="7">
        <v>8893.0</v>
      </c>
      <c r="B8906" s="14">
        <f t="shared" si="1"/>
        <v>0.09831917312</v>
      </c>
      <c r="C8906" s="39">
        <f t="array" ref="C8906">NPV(B8906,FCFF!$C$9:$I$9)+FCFF!$B$9+FCFF!$I$9*(1+Inputs!$B$6)/(B8906-Inputs!$B$6)/(1+B8906)^7</f>
        <v>-1334.926072</v>
      </c>
    </row>
    <row r="8907" ht="14.25" customHeight="1">
      <c r="A8907" s="7">
        <v>8894.0</v>
      </c>
      <c r="B8907" s="14">
        <f t="shared" si="1"/>
        <v>0.09618473854</v>
      </c>
      <c r="C8907" s="39">
        <f t="array" ref="C8907">NPV(B8907,FCFF!$C$9:$I$9)+FCFF!$B$9+FCFF!$I$9*(1+Inputs!$B$6)/(B8907-Inputs!$B$6)/(1+B8907)^7</f>
        <v>-1269.423015</v>
      </c>
    </row>
    <row r="8908" ht="14.25" customHeight="1">
      <c r="A8908" s="7">
        <v>8895.0</v>
      </c>
      <c r="B8908" s="14">
        <f t="shared" si="1"/>
        <v>0.0986836533</v>
      </c>
      <c r="C8908" s="39">
        <f t="array" ref="C8908">NPV(B8908,FCFF!$C$9:$I$9)+FCFF!$B$9+FCFF!$I$9*(1+Inputs!$B$6)/(B8908-Inputs!$B$6)/(1+B8908)^7</f>
        <v>-1345.70436</v>
      </c>
    </row>
    <row r="8909" ht="14.25" customHeight="1">
      <c r="A8909" s="7">
        <v>8896.0</v>
      </c>
      <c r="B8909" s="14">
        <f t="shared" si="1"/>
        <v>0.1137461142</v>
      </c>
      <c r="C8909" s="39">
        <f t="array" ref="C8909">NPV(B8909,FCFF!$C$9:$I$9)+FCFF!$B$9+FCFF!$I$9*(1+Inputs!$B$6)/(B8909-Inputs!$B$6)/(1+B8909)^7</f>
        <v>-1708.001764</v>
      </c>
    </row>
    <row r="8910" ht="14.25" customHeight="1">
      <c r="A8910" s="7">
        <v>8897.0</v>
      </c>
      <c r="B8910" s="14">
        <f t="shared" si="1"/>
        <v>0.09445986398</v>
      </c>
      <c r="C8910" s="39">
        <f t="array" ref="C8910">NPV(B8910,FCFF!$C$9:$I$9)+FCFF!$B$9+FCFF!$I$9*(1+Inputs!$B$6)/(B8910-Inputs!$B$6)/(1+B8910)^7</f>
        <v>-1213.330453</v>
      </c>
    </row>
    <row r="8911" ht="14.25" customHeight="1">
      <c r="A8911" s="7">
        <v>8898.0</v>
      </c>
      <c r="B8911" s="14">
        <f t="shared" si="1"/>
        <v>0.1165361951</v>
      </c>
      <c r="C8911" s="39">
        <f t="array" ref="C8911">NPV(B8911,FCFF!$C$9:$I$9)+FCFF!$B$9+FCFF!$I$9*(1+Inputs!$B$6)/(B8911-Inputs!$B$6)/(1+B8911)^7</f>
        <v>-1760.879207</v>
      </c>
    </row>
    <row r="8912" ht="14.25" customHeight="1">
      <c r="A8912" s="7">
        <v>8899.0</v>
      </c>
      <c r="B8912" s="14">
        <f t="shared" si="1"/>
        <v>0.1203056526</v>
      </c>
      <c r="C8912" s="39">
        <f t="array" ref="C8912">NPV(B8912,FCFF!$C$9:$I$9)+FCFF!$B$9+FCFF!$I$9*(1+Inputs!$B$6)/(B8912-Inputs!$B$6)/(1+B8912)^7</f>
        <v>-1826.877365</v>
      </c>
    </row>
    <row r="8913" ht="14.25" customHeight="1">
      <c r="A8913" s="7">
        <v>8900.0</v>
      </c>
      <c r="B8913" s="14">
        <f t="shared" si="1"/>
        <v>0.1240537355</v>
      </c>
      <c r="C8913" s="39">
        <f t="array" ref="C8913">NPV(B8913,FCFF!$C$9:$I$9)+FCFF!$B$9+FCFF!$I$9*(1+Inputs!$B$6)/(B8913-Inputs!$B$6)/(1+B8913)^7</f>
        <v>-1886.95776</v>
      </c>
    </row>
    <row r="8914" ht="14.25" customHeight="1">
      <c r="A8914" s="7">
        <v>8901.0</v>
      </c>
      <c r="B8914" s="14">
        <f t="shared" si="1"/>
        <v>0.1135587712</v>
      </c>
      <c r="C8914" s="39">
        <f t="array" ref="C8914">NPV(B8914,FCFF!$C$9:$I$9)+FCFF!$B$9+FCFF!$I$9*(1+Inputs!$B$6)/(B8914-Inputs!$B$6)/(1+B8914)^7</f>
        <v>-1704.319009</v>
      </c>
    </row>
    <row r="8915" ht="14.25" customHeight="1">
      <c r="A8915" s="7">
        <v>8902.0</v>
      </c>
      <c r="B8915" s="14">
        <f t="shared" si="1"/>
        <v>0.1298060456</v>
      </c>
      <c r="C8915" s="39">
        <f t="array" ref="C8915">NPV(B8915,FCFF!$C$9:$I$9)+FCFF!$B$9+FCFF!$I$9*(1+Inputs!$B$6)/(B8915-Inputs!$B$6)/(1+B8915)^7</f>
        <v>-1969.799705</v>
      </c>
    </row>
    <row r="8916" ht="14.25" customHeight="1">
      <c r="A8916" s="7">
        <v>8903.0</v>
      </c>
      <c r="B8916" s="14">
        <f t="shared" si="1"/>
        <v>0.09872798652</v>
      </c>
      <c r="C8916" s="39">
        <f t="array" ref="C8916">NPV(B8916,FCFF!$C$9:$I$9)+FCFF!$B$9+FCFF!$I$9*(1+Inputs!$B$6)/(B8916-Inputs!$B$6)/(1+B8916)^7</f>
        <v>-1347.007548</v>
      </c>
    </row>
    <row r="8917" ht="14.25" customHeight="1">
      <c r="A8917" s="7">
        <v>8904.0</v>
      </c>
      <c r="B8917" s="14">
        <f t="shared" si="1"/>
        <v>0.1144228432</v>
      </c>
      <c r="C8917" s="39">
        <f t="array" ref="C8917">NPV(B8917,FCFF!$C$9:$I$9)+FCFF!$B$9+FCFF!$I$9*(1+Inputs!$B$6)/(B8917-Inputs!$B$6)/(1+B8917)^7</f>
        <v>-1721.162823</v>
      </c>
    </row>
    <row r="8918" ht="14.25" customHeight="1">
      <c r="A8918" s="7">
        <v>8905.0</v>
      </c>
      <c r="B8918" s="14">
        <f t="shared" si="1"/>
        <v>0.1270830061</v>
      </c>
      <c r="C8918" s="39">
        <f t="array" ref="C8918">NPV(B8918,FCFF!$C$9:$I$9)+FCFF!$B$9+FCFF!$I$9*(1+Inputs!$B$6)/(B8918-Inputs!$B$6)/(1+B8918)^7</f>
        <v>-1931.901664</v>
      </c>
    </row>
    <row r="8919" ht="14.25" customHeight="1">
      <c r="A8919" s="7">
        <v>8906.0</v>
      </c>
      <c r="B8919" s="14">
        <f t="shared" si="1"/>
        <v>0.1258445141</v>
      </c>
      <c r="C8919" s="39">
        <f t="array" ref="C8919">NPV(B8919,FCFF!$C$9:$I$9)+FCFF!$B$9+FCFF!$I$9*(1+Inputs!$B$6)/(B8919-Inputs!$B$6)/(1+B8919)^7</f>
        <v>-1913.895278</v>
      </c>
    </row>
    <row r="8920" ht="14.25" customHeight="1">
      <c r="A8920" s="7">
        <v>8907.0</v>
      </c>
      <c r="B8920" s="14">
        <f t="shared" si="1"/>
        <v>0.1282883669</v>
      </c>
      <c r="C8920" s="39">
        <f t="array" ref="C8920">NPV(B8920,FCFF!$C$9:$I$9)+FCFF!$B$9+FCFF!$I$9*(1+Inputs!$B$6)/(B8920-Inputs!$B$6)/(1+B8920)^7</f>
        <v>-1948.957347</v>
      </c>
    </row>
    <row r="8921" ht="14.25" customHeight="1">
      <c r="A8921" s="7">
        <v>8908.0</v>
      </c>
      <c r="B8921" s="14">
        <f t="shared" si="1"/>
        <v>0.1054410289</v>
      </c>
      <c r="C8921" s="39">
        <f t="array" ref="C8921">NPV(B8921,FCFF!$C$9:$I$9)+FCFF!$B$9+FCFF!$I$9*(1+Inputs!$B$6)/(B8921-Inputs!$B$6)/(1+B8921)^7</f>
        <v>-1526.517653</v>
      </c>
    </row>
    <row r="8922" ht="14.25" customHeight="1">
      <c r="A8922" s="7">
        <v>8909.0</v>
      </c>
      <c r="B8922" s="14">
        <f t="shared" si="1"/>
        <v>0.1259844993</v>
      </c>
      <c r="C8922" s="39">
        <f t="array" ref="C8922">NPV(B8922,FCFF!$C$9:$I$9)+FCFF!$B$9+FCFF!$I$9*(1+Inputs!$B$6)/(B8922-Inputs!$B$6)/(1+B8922)^7</f>
        <v>-1915.955572</v>
      </c>
    </row>
    <row r="8923" ht="14.25" customHeight="1">
      <c r="A8923" s="7">
        <v>8910.0</v>
      </c>
      <c r="B8923" s="14">
        <f t="shared" si="1"/>
        <v>0.1220899093</v>
      </c>
      <c r="C8923" s="39">
        <f t="array" ref="C8923">NPV(B8923,FCFF!$C$9:$I$9)+FCFF!$B$9+FCFF!$I$9*(1+Inputs!$B$6)/(B8923-Inputs!$B$6)/(1+B8923)^7</f>
        <v>-1856.127561</v>
      </c>
    </row>
    <row r="8924" ht="14.25" customHeight="1">
      <c r="A8924" s="7">
        <v>8911.0</v>
      </c>
      <c r="B8924" s="14">
        <f t="shared" si="1"/>
        <v>0.102997998</v>
      </c>
      <c r="C8924" s="39">
        <f t="array" ref="C8924">NPV(B8924,FCFF!$C$9:$I$9)+FCFF!$B$9+FCFF!$I$9*(1+Inputs!$B$6)/(B8924-Inputs!$B$6)/(1+B8924)^7</f>
        <v>-1465.059041</v>
      </c>
    </row>
    <row r="8925" ht="14.25" customHeight="1">
      <c r="A8925" s="7">
        <v>8912.0</v>
      </c>
      <c r="B8925" s="14">
        <f t="shared" si="1"/>
        <v>0.09684788654</v>
      </c>
      <c r="C8925" s="39">
        <f t="array" ref="C8925">NPV(B8925,FCFF!$C$9:$I$9)+FCFF!$B$9+FCFF!$I$9*(1+Inputs!$B$6)/(B8925-Inputs!$B$6)/(1+B8925)^7</f>
        <v>-1290.221568</v>
      </c>
    </row>
    <row r="8926" ht="14.25" customHeight="1">
      <c r="A8926" s="7">
        <v>8913.0</v>
      </c>
      <c r="B8926" s="14">
        <f t="shared" si="1"/>
        <v>0.117470597</v>
      </c>
      <c r="C8926" s="39">
        <f t="array" ref="C8926">NPV(B8926,FCFF!$C$9:$I$9)+FCFF!$B$9+FCFF!$I$9*(1+Inputs!$B$6)/(B8926-Inputs!$B$6)/(1+B8926)^7</f>
        <v>-1777.798326</v>
      </c>
    </row>
    <row r="8927" ht="14.25" customHeight="1">
      <c r="A8927" s="7">
        <v>8914.0</v>
      </c>
      <c r="B8927" s="14">
        <f t="shared" si="1"/>
        <v>0.1147114897</v>
      </c>
      <c r="C8927" s="39">
        <f t="array" ref="C8927">NPV(B8927,FCFF!$C$9:$I$9)+FCFF!$B$9+FCFF!$I$9*(1+Inputs!$B$6)/(B8927-Inputs!$B$6)/(1+B8927)^7</f>
        <v>-1726.709669</v>
      </c>
    </row>
    <row r="8928" ht="14.25" customHeight="1">
      <c r="A8928" s="7">
        <v>8915.0</v>
      </c>
      <c r="B8928" s="14">
        <f t="shared" si="1"/>
        <v>0.1297652117</v>
      </c>
      <c r="C8928" s="39">
        <f t="array" ref="C8928">NPV(B8928,FCFF!$C$9:$I$9)+FCFF!$B$9+FCFF!$I$9*(1+Inputs!$B$6)/(B8928-Inputs!$B$6)/(1+B8928)^7</f>
        <v>-1969.24792</v>
      </c>
    </row>
    <row r="8929" ht="14.25" customHeight="1">
      <c r="A8929" s="7">
        <v>8916.0</v>
      </c>
      <c r="B8929" s="14">
        <f t="shared" si="1"/>
        <v>0.1060221763</v>
      </c>
      <c r="C8929" s="39">
        <f t="array" ref="C8929">NPV(B8929,FCFF!$C$9:$I$9)+FCFF!$B$9+FCFF!$I$9*(1+Inputs!$B$6)/(B8929-Inputs!$B$6)/(1+B8929)^7</f>
        <v>-1540.544876</v>
      </c>
    </row>
    <row r="8930" ht="14.25" customHeight="1">
      <c r="A8930" s="7">
        <v>8917.0</v>
      </c>
      <c r="B8930" s="14">
        <f t="shared" si="1"/>
        <v>0.1107955417</v>
      </c>
      <c r="C8930" s="39">
        <f t="array" ref="C8930">NPV(B8930,FCFF!$C$9:$I$9)+FCFF!$B$9+FCFF!$I$9*(1+Inputs!$B$6)/(B8930-Inputs!$B$6)/(1+B8930)^7</f>
        <v>-1647.93557</v>
      </c>
    </row>
    <row r="8931" ht="14.25" customHeight="1">
      <c r="A8931" s="7">
        <v>8918.0</v>
      </c>
      <c r="B8931" s="14">
        <f t="shared" si="1"/>
        <v>0.1304019264</v>
      </c>
      <c r="C8931" s="39">
        <f t="array" ref="C8931">NPV(B8931,FCFF!$C$9:$I$9)+FCFF!$B$9+FCFF!$I$9*(1+Inputs!$B$6)/(B8931-Inputs!$B$6)/(1+B8931)^7</f>
        <v>-1977.796396</v>
      </c>
    </row>
    <row r="8932" ht="14.25" customHeight="1">
      <c r="A8932" s="7">
        <v>8919.0</v>
      </c>
      <c r="B8932" s="14">
        <f t="shared" si="1"/>
        <v>0.132815884</v>
      </c>
      <c r="C8932" s="39">
        <f t="array" ref="C8932">NPV(B8932,FCFF!$C$9:$I$9)+FCFF!$B$9+FCFF!$I$9*(1+Inputs!$B$6)/(B8932-Inputs!$B$6)/(1+B8932)^7</f>
        <v>-2009.161532</v>
      </c>
    </row>
    <row r="8933" ht="14.25" customHeight="1">
      <c r="A8933" s="7">
        <v>8920.0</v>
      </c>
      <c r="B8933" s="14">
        <f t="shared" si="1"/>
        <v>0.1059009398</v>
      </c>
      <c r="C8933" s="39">
        <f t="array" ref="C8933">NPV(B8933,FCFF!$C$9:$I$9)+FCFF!$B$9+FCFF!$I$9*(1+Inputs!$B$6)/(B8933-Inputs!$B$6)/(1+B8933)^7</f>
        <v>-1537.636692</v>
      </c>
    </row>
    <row r="8934" ht="14.25" customHeight="1">
      <c r="A8934" s="7">
        <v>8921.0</v>
      </c>
      <c r="B8934" s="14">
        <f t="shared" si="1"/>
        <v>0.12920784</v>
      </c>
      <c r="C8934" s="39">
        <f t="array" ref="C8934">NPV(B8934,FCFF!$C$9:$I$9)+FCFF!$B$9+FCFF!$I$9*(1+Inputs!$B$6)/(B8934-Inputs!$B$6)/(1+B8934)^7</f>
        <v>-1961.666954</v>
      </c>
    </row>
    <row r="8935" ht="14.25" customHeight="1">
      <c r="A8935" s="7">
        <v>8922.0</v>
      </c>
      <c r="B8935" s="14">
        <f t="shared" si="1"/>
        <v>0.1036203956</v>
      </c>
      <c r="C8935" s="39">
        <f t="array" ref="C8935">NPV(B8935,FCFF!$C$9:$I$9)+FCFF!$B$9+FCFF!$I$9*(1+Inputs!$B$6)/(B8935-Inputs!$B$6)/(1+B8935)^7</f>
        <v>-1481.110368</v>
      </c>
    </row>
    <row r="8936" ht="14.25" customHeight="1">
      <c r="A8936" s="7">
        <v>8923.0</v>
      </c>
      <c r="B8936" s="14">
        <f t="shared" si="1"/>
        <v>0.12404331</v>
      </c>
      <c r="C8936" s="39">
        <f t="array" ref="C8936">NPV(B8936,FCFF!$C$9:$I$9)+FCFF!$B$9+FCFF!$I$9*(1+Inputs!$B$6)/(B8936-Inputs!$B$6)/(1+B8936)^7</f>
        <v>-1886.797719</v>
      </c>
    </row>
    <row r="8937" ht="14.25" customHeight="1">
      <c r="A8937" s="7">
        <v>8924.0</v>
      </c>
      <c r="B8937" s="14">
        <f t="shared" si="1"/>
        <v>0.1048855029</v>
      </c>
      <c r="C8937" s="39">
        <f t="array" ref="C8937">NPV(B8937,FCFF!$C$9:$I$9)+FCFF!$B$9+FCFF!$I$9*(1+Inputs!$B$6)/(B8937-Inputs!$B$6)/(1+B8937)^7</f>
        <v>-1512.901057</v>
      </c>
    </row>
    <row r="8938" ht="14.25" customHeight="1">
      <c r="A8938" s="7">
        <v>8925.0</v>
      </c>
      <c r="B8938" s="14">
        <f t="shared" si="1"/>
        <v>0.09694635234</v>
      </c>
      <c r="C8938" s="39">
        <f t="array" ref="C8938">NPV(B8938,FCFF!$C$9:$I$9)+FCFF!$B$9+FCFF!$I$9*(1+Inputs!$B$6)/(B8938-Inputs!$B$6)/(1+B8938)^7</f>
        <v>-1293.274737</v>
      </c>
    </row>
    <row r="8939" ht="14.25" customHeight="1">
      <c r="A8939" s="7">
        <v>8926.0</v>
      </c>
      <c r="B8939" s="14">
        <f t="shared" si="1"/>
        <v>0.1186576516</v>
      </c>
      <c r="C8939" s="39">
        <f t="array" ref="C8939">NPV(B8939,FCFF!$C$9:$I$9)+FCFF!$B$9+FCFF!$I$9*(1+Inputs!$B$6)/(B8939-Inputs!$B$6)/(1+B8939)^7</f>
        <v>-1798.751294</v>
      </c>
    </row>
    <row r="8940" ht="14.25" customHeight="1">
      <c r="A8940" s="7">
        <v>8927.0</v>
      </c>
      <c r="B8940" s="14">
        <f t="shared" si="1"/>
        <v>0.1239030018</v>
      </c>
      <c r="C8940" s="39">
        <f t="array" ref="C8940">NPV(B8940,FCFF!$C$9:$I$9)+FCFF!$B$9+FCFF!$I$9*(1+Inputs!$B$6)/(B8940-Inputs!$B$6)/(1+B8940)^7</f>
        <v>-1884.640144</v>
      </c>
    </row>
    <row r="8941" ht="14.25" customHeight="1">
      <c r="A8941" s="7">
        <v>8928.0</v>
      </c>
      <c r="B8941" s="14">
        <f t="shared" si="1"/>
        <v>0.1289846069</v>
      </c>
      <c r="C8941" s="39">
        <f t="array" ref="C8941">NPV(B8941,FCFF!$C$9:$I$9)+FCFF!$B$9+FCFF!$I$9*(1+Inputs!$B$6)/(B8941-Inputs!$B$6)/(1+B8941)^7</f>
        <v>-1958.60475</v>
      </c>
    </row>
    <row r="8942" ht="14.25" customHeight="1">
      <c r="A8942" s="7">
        <v>8929.0</v>
      </c>
      <c r="B8942" s="14">
        <f t="shared" si="1"/>
        <v>0.10818572</v>
      </c>
      <c r="C8942" s="39">
        <f t="array" ref="C8942">NPV(B8942,FCFF!$C$9:$I$9)+FCFF!$B$9+FCFF!$I$9*(1+Inputs!$B$6)/(B8942-Inputs!$B$6)/(1+B8942)^7</f>
        <v>-1590.890874</v>
      </c>
    </row>
    <row r="8943" ht="14.25" customHeight="1">
      <c r="A8943" s="7">
        <v>8930.0</v>
      </c>
      <c r="B8943" s="14">
        <f t="shared" si="1"/>
        <v>0.1067146991</v>
      </c>
      <c r="C8943" s="39">
        <f t="array" ref="C8943">NPV(B8943,FCFF!$C$9:$I$9)+FCFF!$B$9+FCFF!$I$9*(1+Inputs!$B$6)/(B8943-Inputs!$B$6)/(1+B8943)^7</f>
        <v>-1556.976688</v>
      </c>
    </row>
    <row r="8944" ht="14.25" customHeight="1">
      <c r="A8944" s="7">
        <v>8931.0</v>
      </c>
      <c r="B8944" s="14">
        <f t="shared" si="1"/>
        <v>0.09360071131</v>
      </c>
      <c r="C8944" s="39">
        <f t="array" ref="C8944">NPV(B8944,FCFF!$C$9:$I$9)+FCFF!$B$9+FCFF!$I$9*(1+Inputs!$B$6)/(B8944-Inputs!$B$6)/(1+B8944)^7</f>
        <v>-1184.264543</v>
      </c>
    </row>
    <row r="8945" ht="14.25" customHeight="1">
      <c r="A8945" s="7">
        <v>8932.0</v>
      </c>
      <c r="B8945" s="14">
        <f t="shared" si="1"/>
        <v>0.1003902295</v>
      </c>
      <c r="C8945" s="39">
        <f t="array" ref="C8945">NPV(B8945,FCFF!$C$9:$I$9)+FCFF!$B$9+FCFF!$I$9*(1+Inputs!$B$6)/(B8945-Inputs!$B$6)/(1+B8945)^7</f>
        <v>-1394.679721</v>
      </c>
    </row>
    <row r="8946" ht="14.25" customHeight="1">
      <c r="A8946" s="7">
        <v>8933.0</v>
      </c>
      <c r="B8946" s="14">
        <f t="shared" si="1"/>
        <v>0.129089598</v>
      </c>
      <c r="C8946" s="39">
        <f t="array" ref="C8946">NPV(B8946,FCFF!$C$9:$I$9)+FCFF!$B$9+FCFF!$I$9*(1+Inputs!$B$6)/(B8946-Inputs!$B$6)/(1+B8946)^7</f>
        <v>-1960.046827</v>
      </c>
    </row>
    <row r="8947" ht="14.25" customHeight="1">
      <c r="A8947" s="7">
        <v>8934.0</v>
      </c>
      <c r="B8947" s="14">
        <f t="shared" si="1"/>
        <v>0.09525706211</v>
      </c>
      <c r="C8947" s="39">
        <f t="array" ref="C8947">NPV(B8947,FCFF!$C$9:$I$9)+FCFF!$B$9+FCFF!$I$9*(1+Inputs!$B$6)/(B8947-Inputs!$B$6)/(1+B8947)^7</f>
        <v>-1239.621484</v>
      </c>
    </row>
    <row r="8948" ht="14.25" customHeight="1">
      <c r="A8948" s="7">
        <v>8935.0</v>
      </c>
      <c r="B8948" s="14">
        <f t="shared" si="1"/>
        <v>0.1217047735</v>
      </c>
      <c r="C8948" s="39">
        <f t="array" ref="C8948">NPV(B8948,FCFF!$C$9:$I$9)+FCFF!$B$9+FCFF!$I$9*(1+Inputs!$B$6)/(B8948-Inputs!$B$6)/(1+B8948)^7</f>
        <v>-1849.916151</v>
      </c>
    </row>
    <row r="8949" ht="14.25" customHeight="1">
      <c r="A8949" s="7">
        <v>8936.0</v>
      </c>
      <c r="B8949" s="14">
        <f t="shared" si="1"/>
        <v>0.1168769504</v>
      </c>
      <c r="C8949" s="39">
        <f t="array" ref="C8949">NPV(B8949,FCFF!$C$9:$I$9)+FCFF!$B$9+FCFF!$I$9*(1+Inputs!$B$6)/(B8949-Inputs!$B$6)/(1+B8949)^7</f>
        <v>-1767.093535</v>
      </c>
    </row>
    <row r="8950" ht="14.25" customHeight="1">
      <c r="A8950" s="7">
        <v>8937.0</v>
      </c>
      <c r="B8950" s="14">
        <f t="shared" si="1"/>
        <v>0.09463793856</v>
      </c>
      <c r="C8950" s="39">
        <f t="array" ref="C8950">NPV(B8950,FCFF!$C$9:$I$9)+FCFF!$B$9+FCFF!$I$9*(1+Inputs!$B$6)/(B8950-Inputs!$B$6)/(1+B8950)^7</f>
        <v>-1219.25906</v>
      </c>
    </row>
    <row r="8951" ht="14.25" customHeight="1">
      <c r="A8951" s="7">
        <v>8938.0</v>
      </c>
      <c r="B8951" s="14">
        <f t="shared" si="1"/>
        <v>0.1302269028</v>
      </c>
      <c r="C8951" s="39">
        <f t="array" ref="C8951">NPV(B8951,FCFF!$C$9:$I$9)+FCFF!$B$9+FCFF!$I$9*(1+Inputs!$B$6)/(B8951-Inputs!$B$6)/(1+B8951)^7</f>
        <v>-1975.458294</v>
      </c>
    </row>
    <row r="8952" ht="14.25" customHeight="1">
      <c r="A8952" s="7">
        <v>8939.0</v>
      </c>
      <c r="B8952" s="14">
        <f t="shared" si="1"/>
        <v>0.09694669246</v>
      </c>
      <c r="C8952" s="39">
        <f t="array" ref="C8952">NPV(B8952,FCFF!$C$9:$I$9)+FCFF!$B$9+FCFF!$I$9*(1+Inputs!$B$6)/(B8952-Inputs!$B$6)/(1+B8952)^7</f>
        <v>-1293.285268</v>
      </c>
    </row>
    <row r="8953" ht="14.25" customHeight="1">
      <c r="A8953" s="7">
        <v>8940.0</v>
      </c>
      <c r="B8953" s="14">
        <f t="shared" si="1"/>
        <v>0.1028610669</v>
      </c>
      <c r="C8953" s="39">
        <f t="array" ref="C8953">NPV(B8953,FCFF!$C$9:$I$9)+FCFF!$B$9+FCFF!$I$9*(1+Inputs!$B$6)/(B8953-Inputs!$B$6)/(1+B8953)^7</f>
        <v>-1461.490305</v>
      </c>
    </row>
    <row r="8954" ht="14.25" customHeight="1">
      <c r="A8954" s="7">
        <v>8941.0</v>
      </c>
      <c r="B8954" s="14">
        <f t="shared" si="1"/>
        <v>0.1186523996</v>
      </c>
      <c r="C8954" s="39">
        <f t="array" ref="C8954">NPV(B8954,FCFF!$C$9:$I$9)+FCFF!$B$9+FCFF!$I$9*(1+Inputs!$B$6)/(B8954-Inputs!$B$6)/(1+B8954)^7</f>
        <v>-1798.659891</v>
      </c>
    </row>
    <row r="8955" ht="14.25" customHeight="1">
      <c r="A8955" s="7">
        <v>8942.0</v>
      </c>
      <c r="B8955" s="14">
        <f t="shared" si="1"/>
        <v>0.1112655876</v>
      </c>
      <c r="C8955" s="39">
        <f t="array" ref="C8955">NPV(B8955,FCFF!$C$9:$I$9)+FCFF!$B$9+FCFF!$I$9*(1+Inputs!$B$6)/(B8955-Inputs!$B$6)/(1+B8955)^7</f>
        <v>-1657.807705</v>
      </c>
    </row>
    <row r="8956" ht="14.25" customHeight="1">
      <c r="A8956" s="7">
        <v>8943.0</v>
      </c>
      <c r="B8956" s="14">
        <f t="shared" si="1"/>
        <v>0.1138566938</v>
      </c>
      <c r="C8956" s="39">
        <f t="array" ref="C8956">NPV(B8956,FCFF!$C$9:$I$9)+FCFF!$B$9+FCFF!$I$9*(1+Inputs!$B$6)/(B8956-Inputs!$B$6)/(1+B8956)^7</f>
        <v>-1710.167469</v>
      </c>
    </row>
    <row r="8957" ht="14.25" customHeight="1">
      <c r="A8957" s="7">
        <v>8944.0</v>
      </c>
      <c r="B8957" s="14">
        <f t="shared" si="1"/>
        <v>0.1056509292</v>
      </c>
      <c r="C8957" s="39">
        <f t="array" ref="C8957">NPV(B8957,FCFF!$C$9:$I$9)+FCFF!$B$9+FCFF!$I$9*(1+Inputs!$B$6)/(B8957-Inputs!$B$6)/(1+B8957)^7</f>
        <v>-1531.60944</v>
      </c>
    </row>
    <row r="8958" ht="14.25" customHeight="1">
      <c r="A8958" s="7">
        <v>8945.0</v>
      </c>
      <c r="B8958" s="14">
        <f t="shared" si="1"/>
        <v>0.09845177235</v>
      </c>
      <c r="C8958" s="39">
        <f t="array" ref="C8958">NPV(B8958,FCFF!$C$9:$I$9)+FCFF!$B$9+FCFF!$I$9*(1+Inputs!$B$6)/(B8958-Inputs!$B$6)/(1+B8958)^7</f>
        <v>-1338.860569</v>
      </c>
    </row>
    <row r="8959" ht="14.25" customHeight="1">
      <c r="A8959" s="7">
        <v>8946.0</v>
      </c>
      <c r="B8959" s="14">
        <f t="shared" si="1"/>
        <v>0.1159195948</v>
      </c>
      <c r="C8959" s="39">
        <f t="array" ref="C8959">NPV(B8959,FCFF!$C$9:$I$9)+FCFF!$B$9+FCFF!$I$9*(1+Inputs!$B$6)/(B8959-Inputs!$B$6)/(1+B8959)^7</f>
        <v>-1749.502778</v>
      </c>
    </row>
    <row r="8960" ht="14.25" customHeight="1">
      <c r="A8960" s="7">
        <v>8947.0</v>
      </c>
      <c r="B8960" s="14">
        <f t="shared" si="1"/>
        <v>0.09901379</v>
      </c>
      <c r="C8960" s="39">
        <f t="array" ref="C8960">NPV(B8960,FCFF!$C$9:$I$9)+FCFF!$B$9+FCFF!$I$9*(1+Inputs!$B$6)/(B8960-Inputs!$B$6)/(1+B8960)^7</f>
        <v>-1355.368502</v>
      </c>
    </row>
    <row r="8961" ht="14.25" customHeight="1">
      <c r="A8961" s="7">
        <v>8948.0</v>
      </c>
      <c r="B8961" s="14">
        <f t="shared" si="1"/>
        <v>0.1293653203</v>
      </c>
      <c r="C8961" s="39">
        <f t="array" ref="C8961">NPV(B8961,FCFF!$C$9:$I$9)+FCFF!$B$9+FCFF!$I$9*(1+Inputs!$B$6)/(B8961-Inputs!$B$6)/(1+B8961)^7</f>
        <v>-1963.818229</v>
      </c>
    </row>
    <row r="8962" ht="14.25" customHeight="1">
      <c r="A8962" s="7">
        <v>8949.0</v>
      </c>
      <c r="B8962" s="14">
        <f t="shared" si="1"/>
        <v>0.1248271178</v>
      </c>
      <c r="C8962" s="39">
        <f t="array" ref="C8962">NPV(B8962,FCFF!$C$9:$I$9)+FCFF!$B$9+FCFF!$I$9*(1+Inputs!$B$6)/(B8962-Inputs!$B$6)/(1+B8962)^7</f>
        <v>-1898.725018</v>
      </c>
    </row>
    <row r="8963" ht="14.25" customHeight="1">
      <c r="A8963" s="7">
        <v>8950.0</v>
      </c>
      <c r="B8963" s="14">
        <f t="shared" si="1"/>
        <v>0.1008729851</v>
      </c>
      <c r="C8963" s="39">
        <f t="array" ref="C8963">NPV(B8963,FCFF!$C$9:$I$9)+FCFF!$B$9+FCFF!$I$9*(1+Inputs!$B$6)/(B8963-Inputs!$B$6)/(1+B8963)^7</f>
        <v>-1408.103163</v>
      </c>
    </row>
    <row r="8964" ht="14.25" customHeight="1">
      <c r="A8964" s="7">
        <v>8951.0</v>
      </c>
      <c r="B8964" s="14">
        <f t="shared" si="1"/>
        <v>0.09307270445</v>
      </c>
      <c r="C8964" s="39">
        <f t="array" ref="C8964">NPV(B8964,FCFF!$C$9:$I$9)+FCFF!$B$9+FCFF!$I$9*(1+Inputs!$B$6)/(B8964-Inputs!$B$6)/(1+B8964)^7</f>
        <v>-1166.01283</v>
      </c>
    </row>
    <row r="8965" ht="14.25" customHeight="1">
      <c r="A8965" s="7">
        <v>8952.0</v>
      </c>
      <c r="B8965" s="14">
        <f t="shared" si="1"/>
        <v>0.09419198792</v>
      </c>
      <c r="C8965" s="39">
        <f t="array" ref="C8965">NPV(B8965,FCFF!$C$9:$I$9)+FCFF!$B$9+FCFF!$I$9*(1+Inputs!$B$6)/(B8965-Inputs!$B$6)/(1+B8965)^7</f>
        <v>-1204.350663</v>
      </c>
    </row>
    <row r="8966" ht="14.25" customHeight="1">
      <c r="A8966" s="7">
        <v>8953.0</v>
      </c>
      <c r="B8966" s="14">
        <f t="shared" si="1"/>
        <v>0.1235341121</v>
      </c>
      <c r="C8966" s="39">
        <f t="array" ref="C8966">NPV(B8966,FCFF!$C$9:$I$9)+FCFF!$B$9+FCFF!$I$9*(1+Inputs!$B$6)/(B8966-Inputs!$B$6)/(1+B8966)^7</f>
        <v>-1878.934565</v>
      </c>
    </row>
    <row r="8967" ht="14.25" customHeight="1">
      <c r="A8967" s="7">
        <v>8954.0</v>
      </c>
      <c r="B8967" s="14">
        <f t="shared" si="1"/>
        <v>0.1165699514</v>
      </c>
      <c r="C8967" s="39">
        <f t="array" ref="C8967">NPV(B8967,FCFF!$C$9:$I$9)+FCFF!$B$9+FCFF!$I$9*(1+Inputs!$B$6)/(B8967-Inputs!$B$6)/(1+B8967)^7</f>
        <v>-1761.49711</v>
      </c>
    </row>
    <row r="8968" ht="14.25" customHeight="1">
      <c r="A8968" s="7">
        <v>8955.0</v>
      </c>
      <c r="B8968" s="14">
        <f t="shared" si="1"/>
        <v>0.1173628277</v>
      </c>
      <c r="C8968" s="39">
        <f t="array" ref="C8968">NPV(B8968,FCFF!$C$9:$I$9)+FCFF!$B$9+FCFF!$I$9*(1+Inputs!$B$6)/(B8968-Inputs!$B$6)/(1+B8968)^7</f>
        <v>-1775.866366</v>
      </c>
    </row>
    <row r="8969" ht="14.25" customHeight="1">
      <c r="A8969" s="7">
        <v>8956.0</v>
      </c>
      <c r="B8969" s="14">
        <f t="shared" si="1"/>
        <v>0.1201037663</v>
      </c>
      <c r="C8969" s="39">
        <f t="array" ref="C8969">NPV(B8969,FCFF!$C$9:$I$9)+FCFF!$B$9+FCFF!$I$9*(1+Inputs!$B$6)/(B8969-Inputs!$B$6)/(1+B8969)^7</f>
        <v>-1823.490305</v>
      </c>
    </row>
    <row r="8970" ht="14.25" customHeight="1">
      <c r="A8970" s="7">
        <v>8957.0</v>
      </c>
      <c r="B8970" s="14">
        <f t="shared" si="1"/>
        <v>0.09625795145</v>
      </c>
      <c r="C8970" s="39">
        <f t="array" ref="C8970">NPV(B8970,FCFF!$C$9:$I$9)+FCFF!$B$9+FCFF!$I$9*(1+Inputs!$B$6)/(B8970-Inputs!$B$6)/(1+B8970)^7</f>
        <v>-1271.739601</v>
      </c>
    </row>
    <row r="8971" ht="14.25" customHeight="1">
      <c r="A8971" s="7">
        <v>8958.0</v>
      </c>
      <c r="B8971" s="14">
        <f t="shared" si="1"/>
        <v>0.1161612905</v>
      </c>
      <c r="C8971" s="39">
        <f t="array" ref="C8971">NPV(B8971,FCFF!$C$9:$I$9)+FCFF!$B$9+FCFF!$I$9*(1+Inputs!$B$6)/(B8971-Inputs!$B$6)/(1+B8971)^7</f>
        <v>-1753.982476</v>
      </c>
    </row>
    <row r="8972" ht="14.25" customHeight="1">
      <c r="A8972" s="7">
        <v>8959.0</v>
      </c>
      <c r="B8972" s="14">
        <f t="shared" si="1"/>
        <v>0.1137371818</v>
      </c>
      <c r="C8972" s="39">
        <f t="array" ref="C8972">NPV(B8972,FCFF!$C$9:$I$9)+FCFF!$B$9+FCFF!$I$9*(1+Inputs!$B$6)/(B8972-Inputs!$B$6)/(1+B8972)^7</f>
        <v>-1707.826563</v>
      </c>
    </row>
    <row r="8973" ht="14.25" customHeight="1">
      <c r="A8973" s="7">
        <v>8960.0</v>
      </c>
      <c r="B8973" s="14">
        <f t="shared" si="1"/>
        <v>0.1018450335</v>
      </c>
      <c r="C8973" s="39">
        <f t="array" ref="C8973">NPV(B8973,FCFF!$C$9:$I$9)+FCFF!$B$9+FCFF!$I$9*(1+Inputs!$B$6)/(B8973-Inputs!$B$6)/(1+B8973)^7</f>
        <v>-1434.579513</v>
      </c>
    </row>
    <row r="8974" ht="14.25" customHeight="1">
      <c r="A8974" s="7">
        <v>8961.0</v>
      </c>
      <c r="B8974" s="14">
        <f t="shared" si="1"/>
        <v>0.1170139182</v>
      </c>
      <c r="C8974" s="39">
        <f t="array" ref="C8974">NPV(B8974,FCFF!$C$9:$I$9)+FCFF!$B$9+FCFF!$I$9*(1+Inputs!$B$6)/(B8974-Inputs!$B$6)/(1+B8974)^7</f>
        <v>-1769.577002</v>
      </c>
    </row>
    <row r="8975" ht="14.25" customHeight="1">
      <c r="A8975" s="7">
        <v>8962.0</v>
      </c>
      <c r="B8975" s="14">
        <f t="shared" si="1"/>
        <v>0.1205289493</v>
      </c>
      <c r="C8975" s="39">
        <f t="array" ref="C8975">NPV(B8975,FCFF!$C$9:$I$9)+FCFF!$B$9+FCFF!$I$9*(1+Inputs!$B$6)/(B8975-Inputs!$B$6)/(1+B8975)^7</f>
        <v>-1830.604987</v>
      </c>
    </row>
    <row r="8976" ht="14.25" customHeight="1">
      <c r="A8976" s="7">
        <v>8963.0</v>
      </c>
      <c r="B8976" s="14">
        <f t="shared" si="1"/>
        <v>0.1124821792</v>
      </c>
      <c r="C8976" s="39">
        <f t="array" ref="C8976">NPV(B8976,FCFF!$C$9:$I$9)+FCFF!$B$9+FCFF!$I$9*(1+Inputs!$B$6)/(B8976-Inputs!$B$6)/(1+B8976)^7</f>
        <v>-1682.817759</v>
      </c>
    </row>
    <row r="8977" ht="14.25" customHeight="1">
      <c r="A8977" s="7">
        <v>8964.0</v>
      </c>
      <c r="B8977" s="14">
        <f t="shared" si="1"/>
        <v>0.1059465501</v>
      </c>
      <c r="C8977" s="39">
        <f t="array" ref="C8977">NPV(B8977,FCFF!$C$9:$I$9)+FCFF!$B$9+FCFF!$I$9*(1+Inputs!$B$6)/(B8977-Inputs!$B$6)/(1+B8977)^7</f>
        <v>-1538.73189</v>
      </c>
    </row>
    <row r="8978" ht="14.25" customHeight="1">
      <c r="A8978" s="7">
        <v>8965.0</v>
      </c>
      <c r="B8978" s="14">
        <f t="shared" si="1"/>
        <v>0.1142045786</v>
      </c>
      <c r="C8978" s="39">
        <f t="array" ref="C8978">NPV(B8978,FCFF!$C$9:$I$9)+FCFF!$B$9+FCFF!$I$9*(1+Inputs!$B$6)/(B8978-Inputs!$B$6)/(1+B8978)^7</f>
        <v>-1716.942116</v>
      </c>
    </row>
    <row r="8979" ht="14.25" customHeight="1">
      <c r="A8979" s="7">
        <v>8966.0</v>
      </c>
      <c r="B8979" s="14">
        <f t="shared" si="1"/>
        <v>0.1182131001</v>
      </c>
      <c r="C8979" s="39">
        <f t="array" ref="C8979">NPV(B8979,FCFF!$C$9:$I$9)+FCFF!$B$9+FCFF!$I$9*(1+Inputs!$B$6)/(B8979-Inputs!$B$6)/(1+B8979)^7</f>
        <v>-1790.974015</v>
      </c>
    </row>
    <row r="8980" ht="14.25" customHeight="1">
      <c r="A8980" s="7">
        <v>8967.0</v>
      </c>
      <c r="B8980" s="14">
        <f t="shared" si="1"/>
        <v>0.115481789</v>
      </c>
      <c r="C8980" s="39">
        <f t="array" ref="C8980">NPV(B8980,FCFF!$C$9:$I$9)+FCFF!$B$9+FCFF!$I$9*(1+Inputs!$B$6)/(B8980-Inputs!$B$6)/(1+B8980)^7</f>
        <v>-1741.320676</v>
      </c>
    </row>
    <row r="8981" ht="14.25" customHeight="1">
      <c r="A8981" s="7">
        <v>8968.0</v>
      </c>
      <c r="B8981" s="14">
        <f t="shared" si="1"/>
        <v>0.1207220635</v>
      </c>
      <c r="C8981" s="39">
        <f t="array" ref="C8981">NPV(B8981,FCFF!$C$9:$I$9)+FCFF!$B$9+FCFF!$I$9*(1+Inputs!$B$6)/(B8981-Inputs!$B$6)/(1+B8981)^7</f>
        <v>-1833.813072</v>
      </c>
    </row>
    <row r="8982" ht="14.25" customHeight="1">
      <c r="A8982" s="7">
        <v>8969.0</v>
      </c>
      <c r="B8982" s="14">
        <f t="shared" si="1"/>
        <v>0.1090623623</v>
      </c>
      <c r="C8982" s="39">
        <f t="array" ref="C8982">NPV(B8982,FCFF!$C$9:$I$9)+FCFF!$B$9+FCFF!$I$9*(1+Inputs!$B$6)/(B8982-Inputs!$B$6)/(1+B8982)^7</f>
        <v>-1610.485369</v>
      </c>
    </row>
    <row r="8983" ht="14.25" customHeight="1">
      <c r="A8983" s="7">
        <v>8970.0</v>
      </c>
      <c r="B8983" s="14">
        <f t="shared" si="1"/>
        <v>0.1123865318</v>
      </c>
      <c r="C8983" s="39">
        <f t="array" ref="C8983">NPV(B8983,FCFF!$C$9:$I$9)+FCFF!$B$9+FCFF!$I$9*(1+Inputs!$B$6)/(B8983-Inputs!$B$6)/(1+B8983)^7</f>
        <v>-1680.879256</v>
      </c>
    </row>
    <row r="8984" ht="14.25" customHeight="1">
      <c r="A8984" s="7">
        <v>8971.0</v>
      </c>
      <c r="B8984" s="14">
        <f t="shared" si="1"/>
        <v>0.1004625175</v>
      </c>
      <c r="C8984" s="39">
        <f t="array" ref="C8984">NPV(B8984,FCFF!$C$9:$I$9)+FCFF!$B$9+FCFF!$I$9*(1+Inputs!$B$6)/(B8984-Inputs!$B$6)/(1+B8984)^7</f>
        <v>-1396.701553</v>
      </c>
    </row>
    <row r="8985" ht="14.25" customHeight="1">
      <c r="A8985" s="7">
        <v>8972.0</v>
      </c>
      <c r="B8985" s="14">
        <f t="shared" si="1"/>
        <v>0.1266453495</v>
      </c>
      <c r="C8985" s="39">
        <f t="array" ref="C8985">NPV(B8985,FCFF!$C$9:$I$9)+FCFF!$B$9+FCFF!$I$9*(1+Inputs!$B$6)/(B8985-Inputs!$B$6)/(1+B8985)^7</f>
        <v>-1925.595319</v>
      </c>
    </row>
    <row r="8986" ht="14.25" customHeight="1">
      <c r="A8986" s="7">
        <v>8973.0</v>
      </c>
      <c r="B8986" s="14">
        <f t="shared" si="1"/>
        <v>0.1079640985</v>
      </c>
      <c r="C8986" s="39">
        <f t="array" ref="C8986">NPV(B8986,FCFF!$C$9:$I$9)+FCFF!$B$9+FCFF!$I$9*(1+Inputs!$B$6)/(B8986-Inputs!$B$6)/(1+B8986)^7</f>
        <v>-1585.865463</v>
      </c>
    </row>
    <row r="8987" ht="14.25" customHeight="1">
      <c r="A8987" s="7">
        <v>8974.0</v>
      </c>
      <c r="B8987" s="14">
        <f t="shared" si="1"/>
        <v>0.09659143695</v>
      </c>
      <c r="C8987" s="39">
        <f t="array" ref="C8987">NPV(B8987,FCFF!$C$9:$I$9)+FCFF!$B$9+FCFF!$I$9*(1+Inputs!$B$6)/(B8987-Inputs!$B$6)/(1+B8987)^7</f>
        <v>-1282.227436</v>
      </c>
    </row>
    <row r="8988" ht="14.25" customHeight="1">
      <c r="A8988" s="7">
        <v>8975.0</v>
      </c>
      <c r="B8988" s="14">
        <f t="shared" si="1"/>
        <v>0.09702843872</v>
      </c>
      <c r="C8988" s="39">
        <f t="array" ref="C8988">NPV(B8988,FCFF!$C$9:$I$9)+FCFF!$B$9+FCFF!$I$9*(1+Inputs!$B$6)/(B8988-Inputs!$B$6)/(1+B8988)^7</f>
        <v>-1295.813177</v>
      </c>
    </row>
    <row r="8989" ht="14.25" customHeight="1">
      <c r="A8989" s="7">
        <v>8976.0</v>
      </c>
      <c r="B8989" s="14">
        <f t="shared" si="1"/>
        <v>0.1272016836</v>
      </c>
      <c r="C8989" s="39">
        <f t="array" ref="C8989">NPV(B8989,FCFF!$C$9:$I$9)+FCFF!$B$9+FCFF!$I$9*(1+Inputs!$B$6)/(B8989-Inputs!$B$6)/(1+B8989)^7</f>
        <v>-1933.601189</v>
      </c>
    </row>
    <row r="8990" ht="14.25" customHeight="1">
      <c r="A8990" s="7">
        <v>8977.0</v>
      </c>
      <c r="B8990" s="14">
        <f t="shared" si="1"/>
        <v>0.09911188905</v>
      </c>
      <c r="C8990" s="39">
        <f t="array" ref="C8990">NPV(B8990,FCFF!$C$9:$I$9)+FCFF!$B$9+FCFF!$I$9*(1+Inputs!$B$6)/(B8990-Inputs!$B$6)/(1+B8990)^7</f>
        <v>-1358.222311</v>
      </c>
    </row>
    <row r="8991" ht="14.25" customHeight="1">
      <c r="A8991" s="7">
        <v>8978.0</v>
      </c>
      <c r="B8991" s="14">
        <f t="shared" si="1"/>
        <v>0.1267739912</v>
      </c>
      <c r="C8991" s="39">
        <f t="array" ref="C8991">NPV(B8991,FCFF!$C$9:$I$9)+FCFF!$B$9+FCFF!$I$9*(1+Inputs!$B$6)/(B8991-Inputs!$B$6)/(1+B8991)^7</f>
        <v>-1927.455335</v>
      </c>
    </row>
    <row r="8992" ht="14.25" customHeight="1">
      <c r="A8992" s="7">
        <v>8979.0</v>
      </c>
      <c r="B8992" s="14">
        <f t="shared" si="1"/>
        <v>0.09632830822</v>
      </c>
      <c r="C8992" s="39">
        <f t="array" ref="C8992">NPV(B8992,FCFF!$C$9:$I$9)+FCFF!$B$9+FCFF!$I$9*(1+Inputs!$B$6)/(B8992-Inputs!$B$6)/(1+B8992)^7</f>
        <v>-1273.961012</v>
      </c>
    </row>
    <row r="8993" ht="14.25" customHeight="1">
      <c r="A8993" s="7">
        <v>8980.0</v>
      </c>
      <c r="B8993" s="14">
        <f t="shared" si="1"/>
        <v>0.1292530614</v>
      </c>
      <c r="C8993" s="39">
        <f t="array" ref="C8993">NPV(B8993,FCFF!$C$9:$I$9)+FCFF!$B$9+FCFF!$I$9*(1+Inputs!$B$6)/(B8993-Inputs!$B$6)/(1+B8993)^7</f>
        <v>-1962.285461</v>
      </c>
    </row>
    <row r="8994" ht="14.25" customHeight="1">
      <c r="A8994" s="7">
        <v>8981.0</v>
      </c>
      <c r="B8994" s="14">
        <f t="shared" si="1"/>
        <v>0.1033325267</v>
      </c>
      <c r="C8994" s="39">
        <f t="array" ref="C8994">NPV(B8994,FCFF!$C$9:$I$9)+FCFF!$B$9+FCFF!$I$9*(1+Inputs!$B$6)/(B8994-Inputs!$B$6)/(1+B8994)^7</f>
        <v>-1473.720756</v>
      </c>
    </row>
    <row r="8995" ht="14.25" customHeight="1">
      <c r="A8995" s="7">
        <v>8982.0</v>
      </c>
      <c r="B8995" s="14">
        <f t="shared" si="1"/>
        <v>0.09922245334</v>
      </c>
      <c r="C8995" s="39">
        <f t="array" ref="C8995">NPV(B8995,FCFF!$C$9:$I$9)+FCFF!$B$9+FCFF!$I$9*(1+Inputs!$B$6)/(B8995-Inputs!$B$6)/(1+B8995)^7</f>
        <v>-1361.429012</v>
      </c>
    </row>
    <row r="8996" ht="14.25" customHeight="1">
      <c r="A8996" s="7">
        <v>8983.0</v>
      </c>
      <c r="B8996" s="14">
        <f t="shared" si="1"/>
        <v>0.1135796223</v>
      </c>
      <c r="C8996" s="39">
        <f t="array" ref="C8996">NPV(B8996,FCFF!$C$9:$I$9)+FCFF!$B$9+FCFF!$I$9*(1+Inputs!$B$6)/(B8996-Inputs!$B$6)/(1+B8996)^7</f>
        <v>-1704.729746</v>
      </c>
    </row>
    <row r="8997" ht="14.25" customHeight="1">
      <c r="A8997" s="7">
        <v>8984.0</v>
      </c>
      <c r="B8997" s="14">
        <f t="shared" si="1"/>
        <v>0.1271517713</v>
      </c>
      <c r="C8997" s="39">
        <f t="array" ref="C8997">NPV(B8997,FCFF!$C$9:$I$9)+FCFF!$B$9+FCFF!$I$9*(1+Inputs!$B$6)/(B8997-Inputs!$B$6)/(1+B8997)^7</f>
        <v>-1932.886964</v>
      </c>
    </row>
    <row r="8998" ht="14.25" customHeight="1">
      <c r="A8998" s="7">
        <v>8985.0</v>
      </c>
      <c r="B8998" s="14">
        <f t="shared" si="1"/>
        <v>0.09425545331</v>
      </c>
      <c r="C8998" s="39">
        <f t="array" ref="C8998">NPV(B8998,FCFF!$C$9:$I$9)+FCFF!$B$9+FCFF!$I$9*(1+Inputs!$B$6)/(B8998-Inputs!$B$6)/(1+B8998)^7</f>
        <v>-1206.484871</v>
      </c>
    </row>
    <row r="8999" ht="14.25" customHeight="1">
      <c r="A8999" s="7">
        <v>8986.0</v>
      </c>
      <c r="B8999" s="14">
        <f t="shared" si="1"/>
        <v>0.1023347938</v>
      </c>
      <c r="C8999" s="39">
        <f t="array" ref="C8999">NPV(B8999,FCFF!$C$9:$I$9)+FCFF!$B$9+FCFF!$I$9*(1+Inputs!$B$6)/(B8999-Inputs!$B$6)/(1+B8999)^7</f>
        <v>-1447.646942</v>
      </c>
    </row>
    <row r="9000" ht="14.25" customHeight="1">
      <c r="A9000" s="7">
        <v>8987.0</v>
      </c>
      <c r="B9000" s="14">
        <f t="shared" si="1"/>
        <v>0.1063072825</v>
      </c>
      <c r="C9000" s="39">
        <f t="array" ref="C9000">NPV(B9000,FCFF!$C$9:$I$9)+FCFF!$B$9+FCFF!$I$9*(1+Inputs!$B$6)/(B9000-Inputs!$B$6)/(1+B9000)^7</f>
        <v>-1547.34668</v>
      </c>
    </row>
    <row r="9001" ht="14.25" customHeight="1">
      <c r="A9001" s="7">
        <v>8988.0</v>
      </c>
      <c r="B9001" s="14">
        <f t="shared" si="1"/>
        <v>0.1262822586</v>
      </c>
      <c r="C9001" s="39">
        <f t="array" ref="C9001">NPV(B9001,FCFF!$C$9:$I$9)+FCFF!$B$9+FCFF!$I$9*(1+Inputs!$B$6)/(B9001-Inputs!$B$6)/(1+B9001)^7</f>
        <v>-1920.316568</v>
      </c>
    </row>
    <row r="9002" ht="14.25" customHeight="1">
      <c r="A9002" s="7">
        <v>8989.0</v>
      </c>
      <c r="B9002" s="14">
        <f t="shared" si="1"/>
        <v>0.1148870925</v>
      </c>
      <c r="C9002" s="39">
        <f t="array" ref="C9002">NPV(B9002,FCFF!$C$9:$I$9)+FCFF!$B$9+FCFF!$I$9*(1+Inputs!$B$6)/(B9002-Inputs!$B$6)/(1+B9002)^7</f>
        <v>-1730.064902</v>
      </c>
    </row>
    <row r="9003" ht="14.25" customHeight="1">
      <c r="A9003" s="7">
        <v>8990.0</v>
      </c>
      <c r="B9003" s="14">
        <f t="shared" si="1"/>
        <v>0.1247122045</v>
      </c>
      <c r="C9003" s="39">
        <f t="array" ref="C9003">NPV(B9003,FCFF!$C$9:$I$9)+FCFF!$B$9+FCFF!$I$9*(1+Inputs!$B$6)/(B9003-Inputs!$B$6)/(1+B9003)^7</f>
        <v>-1896.989589</v>
      </c>
    </row>
    <row r="9004" ht="14.25" customHeight="1">
      <c r="A9004" s="7">
        <v>8991.0</v>
      </c>
      <c r="B9004" s="14">
        <f t="shared" si="1"/>
        <v>0.1010373484</v>
      </c>
      <c r="C9004" s="39">
        <f t="array" ref="C9004">NPV(B9004,FCFF!$C$9:$I$9)+FCFF!$B$9+FCFF!$I$9*(1+Inputs!$B$6)/(B9004-Inputs!$B$6)/(1+B9004)^7</f>
        <v>-1412.631439</v>
      </c>
    </row>
    <row r="9005" ht="14.25" customHeight="1">
      <c r="A9005" s="7">
        <v>8992.0</v>
      </c>
      <c r="B9005" s="14">
        <f t="shared" si="1"/>
        <v>0.09940653424</v>
      </c>
      <c r="C9005" s="39">
        <f t="array" ref="C9005">NPV(B9005,FCFF!$C$9:$I$9)+FCFF!$B$9+FCFF!$I$9*(1+Inputs!$B$6)/(B9005-Inputs!$B$6)/(1+B9005)^7</f>
        <v>-1366.745152</v>
      </c>
    </row>
    <row r="9006" ht="14.25" customHeight="1">
      <c r="A9006" s="7">
        <v>8993.0</v>
      </c>
      <c r="B9006" s="14">
        <f t="shared" si="1"/>
        <v>0.1156071856</v>
      </c>
      <c r="C9006" s="39">
        <f t="array" ref="C9006">NPV(B9006,FCFF!$C$9:$I$9)+FCFF!$B$9+FCFF!$I$9*(1+Inputs!$B$6)/(B9006-Inputs!$B$6)/(1+B9006)^7</f>
        <v>-1743.673158</v>
      </c>
    </row>
    <row r="9007" ht="14.25" customHeight="1">
      <c r="A9007" s="7">
        <v>8994.0</v>
      </c>
      <c r="B9007" s="14">
        <f t="shared" si="1"/>
        <v>0.112895125</v>
      </c>
      <c r="C9007" s="39">
        <f t="array" ref="C9007">NPV(B9007,FCFF!$C$9:$I$9)+FCFF!$B$9+FCFF!$I$9*(1+Inputs!$B$6)/(B9007-Inputs!$B$6)/(1+B9007)^7</f>
        <v>-1691.133642</v>
      </c>
    </row>
    <row r="9008" ht="14.25" customHeight="1">
      <c r="A9008" s="7">
        <v>8995.0</v>
      </c>
      <c r="B9008" s="14">
        <f t="shared" si="1"/>
        <v>0.1173191585</v>
      </c>
      <c r="C9008" s="39">
        <f t="array" ref="C9008">NPV(B9008,FCFF!$C$9:$I$9)+FCFF!$B$9+FCFF!$I$9*(1+Inputs!$B$6)/(B9008-Inputs!$B$6)/(1+B9008)^7</f>
        <v>-1775.082088</v>
      </c>
    </row>
    <row r="9009" ht="14.25" customHeight="1">
      <c r="A9009" s="7">
        <v>8996.0</v>
      </c>
      <c r="B9009" s="14">
        <f t="shared" si="1"/>
        <v>0.1031336607</v>
      </c>
      <c r="C9009" s="39">
        <f t="array" ref="C9009">NPV(B9009,FCFF!$C$9:$I$9)+FCFF!$B$9+FCFF!$I$9*(1+Inputs!$B$6)/(B9009-Inputs!$B$6)/(1+B9009)^7</f>
        <v>-1468.581353</v>
      </c>
    </row>
    <row r="9010" ht="14.25" customHeight="1">
      <c r="A9010" s="7">
        <v>8997.0</v>
      </c>
      <c r="B9010" s="14">
        <f t="shared" si="1"/>
        <v>0.1228705807</v>
      </c>
      <c r="C9010" s="39">
        <f t="array" ref="C9010">NPV(B9010,FCFF!$C$9:$I$9)+FCFF!$B$9+FCFF!$I$9*(1+Inputs!$B$6)/(B9010-Inputs!$B$6)/(1+B9010)^7</f>
        <v>-1868.54992</v>
      </c>
    </row>
    <row r="9011" ht="14.25" customHeight="1">
      <c r="A9011" s="7">
        <v>8998.0</v>
      </c>
      <c r="B9011" s="14">
        <f t="shared" si="1"/>
        <v>0.119128765</v>
      </c>
      <c r="C9011" s="39">
        <f t="array" ref="C9011">NPV(B9011,FCFF!$C$9:$I$9)+FCFF!$B$9+FCFF!$I$9*(1+Inputs!$B$6)/(B9011-Inputs!$B$6)/(1+B9011)^7</f>
        <v>-1806.903932</v>
      </c>
    </row>
    <row r="9012" ht="14.25" customHeight="1">
      <c r="A9012" s="7">
        <v>8999.0</v>
      </c>
      <c r="B9012" s="14">
        <f t="shared" si="1"/>
        <v>0.1003319471</v>
      </c>
      <c r="C9012" s="39">
        <f t="array" ref="C9012">NPV(B9012,FCFF!$C$9:$I$9)+FCFF!$B$9+FCFF!$I$9*(1+Inputs!$B$6)/(B9012-Inputs!$B$6)/(1+B9012)^7</f>
        <v>-1393.046563</v>
      </c>
    </row>
    <row r="9013" ht="14.25" customHeight="1">
      <c r="A9013" s="7">
        <v>9000.0</v>
      </c>
      <c r="B9013" s="14">
        <f t="shared" si="1"/>
        <v>0.1120292147</v>
      </c>
      <c r="C9013" s="39">
        <f t="array" ref="C9013">NPV(B9013,FCFF!$C$9:$I$9)+FCFF!$B$9+FCFF!$I$9*(1+Inputs!$B$6)/(B9013-Inputs!$B$6)/(1+B9013)^7</f>
        <v>-1673.595902</v>
      </c>
    </row>
    <row r="9014" ht="14.25" customHeight="1">
      <c r="A9014" s="7">
        <v>9001.0</v>
      </c>
      <c r="B9014" s="14">
        <f t="shared" si="1"/>
        <v>0.1184057323</v>
      </c>
      <c r="C9014" s="39">
        <f t="array" ref="C9014">NPV(B9014,FCFF!$C$9:$I$9)+FCFF!$B$9+FCFF!$I$9*(1+Inputs!$B$6)/(B9014-Inputs!$B$6)/(1+B9014)^7</f>
        <v>-1794.35418</v>
      </c>
    </row>
    <row r="9015" ht="14.25" customHeight="1">
      <c r="A9015" s="7">
        <v>9002.0</v>
      </c>
      <c r="B9015" s="14">
        <f t="shared" si="1"/>
        <v>0.1228653835</v>
      </c>
      <c r="C9015" s="39">
        <f t="array" ref="C9015">NPV(B9015,FCFF!$C$9:$I$9)+FCFF!$B$9+FCFF!$I$9*(1+Inputs!$B$6)/(B9015-Inputs!$B$6)/(1+B9015)^7</f>
        <v>-1868.467956</v>
      </c>
    </row>
    <row r="9016" ht="14.25" customHeight="1">
      <c r="A9016" s="7">
        <v>9003.0</v>
      </c>
      <c r="B9016" s="14">
        <f t="shared" si="1"/>
        <v>0.1219648412</v>
      </c>
      <c r="C9016" s="39">
        <f t="array" ref="C9016">NPV(B9016,FCFF!$C$9:$I$9)+FCFF!$B$9+FCFF!$I$9*(1+Inputs!$B$6)/(B9016-Inputs!$B$6)/(1+B9016)^7</f>
        <v>-1854.11655</v>
      </c>
    </row>
    <row r="9017" ht="14.25" customHeight="1">
      <c r="A9017" s="7">
        <v>9004.0</v>
      </c>
      <c r="B9017" s="14">
        <f t="shared" si="1"/>
        <v>0.09432587945</v>
      </c>
      <c r="C9017" s="39">
        <f t="array" ref="C9017">NPV(B9017,FCFF!$C$9:$I$9)+FCFF!$B$9+FCFF!$I$9*(1+Inputs!$B$6)/(B9017-Inputs!$B$6)/(1+B9017)^7</f>
        <v>-1208.848267</v>
      </c>
    </row>
    <row r="9018" ht="14.25" customHeight="1">
      <c r="A9018" s="7">
        <v>9005.0</v>
      </c>
      <c r="B9018" s="14">
        <f t="shared" si="1"/>
        <v>0.1054589831</v>
      </c>
      <c r="C9018" s="39">
        <f t="array" ref="C9018">NPV(B9018,FCFF!$C$9:$I$9)+FCFF!$B$9+FCFF!$I$9*(1+Inputs!$B$6)/(B9018-Inputs!$B$6)/(1+B9018)^7</f>
        <v>-1526.95432</v>
      </c>
    </row>
    <row r="9019" ht="14.25" customHeight="1">
      <c r="A9019" s="7">
        <v>9006.0</v>
      </c>
      <c r="B9019" s="14">
        <f t="shared" si="1"/>
        <v>0.129280922</v>
      </c>
      <c r="C9019" s="39">
        <f t="array" ref="C9019">NPV(B9019,FCFF!$C$9:$I$9)+FCFF!$B$9+FCFF!$I$9*(1+Inputs!$B$6)/(B9019-Inputs!$B$6)/(1+B9019)^7</f>
        <v>-1962.666217</v>
      </c>
    </row>
    <row r="9020" ht="14.25" customHeight="1">
      <c r="A9020" s="7">
        <v>9007.0</v>
      </c>
      <c r="B9020" s="14">
        <f t="shared" si="1"/>
        <v>0.1051419909</v>
      </c>
      <c r="C9020" s="39">
        <f t="array" ref="C9020">NPV(B9020,FCFF!$C$9:$I$9)+FCFF!$B$9+FCFF!$I$9*(1+Inputs!$B$6)/(B9020-Inputs!$B$6)/(1+B9020)^7</f>
        <v>-1519.213402</v>
      </c>
    </row>
    <row r="9021" ht="14.25" customHeight="1">
      <c r="A9021" s="7">
        <v>9008.0</v>
      </c>
      <c r="B9021" s="14">
        <f t="shared" si="1"/>
        <v>0.09589168491</v>
      </c>
      <c r="C9021" s="39">
        <f t="array" ref="C9021">NPV(B9021,FCFF!$C$9:$I$9)+FCFF!$B$9+FCFF!$I$9*(1+Inputs!$B$6)/(B9021-Inputs!$B$6)/(1+B9021)^7</f>
        <v>-1260.098933</v>
      </c>
    </row>
    <row r="9022" ht="14.25" customHeight="1">
      <c r="A9022" s="7">
        <v>9009.0</v>
      </c>
      <c r="B9022" s="14">
        <f t="shared" si="1"/>
        <v>0.1016415209</v>
      </c>
      <c r="C9022" s="39">
        <f t="array" ref="C9022">NPV(B9022,FCFF!$C$9:$I$9)+FCFF!$B$9+FCFF!$I$9*(1+Inputs!$B$6)/(B9022-Inputs!$B$6)/(1+B9022)^7</f>
        <v>-1429.09638</v>
      </c>
    </row>
    <row r="9023" ht="14.25" customHeight="1">
      <c r="A9023" s="7">
        <v>9010.0</v>
      </c>
      <c r="B9023" s="14">
        <f t="shared" si="1"/>
        <v>0.1039038877</v>
      </c>
      <c r="C9023" s="39">
        <f t="array" ref="C9023">NPV(B9023,FCFF!$C$9:$I$9)+FCFF!$B$9+FCFF!$I$9*(1+Inputs!$B$6)/(B9023-Inputs!$B$6)/(1+B9023)^7</f>
        <v>-1488.33047</v>
      </c>
    </row>
    <row r="9024" ht="14.25" customHeight="1">
      <c r="A9024" s="7">
        <v>9011.0</v>
      </c>
      <c r="B9024" s="14">
        <f t="shared" si="1"/>
        <v>0.1072973668</v>
      </c>
      <c r="C9024" s="39">
        <f t="array" ref="C9024">NPV(B9024,FCFF!$C$9:$I$9)+FCFF!$B$9+FCFF!$I$9*(1+Inputs!$B$6)/(B9024-Inputs!$B$6)/(1+B9024)^7</f>
        <v>-1570.568404</v>
      </c>
    </row>
    <row r="9025" ht="14.25" customHeight="1">
      <c r="A9025" s="7">
        <v>9012.0</v>
      </c>
      <c r="B9025" s="14">
        <f t="shared" si="1"/>
        <v>0.09805768339</v>
      </c>
      <c r="C9025" s="39">
        <f t="array" ref="C9025">NPV(B9025,FCFF!$C$9:$I$9)+FCFF!$B$9+FCFF!$I$9*(1+Inputs!$B$6)/(B9025-Inputs!$B$6)/(1+B9025)^7</f>
        <v>-1327.122109</v>
      </c>
    </row>
    <row r="9026" ht="14.25" customHeight="1">
      <c r="A9026" s="7">
        <v>9013.0</v>
      </c>
      <c r="B9026" s="14">
        <f t="shared" si="1"/>
        <v>0.1071936925</v>
      </c>
      <c r="C9026" s="39">
        <f t="array" ref="C9026">NPV(B9026,FCFF!$C$9:$I$9)+FCFF!$B$9+FCFF!$I$9*(1+Inputs!$B$6)/(B9026-Inputs!$B$6)/(1+B9026)^7</f>
        <v>-1568.165407</v>
      </c>
    </row>
    <row r="9027" ht="14.25" customHeight="1">
      <c r="A9027" s="7">
        <v>9014.0</v>
      </c>
      <c r="B9027" s="14">
        <f t="shared" si="1"/>
        <v>0.1145247009</v>
      </c>
      <c r="C9027" s="39">
        <f t="array" ref="C9027">NPV(B9027,FCFF!$C$9:$I$9)+FCFF!$B$9+FCFF!$I$9*(1+Inputs!$B$6)/(B9027-Inputs!$B$6)/(1+B9027)^7</f>
        <v>-1723.124716</v>
      </c>
    </row>
    <row r="9028" ht="14.25" customHeight="1">
      <c r="A9028" s="7">
        <v>9015.0</v>
      </c>
      <c r="B9028" s="14">
        <f t="shared" si="1"/>
        <v>0.1262865708</v>
      </c>
      <c r="C9028" s="39">
        <f t="array" ref="C9028">NPV(B9028,FCFF!$C$9:$I$9)+FCFF!$B$9+FCFF!$I$9*(1+Inputs!$B$6)/(B9028-Inputs!$B$6)/(1+B9028)^7</f>
        <v>-1920.379511</v>
      </c>
    </row>
    <row r="9029" ht="14.25" customHeight="1">
      <c r="A9029" s="7">
        <v>9016.0</v>
      </c>
      <c r="B9029" s="14">
        <f t="shared" si="1"/>
        <v>0.1301021915</v>
      </c>
      <c r="C9029" s="39">
        <f t="array" ref="C9029">NPV(B9029,FCFF!$C$9:$I$9)+FCFF!$B$9+FCFF!$I$9*(1+Inputs!$B$6)/(B9029-Inputs!$B$6)/(1+B9029)^7</f>
        <v>-1973.786886</v>
      </c>
    </row>
    <row r="9030" ht="14.25" customHeight="1">
      <c r="A9030" s="7">
        <v>9017.0</v>
      </c>
      <c r="B9030" s="14">
        <f t="shared" si="1"/>
        <v>0.1329892031</v>
      </c>
      <c r="C9030" s="39">
        <f t="array" ref="C9030">NPV(B9030,FCFF!$C$9:$I$9)+FCFF!$B$9+FCFF!$I$9*(1+Inputs!$B$6)/(B9030-Inputs!$B$6)/(1+B9030)^7</f>
        <v>-2011.351854</v>
      </c>
    </row>
    <row r="9031" ht="14.25" customHeight="1">
      <c r="A9031" s="7">
        <v>9018.0</v>
      </c>
      <c r="B9031" s="14">
        <f t="shared" si="1"/>
        <v>0.1198740333</v>
      </c>
      <c r="C9031" s="39">
        <f t="array" ref="C9031">NPV(B9031,FCFF!$C$9:$I$9)+FCFF!$B$9+FCFF!$I$9*(1+Inputs!$B$6)/(B9031-Inputs!$B$6)/(1+B9031)^7</f>
        <v>-1819.616452</v>
      </c>
    </row>
    <row r="9032" ht="14.25" customHeight="1">
      <c r="A9032" s="7">
        <v>9019.0</v>
      </c>
      <c r="B9032" s="14">
        <f t="shared" si="1"/>
        <v>0.1056558353</v>
      </c>
      <c r="C9032" s="39">
        <f t="array" ref="C9032">NPV(B9032,FCFF!$C$9:$I$9)+FCFF!$B$9+FCFF!$I$9*(1+Inputs!$B$6)/(B9032-Inputs!$B$6)/(1+B9032)^7</f>
        <v>-1531.728107</v>
      </c>
    </row>
    <row r="9033" ht="14.25" customHeight="1">
      <c r="A9033" s="7">
        <v>9020.0</v>
      </c>
      <c r="B9033" s="14">
        <f t="shared" si="1"/>
        <v>0.1086340294</v>
      </c>
      <c r="C9033" s="39">
        <f t="array" ref="C9033">NPV(B9033,FCFF!$C$9:$I$9)+FCFF!$B$9+FCFF!$I$9*(1+Inputs!$B$6)/(B9033-Inputs!$B$6)/(1+B9033)^7</f>
        <v>-1600.96755</v>
      </c>
    </row>
    <row r="9034" ht="14.25" customHeight="1">
      <c r="A9034" s="7">
        <v>9021.0</v>
      </c>
      <c r="B9034" s="14">
        <f t="shared" si="1"/>
        <v>0.09435950376</v>
      </c>
      <c r="C9034" s="39">
        <f t="array" ref="C9034">NPV(B9034,FCFF!$C$9:$I$9)+FCFF!$B$9+FCFF!$I$9*(1+Inputs!$B$6)/(B9034-Inputs!$B$6)/(1+B9034)^7</f>
        <v>-1209.974841</v>
      </c>
    </row>
    <row r="9035" ht="14.25" customHeight="1">
      <c r="A9035" s="7">
        <v>9022.0</v>
      </c>
      <c r="B9035" s="14">
        <f t="shared" si="1"/>
        <v>0.1291289732</v>
      </c>
      <c r="C9035" s="39">
        <f t="array" ref="C9035">NPV(B9035,FCFF!$C$9:$I$9)+FCFF!$B$9+FCFF!$I$9*(1+Inputs!$B$6)/(B9035-Inputs!$B$6)/(1+B9035)^7</f>
        <v>-1960.586803</v>
      </c>
    </row>
    <row r="9036" ht="14.25" customHeight="1">
      <c r="A9036" s="7">
        <v>9023.0</v>
      </c>
      <c r="B9036" s="14">
        <f t="shared" si="1"/>
        <v>0.116071191</v>
      </c>
      <c r="C9036" s="39">
        <f t="array" ref="C9036">NPV(B9036,FCFF!$C$9:$I$9)+FCFF!$B$9+FCFF!$I$9*(1+Inputs!$B$6)/(B9036-Inputs!$B$6)/(1+B9036)^7</f>
        <v>-1752.315616</v>
      </c>
    </row>
    <row r="9037" ht="14.25" customHeight="1">
      <c r="A9037" s="7">
        <v>9024.0</v>
      </c>
      <c r="B9037" s="14">
        <f t="shared" si="1"/>
        <v>0.1038124909</v>
      </c>
      <c r="C9037" s="39">
        <f t="array" ref="C9037">NPV(B9037,FCFF!$C$9:$I$9)+FCFF!$B$9+FCFF!$I$9*(1+Inputs!$B$6)/(B9037-Inputs!$B$6)/(1+B9037)^7</f>
        <v>-1486.008895</v>
      </c>
    </row>
    <row r="9038" ht="14.25" customHeight="1">
      <c r="A9038" s="7">
        <v>9025.0</v>
      </c>
      <c r="B9038" s="14">
        <f t="shared" si="1"/>
        <v>0.1048265209</v>
      </c>
      <c r="C9038" s="39">
        <f t="array" ref="C9038">NPV(B9038,FCFF!$C$9:$I$9)+FCFF!$B$9+FCFF!$I$9*(1+Inputs!$B$6)/(B9038-Inputs!$B$6)/(1+B9038)^7</f>
        <v>-1511.443231</v>
      </c>
    </row>
    <row r="9039" ht="14.25" customHeight="1">
      <c r="A9039" s="7">
        <v>9026.0</v>
      </c>
      <c r="B9039" s="14">
        <f t="shared" si="1"/>
        <v>0.117126165</v>
      </c>
      <c r="C9039" s="39">
        <f t="array" ref="C9039">NPV(B9039,FCFF!$C$9:$I$9)+FCFF!$B$9+FCFF!$I$9*(1+Inputs!$B$6)/(B9039-Inputs!$B$6)/(1+B9039)^7</f>
        <v>-1771.606116</v>
      </c>
    </row>
    <row r="9040" ht="14.25" customHeight="1">
      <c r="A9040" s="7">
        <v>9027.0</v>
      </c>
      <c r="B9040" s="14">
        <f t="shared" si="1"/>
        <v>0.09584357745</v>
      </c>
      <c r="C9040" s="39">
        <f t="array" ref="C9040">NPV(B9040,FCFF!$C$9:$I$9)+FCFF!$B$9+FCFF!$I$9*(1+Inputs!$B$6)/(B9040-Inputs!$B$6)/(1+B9040)^7</f>
        <v>-1258.560402</v>
      </c>
    </row>
    <row r="9041" ht="14.25" customHeight="1">
      <c r="A9041" s="7">
        <v>9028.0</v>
      </c>
      <c r="B9041" s="14">
        <f t="shared" si="1"/>
        <v>0.1162871161</v>
      </c>
      <c r="C9041" s="39">
        <f t="array" ref="C9041">NPV(B9041,FCFF!$C$9:$I$9)+FCFF!$B$9+FCFF!$I$9*(1+Inputs!$B$6)/(B9041-Inputs!$B$6)/(1+B9041)^7</f>
        <v>-1756.30417</v>
      </c>
    </row>
    <row r="9042" ht="14.25" customHeight="1">
      <c r="A9042" s="7">
        <v>9029.0</v>
      </c>
      <c r="B9042" s="14">
        <f t="shared" si="1"/>
        <v>0.1180896596</v>
      </c>
      <c r="C9042" s="39">
        <f t="array" ref="C9042">NPV(B9042,FCFF!$C$9:$I$9)+FCFF!$B$9+FCFF!$I$9*(1+Inputs!$B$6)/(B9042-Inputs!$B$6)/(1+B9042)^7</f>
        <v>-1788.799782</v>
      </c>
    </row>
    <row r="9043" ht="14.25" customHeight="1">
      <c r="A9043" s="7">
        <v>9030.0</v>
      </c>
      <c r="B9043" s="14">
        <f t="shared" si="1"/>
        <v>0.1172313981</v>
      </c>
      <c r="C9043" s="39">
        <f t="array" ref="C9043">NPV(B9043,FCFF!$C$9:$I$9)+FCFF!$B$9+FCFF!$I$9*(1+Inputs!$B$6)/(B9043-Inputs!$B$6)/(1+B9043)^7</f>
        <v>-1773.503456</v>
      </c>
    </row>
    <row r="9044" ht="14.25" customHeight="1">
      <c r="A9044" s="7">
        <v>9031.0</v>
      </c>
      <c r="B9044" s="14">
        <f t="shared" si="1"/>
        <v>0.1258685281</v>
      </c>
      <c r="C9044" s="39">
        <f t="array" ref="C9044">NPV(B9044,FCFF!$C$9:$I$9)+FCFF!$B$9+FCFF!$I$9*(1+Inputs!$B$6)/(B9044-Inputs!$B$6)/(1+B9044)^7</f>
        <v>-1914.249174</v>
      </c>
    </row>
    <row r="9045" ht="14.25" customHeight="1">
      <c r="A9045" s="7">
        <v>9032.0</v>
      </c>
      <c r="B9045" s="14">
        <f t="shared" si="1"/>
        <v>0.1089356273</v>
      </c>
      <c r="C9045" s="39">
        <f t="array" ref="C9045">NPV(B9045,FCFF!$C$9:$I$9)+FCFF!$B$9+FCFF!$I$9*(1+Inputs!$B$6)/(B9045-Inputs!$B$6)/(1+B9045)^7</f>
        <v>-1607.68032</v>
      </c>
    </row>
    <row r="9046" ht="14.25" customHeight="1">
      <c r="A9046" s="7">
        <v>9033.0</v>
      </c>
      <c r="B9046" s="14">
        <f t="shared" si="1"/>
        <v>0.1271208499</v>
      </c>
      <c r="C9046" s="39">
        <f t="array" ref="C9046">NPV(B9046,FCFF!$C$9:$I$9)+FCFF!$B$9+FCFF!$I$9*(1+Inputs!$B$6)/(B9046-Inputs!$B$6)/(1+B9046)^7</f>
        <v>-1932.444093</v>
      </c>
    </row>
    <row r="9047" ht="14.25" customHeight="1">
      <c r="A9047" s="7">
        <v>9034.0</v>
      </c>
      <c r="B9047" s="14">
        <f t="shared" si="1"/>
        <v>0.1271353997</v>
      </c>
      <c r="C9047" s="39">
        <f t="array" ref="C9047">NPV(B9047,FCFF!$C$9:$I$9)+FCFF!$B$9+FCFF!$I$9*(1+Inputs!$B$6)/(B9047-Inputs!$B$6)/(1+B9047)^7</f>
        <v>-1932.652519</v>
      </c>
    </row>
    <row r="9048" ht="14.25" customHeight="1">
      <c r="A9048" s="7">
        <v>9035.0</v>
      </c>
      <c r="B9048" s="14">
        <f t="shared" si="1"/>
        <v>0.1129318137</v>
      </c>
      <c r="C9048" s="39">
        <f t="array" ref="C9048">NPV(B9048,FCFF!$C$9:$I$9)+FCFF!$B$9+FCFF!$I$9*(1+Inputs!$B$6)/(B9048-Inputs!$B$6)/(1+B9048)^7</f>
        <v>-1691.868312</v>
      </c>
    </row>
    <row r="9049" ht="14.25" customHeight="1">
      <c r="A9049" s="7">
        <v>9036.0</v>
      </c>
      <c r="B9049" s="14">
        <f t="shared" si="1"/>
        <v>0.09392370546</v>
      </c>
      <c r="C9049" s="39">
        <f t="array" ref="C9049">NPV(B9049,FCFF!$C$9:$I$9)+FCFF!$B$9+FCFF!$I$9*(1+Inputs!$B$6)/(B9049-Inputs!$B$6)/(1+B9049)^7</f>
        <v>-1195.282501</v>
      </c>
    </row>
    <row r="9050" ht="14.25" customHeight="1">
      <c r="A9050" s="7">
        <v>9037.0</v>
      </c>
      <c r="B9050" s="14">
        <f t="shared" si="1"/>
        <v>0.1159792035</v>
      </c>
      <c r="C9050" s="39">
        <f t="array" ref="C9050">NPV(B9050,FCFF!$C$9:$I$9)+FCFF!$B$9+FCFF!$I$9*(1+Inputs!$B$6)/(B9050-Inputs!$B$6)/(1+B9050)^7</f>
        <v>-1750.610046</v>
      </c>
    </row>
    <row r="9051" ht="14.25" customHeight="1">
      <c r="A9051" s="7">
        <v>9038.0</v>
      </c>
      <c r="B9051" s="14">
        <f t="shared" si="1"/>
        <v>0.1324159433</v>
      </c>
      <c r="C9051" s="39">
        <f t="array" ref="C9051">NPV(B9051,FCFF!$C$9:$I$9)+FCFF!$B$9+FCFF!$I$9*(1+Inputs!$B$6)/(B9051-Inputs!$B$6)/(1+B9051)^7</f>
        <v>-2004.07636</v>
      </c>
    </row>
    <row r="9052" ht="14.25" customHeight="1">
      <c r="A9052" s="7">
        <v>9039.0</v>
      </c>
      <c r="B9052" s="14">
        <f t="shared" si="1"/>
        <v>0.1202153002</v>
      </c>
      <c r="C9052" s="39">
        <f t="array" ref="C9052">NPV(B9052,FCFF!$C$9:$I$9)+FCFF!$B$9+FCFF!$I$9*(1+Inputs!$B$6)/(B9052-Inputs!$B$6)/(1+B9052)^7</f>
        <v>-1825.363502</v>
      </c>
    </row>
    <row r="9053" ht="14.25" customHeight="1">
      <c r="A9053" s="7">
        <v>9040.0</v>
      </c>
      <c r="B9053" s="14">
        <f t="shared" si="1"/>
        <v>0.1283056139</v>
      </c>
      <c r="C9053" s="39">
        <f t="array" ref="C9053">NPV(B9053,FCFF!$C$9:$I$9)+FCFF!$B$9+FCFF!$I$9*(1+Inputs!$B$6)/(B9053-Inputs!$B$6)/(1+B9053)^7</f>
        <v>-1949.198114</v>
      </c>
    </row>
    <row r="9054" ht="14.25" customHeight="1">
      <c r="A9054" s="7">
        <v>9041.0</v>
      </c>
      <c r="B9054" s="14">
        <f t="shared" si="1"/>
        <v>0.1129646696</v>
      </c>
      <c r="C9054" s="39">
        <f t="array" ref="C9054">NPV(B9054,FCFF!$C$9:$I$9)+FCFF!$B$9+FCFF!$I$9*(1+Inputs!$B$6)/(B9054-Inputs!$B$6)/(1+B9054)^7</f>
        <v>-1692.525658</v>
      </c>
    </row>
    <row r="9055" ht="14.25" customHeight="1">
      <c r="A9055" s="7">
        <v>9042.0</v>
      </c>
      <c r="B9055" s="14">
        <f t="shared" si="1"/>
        <v>0.1185266561</v>
      </c>
      <c r="C9055" s="39">
        <f t="array" ref="C9055">NPV(B9055,FCFF!$C$9:$I$9)+FCFF!$B$9+FCFF!$I$9*(1+Inputs!$B$6)/(B9055-Inputs!$B$6)/(1+B9055)^7</f>
        <v>-1796.468133</v>
      </c>
    </row>
    <row r="9056" ht="14.25" customHeight="1">
      <c r="A9056" s="7">
        <v>9043.0</v>
      </c>
      <c r="B9056" s="14">
        <f t="shared" si="1"/>
        <v>0.09497004782</v>
      </c>
      <c r="C9056" s="39">
        <f t="array" ref="C9056">NPV(B9056,FCFF!$C$9:$I$9)+FCFF!$B$9+FCFF!$I$9*(1+Inputs!$B$6)/(B9056-Inputs!$B$6)/(1+B9056)^7</f>
        <v>-1230.229756</v>
      </c>
    </row>
    <row r="9057" ht="14.25" customHeight="1">
      <c r="A9057" s="7">
        <v>9044.0</v>
      </c>
      <c r="B9057" s="14">
        <f t="shared" si="1"/>
        <v>0.1203299647</v>
      </c>
      <c r="C9057" s="39">
        <f t="array" ref="C9057">NPV(B9057,FCFF!$C$9:$I$9)+FCFF!$B$9+FCFF!$I$9*(1+Inputs!$B$6)/(B9057-Inputs!$B$6)/(1+B9057)^7</f>
        <v>-1827.284168</v>
      </c>
    </row>
    <row r="9058" ht="14.25" customHeight="1">
      <c r="A9058" s="7">
        <v>9045.0</v>
      </c>
      <c r="B9058" s="14">
        <f t="shared" si="1"/>
        <v>0.1329878806</v>
      </c>
      <c r="C9058" s="39">
        <f t="array" ref="C9058">NPV(B9058,FCFF!$C$9:$I$9)+FCFF!$B$9+FCFF!$I$9*(1+Inputs!$B$6)/(B9058-Inputs!$B$6)/(1+B9058)^7</f>
        <v>-2011.335171</v>
      </c>
    </row>
    <row r="9059" ht="14.25" customHeight="1">
      <c r="A9059" s="7">
        <v>9046.0</v>
      </c>
      <c r="B9059" s="14">
        <f t="shared" si="1"/>
        <v>0.1239432413</v>
      </c>
      <c r="C9059" s="39">
        <f t="array" ref="C9059">NPV(B9059,FCFF!$C$9:$I$9)+FCFF!$B$9+FCFF!$I$9*(1+Inputs!$B$6)/(B9059-Inputs!$B$6)/(1+B9059)^7</f>
        <v>-1885.259628</v>
      </c>
    </row>
    <row r="9060" ht="14.25" customHeight="1">
      <c r="A9060" s="7">
        <v>9047.0</v>
      </c>
      <c r="B9060" s="14">
        <f t="shared" si="1"/>
        <v>0.1207065018</v>
      </c>
      <c r="C9060" s="39">
        <f t="array" ref="C9060">NPV(B9060,FCFF!$C$9:$I$9)+FCFF!$B$9+FCFF!$I$9*(1+Inputs!$B$6)/(B9060-Inputs!$B$6)/(1+B9060)^7</f>
        <v>-1833.555091</v>
      </c>
    </row>
    <row r="9061" ht="14.25" customHeight="1">
      <c r="A9061" s="7">
        <v>9048.0</v>
      </c>
      <c r="B9061" s="14">
        <f t="shared" si="1"/>
        <v>0.1138102506</v>
      </c>
      <c r="C9061" s="39">
        <f t="array" ref="C9061">NPV(B9061,FCFF!$C$9:$I$9)+FCFF!$B$9+FCFF!$I$9*(1+Inputs!$B$6)/(B9061-Inputs!$B$6)/(1+B9061)^7</f>
        <v>-1709.258602</v>
      </c>
    </row>
    <row r="9062" ht="14.25" customHeight="1">
      <c r="A9062" s="7">
        <v>9049.0</v>
      </c>
      <c r="B9062" s="14">
        <f t="shared" si="1"/>
        <v>0.1225412071</v>
      </c>
      <c r="C9062" s="39">
        <f t="array" ref="C9062">NPV(B9062,FCFF!$C$9:$I$9)+FCFF!$B$9+FCFF!$I$9*(1+Inputs!$B$6)/(B9062-Inputs!$B$6)/(1+B9062)^7</f>
        <v>-1863.336022</v>
      </c>
    </row>
    <row r="9063" ht="14.25" customHeight="1">
      <c r="A9063" s="7">
        <v>9050.0</v>
      </c>
      <c r="B9063" s="14">
        <f t="shared" si="1"/>
        <v>0.105518149</v>
      </c>
      <c r="C9063" s="39">
        <f t="array" ref="C9063">NPV(B9063,FCFF!$C$9:$I$9)+FCFF!$B$9+FCFF!$I$9*(1+Inputs!$B$6)/(B9063-Inputs!$B$6)/(1+B9063)^7</f>
        <v>-1528.3918</v>
      </c>
    </row>
    <row r="9064" ht="14.25" customHeight="1">
      <c r="A9064" s="7">
        <v>9051.0</v>
      </c>
      <c r="B9064" s="14">
        <f t="shared" si="1"/>
        <v>0.124884455</v>
      </c>
      <c r="C9064" s="39">
        <f t="array" ref="C9064">NPV(B9064,FCFF!$C$9:$I$9)+FCFF!$B$9+FCFF!$I$9*(1+Inputs!$B$6)/(B9064-Inputs!$B$6)/(1+B9064)^7</f>
        <v>-1899.589245</v>
      </c>
    </row>
    <row r="9065" ht="14.25" customHeight="1">
      <c r="A9065" s="7">
        <v>9052.0</v>
      </c>
      <c r="B9065" s="14">
        <f t="shared" si="1"/>
        <v>0.1193650769</v>
      </c>
      <c r="C9065" s="39">
        <f t="array" ref="C9065">NPV(B9065,FCFF!$C$9:$I$9)+FCFF!$B$9+FCFF!$I$9*(1+Inputs!$B$6)/(B9065-Inputs!$B$6)/(1+B9065)^7</f>
        <v>-1810.959131</v>
      </c>
    </row>
    <row r="9066" ht="14.25" customHeight="1">
      <c r="A9066" s="7">
        <v>9053.0</v>
      </c>
      <c r="B9066" s="14">
        <f t="shared" si="1"/>
        <v>0.1124138355</v>
      </c>
      <c r="C9066" s="39">
        <f t="array" ref="C9066">NPV(B9066,FCFF!$C$9:$I$9)+FCFF!$B$9+FCFF!$I$9*(1+Inputs!$B$6)/(B9066-Inputs!$B$6)/(1+B9066)^7</f>
        <v>-1681.433102</v>
      </c>
    </row>
    <row r="9067" ht="14.25" customHeight="1">
      <c r="A9067" s="7">
        <v>9054.0</v>
      </c>
      <c r="B9067" s="14">
        <f t="shared" si="1"/>
        <v>0.1216650234</v>
      </c>
      <c r="C9067" s="39">
        <f t="array" ref="C9067">NPV(B9067,FCFF!$C$9:$I$9)+FCFF!$B$9+FCFF!$I$9*(1+Inputs!$B$6)/(B9067-Inputs!$B$6)/(1+B9067)^7</f>
        <v>-1849.271907</v>
      </c>
    </row>
    <row r="9068" ht="14.25" customHeight="1">
      <c r="A9068" s="7">
        <v>9055.0</v>
      </c>
      <c r="B9068" s="14">
        <f t="shared" si="1"/>
        <v>0.1229682466</v>
      </c>
      <c r="C9068" s="39">
        <f t="array" ref="C9068">NPV(B9068,FCFF!$C$9:$I$9)+FCFF!$B$9+FCFF!$I$9*(1+Inputs!$B$6)/(B9068-Inputs!$B$6)/(1+B9068)^7</f>
        <v>-1870.088375</v>
      </c>
    </row>
    <row r="9069" ht="14.25" customHeight="1">
      <c r="A9069" s="7">
        <v>9056.0</v>
      </c>
      <c r="B9069" s="14">
        <f t="shared" si="1"/>
        <v>0.1190283359</v>
      </c>
      <c r="C9069" s="39">
        <f t="array" ref="C9069">NPV(B9069,FCFF!$C$9:$I$9)+FCFF!$B$9+FCFF!$I$9*(1+Inputs!$B$6)/(B9069-Inputs!$B$6)/(1+B9069)^7</f>
        <v>-1805.173642</v>
      </c>
    </row>
    <row r="9070" ht="14.25" customHeight="1">
      <c r="A9070" s="7">
        <v>9057.0</v>
      </c>
      <c r="B9070" s="14">
        <f t="shared" si="1"/>
        <v>0.121301508</v>
      </c>
      <c r="C9070" s="39">
        <f t="array" ref="C9070">NPV(B9070,FCFF!$C$9:$I$9)+FCFF!$B$9+FCFF!$I$9*(1+Inputs!$B$6)/(B9070-Inputs!$B$6)/(1+B9070)^7</f>
        <v>-1843.352619</v>
      </c>
    </row>
    <row r="9071" ht="14.25" customHeight="1">
      <c r="A9071" s="7">
        <v>9058.0</v>
      </c>
      <c r="B9071" s="14">
        <f t="shared" si="1"/>
        <v>0.1298145808</v>
      </c>
      <c r="C9071" s="39">
        <f t="array" ref="C9071">NPV(B9071,FCFF!$C$9:$I$9)+FCFF!$B$9+FCFF!$I$9*(1+Inputs!$B$6)/(B9071-Inputs!$B$6)/(1+B9071)^7</f>
        <v>-1969.914978</v>
      </c>
    </row>
    <row r="9072" ht="14.25" customHeight="1">
      <c r="A9072" s="7">
        <v>9059.0</v>
      </c>
      <c r="B9072" s="14">
        <f t="shared" si="1"/>
        <v>0.09584549916</v>
      </c>
      <c r="C9072" s="39">
        <f t="array" ref="C9072">NPV(B9072,FCFF!$C$9:$I$9)+FCFF!$B$9+FCFF!$I$9*(1+Inputs!$B$6)/(B9072-Inputs!$B$6)/(1+B9072)^7</f>
        <v>-1258.621903</v>
      </c>
    </row>
    <row r="9073" ht="14.25" customHeight="1">
      <c r="A9073" s="7">
        <v>9060.0</v>
      </c>
      <c r="B9073" s="14">
        <f t="shared" si="1"/>
        <v>0.1046748733</v>
      </c>
      <c r="C9073" s="39">
        <f t="array" ref="C9073">NPV(B9073,FCFF!$C$9:$I$9)+FCFF!$B$9+FCFF!$I$9*(1+Inputs!$B$6)/(B9073-Inputs!$B$6)/(1+B9073)^7</f>
        <v>-1507.684263</v>
      </c>
    </row>
    <row r="9074" ht="14.25" customHeight="1">
      <c r="A9074" s="7">
        <v>9061.0</v>
      </c>
      <c r="B9074" s="14">
        <f t="shared" si="1"/>
        <v>0.09771936951</v>
      </c>
      <c r="C9074" s="39">
        <f t="array" ref="C9074">NPV(B9074,FCFF!$C$9:$I$9)+FCFF!$B$9+FCFF!$I$9*(1+Inputs!$B$6)/(B9074-Inputs!$B$6)/(1+B9074)^7</f>
        <v>-1316.935842</v>
      </c>
    </row>
    <row r="9075" ht="14.25" customHeight="1">
      <c r="A9075" s="7">
        <v>9062.0</v>
      </c>
      <c r="B9075" s="14">
        <f t="shared" si="1"/>
        <v>0.1016538876</v>
      </c>
      <c r="C9075" s="39">
        <f t="array" ref="C9075">NPV(B9075,FCFF!$C$9:$I$9)+FCFF!$B$9+FCFF!$I$9*(1+Inputs!$B$6)/(B9075-Inputs!$B$6)/(1+B9075)^7</f>
        <v>-1429.430467</v>
      </c>
    </row>
    <row r="9076" ht="14.25" customHeight="1">
      <c r="A9076" s="7">
        <v>9063.0</v>
      </c>
      <c r="B9076" s="14">
        <f t="shared" si="1"/>
        <v>0.119990484</v>
      </c>
      <c r="C9076" s="39">
        <f t="array" ref="C9076">NPV(B9076,FCFF!$C$9:$I$9)+FCFF!$B$9+FCFF!$I$9*(1+Inputs!$B$6)/(B9076-Inputs!$B$6)/(1+B9076)^7</f>
        <v>-1821.58271</v>
      </c>
    </row>
    <row r="9077" ht="14.25" customHeight="1">
      <c r="A9077" s="7">
        <v>9064.0</v>
      </c>
      <c r="B9077" s="14">
        <f t="shared" si="1"/>
        <v>0.1209025314</v>
      </c>
      <c r="C9077" s="39">
        <f t="array" ref="C9077">NPV(B9077,FCFF!$C$9:$I$9)+FCFF!$B$9+FCFF!$I$9*(1+Inputs!$B$6)/(B9077-Inputs!$B$6)/(1+B9077)^7</f>
        <v>-1836.798003</v>
      </c>
    </row>
    <row r="9078" ht="14.25" customHeight="1">
      <c r="A9078" s="7">
        <v>9065.0</v>
      </c>
      <c r="B9078" s="14">
        <f t="shared" si="1"/>
        <v>0.09813418336</v>
      </c>
      <c r="C9078" s="39">
        <f t="array" ref="C9078">NPV(B9078,FCFF!$C$9:$I$9)+FCFF!$B$9+FCFF!$I$9*(1+Inputs!$B$6)/(B9078-Inputs!$B$6)/(1+B9078)^7</f>
        <v>-1329.411401</v>
      </c>
    </row>
    <row r="9079" ht="14.25" customHeight="1">
      <c r="A9079" s="7">
        <v>9066.0</v>
      </c>
      <c r="B9079" s="14">
        <f t="shared" si="1"/>
        <v>0.1029812983</v>
      </c>
      <c r="C9079" s="39">
        <f t="array" ref="C9079">NPV(B9079,FCFF!$C$9:$I$9)+FCFF!$B$9+FCFF!$I$9*(1+Inputs!$B$6)/(B9079-Inputs!$B$6)/(1+B9079)^7</f>
        <v>-1464.624536</v>
      </c>
    </row>
    <row r="9080" ht="14.25" customHeight="1">
      <c r="A9080" s="7">
        <v>9067.0</v>
      </c>
      <c r="B9080" s="14">
        <f t="shared" si="1"/>
        <v>0.1183860495</v>
      </c>
      <c r="C9080" s="39">
        <f t="array" ref="C9080">NPV(B9080,FCFF!$C$9:$I$9)+FCFF!$B$9+FCFF!$I$9*(1+Inputs!$B$6)/(B9080-Inputs!$B$6)/(1+B9080)^7</f>
        <v>-1794.009513</v>
      </c>
    </row>
    <row r="9081" ht="14.25" customHeight="1">
      <c r="A9081" s="7">
        <v>9068.0</v>
      </c>
      <c r="B9081" s="14">
        <f t="shared" si="1"/>
        <v>0.1094567313</v>
      </c>
      <c r="C9081" s="39">
        <f t="array" ref="C9081">NPV(B9081,FCFF!$C$9:$I$9)+FCFF!$B$9+FCFF!$I$9*(1+Inputs!$B$6)/(B9081-Inputs!$B$6)/(1+B9081)^7</f>
        <v>-1619.155028</v>
      </c>
    </row>
    <row r="9082" ht="14.25" customHeight="1">
      <c r="A9082" s="7">
        <v>9069.0</v>
      </c>
      <c r="B9082" s="14">
        <f t="shared" si="1"/>
        <v>0.09598998868</v>
      </c>
      <c r="C9082" s="39">
        <f t="array" ref="C9082">NPV(B9082,FCFF!$C$9:$I$9)+FCFF!$B$9+FCFF!$I$9*(1+Inputs!$B$6)/(B9082-Inputs!$B$6)/(1+B9082)^7</f>
        <v>-1263.235855</v>
      </c>
    </row>
    <row r="9083" ht="14.25" customHeight="1">
      <c r="A9083" s="7">
        <v>9070.0</v>
      </c>
      <c r="B9083" s="14">
        <f t="shared" si="1"/>
        <v>0.1045796546</v>
      </c>
      <c r="C9083" s="39">
        <f t="array" ref="C9083">NPV(B9083,FCFF!$C$9:$I$9)+FCFF!$B$9+FCFF!$I$9*(1+Inputs!$B$6)/(B9083-Inputs!$B$6)/(1+B9083)^7</f>
        <v>-1505.316067</v>
      </c>
    </row>
    <row r="9084" ht="14.25" customHeight="1">
      <c r="A9084" s="7">
        <v>9071.0</v>
      </c>
      <c r="B9084" s="14">
        <f t="shared" si="1"/>
        <v>0.09510081903</v>
      </c>
      <c r="C9084" s="39">
        <f t="array" ref="C9084">NPV(B9084,FCFF!$C$9:$I$9)+FCFF!$B$9+FCFF!$I$9*(1+Inputs!$B$6)/(B9084-Inputs!$B$6)/(1+B9084)^7</f>
        <v>-1234.519076</v>
      </c>
    </row>
    <row r="9085" ht="14.25" customHeight="1">
      <c r="A9085" s="7">
        <v>9072.0</v>
      </c>
      <c r="B9085" s="14">
        <f t="shared" si="1"/>
        <v>0.09497910994</v>
      </c>
      <c r="C9085" s="39">
        <f t="array" ref="C9085">NPV(B9085,FCFF!$C$9:$I$9)+FCFF!$B$9+FCFF!$I$9*(1+Inputs!$B$6)/(B9085-Inputs!$B$6)/(1+B9085)^7</f>
        <v>-1230.527548</v>
      </c>
    </row>
    <row r="9086" ht="14.25" customHeight="1">
      <c r="A9086" s="7">
        <v>9073.0</v>
      </c>
      <c r="B9086" s="14">
        <f t="shared" si="1"/>
        <v>0.09930908059</v>
      </c>
      <c r="C9086" s="39">
        <f t="array" ref="C9086">NPV(B9086,FCFF!$C$9:$I$9)+FCFF!$B$9+FCFF!$I$9*(1+Inputs!$B$6)/(B9086-Inputs!$B$6)/(1+B9086)^7</f>
        <v>-1363.934286</v>
      </c>
    </row>
    <row r="9087" ht="14.25" customHeight="1">
      <c r="A9087" s="7">
        <v>9074.0</v>
      </c>
      <c r="B9087" s="14">
        <f t="shared" si="1"/>
        <v>0.1063306483</v>
      </c>
      <c r="C9087" s="39">
        <f t="array" ref="C9087">NPV(B9087,FCFF!$C$9:$I$9)+FCFF!$B$9+FCFF!$I$9*(1+Inputs!$B$6)/(B9087-Inputs!$B$6)/(1+B9087)^7</f>
        <v>-1547.901817</v>
      </c>
    </row>
    <row r="9088" ht="14.25" customHeight="1">
      <c r="A9088" s="7">
        <v>9075.0</v>
      </c>
      <c r="B9088" s="14">
        <f t="shared" si="1"/>
        <v>0.1175512238</v>
      </c>
      <c r="C9088" s="39">
        <f t="array" ref="C9088">NPV(B9088,FCFF!$C$9:$I$9)+FCFF!$B$9+FCFF!$I$9*(1+Inputs!$B$6)/(B9088-Inputs!$B$6)/(1+B9088)^7</f>
        <v>-1779.240434</v>
      </c>
    </row>
    <row r="9089" ht="14.25" customHeight="1">
      <c r="A9089" s="7">
        <v>9076.0</v>
      </c>
      <c r="B9089" s="14">
        <f t="shared" si="1"/>
        <v>0.1108069953</v>
      </c>
      <c r="C9089" s="39">
        <f t="array" ref="C9089">NPV(B9089,FCFF!$C$9:$I$9)+FCFF!$B$9+FCFF!$I$9*(1+Inputs!$B$6)/(B9089-Inputs!$B$6)/(1+B9089)^7</f>
        <v>-1648.177539</v>
      </c>
    </row>
    <row r="9090" ht="14.25" customHeight="1">
      <c r="A9090" s="7">
        <v>9077.0</v>
      </c>
      <c r="B9090" s="14">
        <f t="shared" si="1"/>
        <v>0.1038080124</v>
      </c>
      <c r="C9090" s="39">
        <f t="array" ref="C9090">NPV(B9090,FCFF!$C$9:$I$9)+FCFF!$B$9+FCFF!$I$9*(1+Inputs!$B$6)/(B9090-Inputs!$B$6)/(1+B9090)^7</f>
        <v>-1485.894985</v>
      </c>
    </row>
    <row r="9091" ht="14.25" customHeight="1">
      <c r="A9091" s="7">
        <v>9078.0</v>
      </c>
      <c r="B9091" s="14">
        <f t="shared" si="1"/>
        <v>0.1088635431</v>
      </c>
      <c r="C9091" s="39">
        <f t="array" ref="C9091">NPV(B9091,FCFF!$C$9:$I$9)+FCFF!$B$9+FCFF!$I$9*(1+Inputs!$B$6)/(B9091-Inputs!$B$6)/(1+B9091)^7</f>
        <v>-1606.080724</v>
      </c>
    </row>
    <row r="9092" ht="14.25" customHeight="1">
      <c r="A9092" s="7">
        <v>9079.0</v>
      </c>
      <c r="B9092" s="14">
        <f t="shared" si="1"/>
        <v>0.09786069834</v>
      </c>
      <c r="C9092" s="39">
        <f t="array" ref="C9092">NPV(B9092,FCFF!$C$9:$I$9)+FCFF!$B$9+FCFF!$I$9*(1+Inputs!$B$6)/(B9092-Inputs!$B$6)/(1+B9092)^7</f>
        <v>-1321.203464</v>
      </c>
    </row>
    <row r="9093" ht="14.25" customHeight="1">
      <c r="A9093" s="7">
        <v>9080.0</v>
      </c>
      <c r="B9093" s="14">
        <f t="shared" si="1"/>
        <v>0.1187458588</v>
      </c>
      <c r="C9093" s="39">
        <f t="array" ref="C9093">NPV(B9093,FCFF!$C$9:$I$9)+FCFF!$B$9+FCFF!$I$9*(1+Inputs!$B$6)/(B9093-Inputs!$B$6)/(1+B9093)^7</f>
        <v>-1800.284676</v>
      </c>
    </row>
    <row r="9094" ht="14.25" customHeight="1">
      <c r="A9094" s="7">
        <v>9081.0</v>
      </c>
      <c r="B9094" s="14">
        <f t="shared" si="1"/>
        <v>0.1039761327</v>
      </c>
      <c r="C9094" s="39">
        <f t="array" ref="C9094">NPV(B9094,FCFF!$C$9:$I$9)+FCFF!$B$9+FCFF!$I$9*(1+Inputs!$B$6)/(B9094-Inputs!$B$6)/(1+B9094)^7</f>
        <v>-1490.161443</v>
      </c>
    </row>
    <row r="9095" ht="14.25" customHeight="1">
      <c r="A9095" s="7">
        <v>9082.0</v>
      </c>
      <c r="B9095" s="14">
        <f t="shared" si="1"/>
        <v>0.1153518</v>
      </c>
      <c r="C9095" s="39">
        <f t="array" ref="C9095">NPV(B9095,FCFF!$C$9:$I$9)+FCFF!$B$9+FCFF!$I$9*(1+Inputs!$B$6)/(B9095-Inputs!$B$6)/(1+B9095)^7</f>
        <v>-1738.8744</v>
      </c>
    </row>
    <row r="9096" ht="14.25" customHeight="1">
      <c r="A9096" s="7">
        <v>9083.0</v>
      </c>
      <c r="B9096" s="14">
        <f t="shared" si="1"/>
        <v>0.1183612284</v>
      </c>
      <c r="C9096" s="39">
        <f t="array" ref="C9096">NPV(B9096,FCFF!$C$9:$I$9)+FCFF!$B$9+FCFF!$I$9*(1+Inputs!$B$6)/(B9096-Inputs!$B$6)/(1+B9096)^7</f>
        <v>-1793.57464</v>
      </c>
    </row>
    <row r="9097" ht="14.25" customHeight="1">
      <c r="A9097" s="7">
        <v>9084.0</v>
      </c>
      <c r="B9097" s="14">
        <f t="shared" si="1"/>
        <v>0.1081821653</v>
      </c>
      <c r="C9097" s="39">
        <f t="array" ref="C9097">NPV(B9097,FCFF!$C$9:$I$9)+FCFF!$B$9+FCFF!$I$9*(1+Inputs!$B$6)/(B9097-Inputs!$B$6)/(1+B9097)^7</f>
        <v>-1590.810502</v>
      </c>
    </row>
    <row r="9098" ht="14.25" customHeight="1">
      <c r="A9098" s="7">
        <v>9085.0</v>
      </c>
      <c r="B9098" s="14">
        <f t="shared" si="1"/>
        <v>0.1263219732</v>
      </c>
      <c r="C9098" s="39">
        <f t="array" ref="C9098">NPV(B9098,FCFF!$C$9:$I$9)+FCFF!$B$9+FCFF!$I$9*(1+Inputs!$B$6)/(B9098-Inputs!$B$6)/(1+B9098)^7</f>
        <v>-1920.896039</v>
      </c>
    </row>
    <row r="9099" ht="14.25" customHeight="1">
      <c r="A9099" s="7">
        <v>9086.0</v>
      </c>
      <c r="B9099" s="14">
        <f t="shared" si="1"/>
        <v>0.130641437</v>
      </c>
      <c r="C9099" s="39">
        <f t="array" ref="C9099">NPV(B9099,FCFF!$C$9:$I$9)+FCFF!$B$9+FCFF!$I$9*(1+Inputs!$B$6)/(B9099-Inputs!$B$6)/(1+B9099)^7</f>
        <v>-1980.981654</v>
      </c>
    </row>
    <row r="9100" ht="14.25" customHeight="1">
      <c r="A9100" s="7">
        <v>9087.0</v>
      </c>
      <c r="B9100" s="14">
        <f t="shared" si="1"/>
        <v>0.1261652119</v>
      </c>
      <c r="C9100" s="39">
        <f t="array" ref="C9100">NPV(B9100,FCFF!$C$9:$I$9)+FCFF!$B$9+FCFF!$I$9*(1+Inputs!$B$6)/(B9100-Inputs!$B$6)/(1+B9100)^7</f>
        <v>-1918.605759</v>
      </c>
    </row>
    <row r="9101" ht="14.25" customHeight="1">
      <c r="A9101" s="7">
        <v>9088.0</v>
      </c>
      <c r="B9101" s="14">
        <f t="shared" si="1"/>
        <v>0.1275993688</v>
      </c>
      <c r="C9101" s="39">
        <f t="array" ref="C9101">NPV(B9101,FCFF!$C$9:$I$9)+FCFF!$B$9+FCFF!$I$9*(1+Inputs!$B$6)/(B9101-Inputs!$B$6)/(1+B9101)^7</f>
        <v>-1939.263778</v>
      </c>
    </row>
    <row r="9102" ht="14.25" customHeight="1">
      <c r="A9102" s="7">
        <v>9089.0</v>
      </c>
      <c r="B9102" s="14">
        <f t="shared" si="1"/>
        <v>0.1170006304</v>
      </c>
      <c r="C9102" s="39">
        <f t="array" ref="C9102">NPV(B9102,FCFF!$C$9:$I$9)+FCFF!$B$9+FCFF!$I$9*(1+Inputs!$B$6)/(B9102-Inputs!$B$6)/(1+B9102)^7</f>
        <v>-1769.336431</v>
      </c>
    </row>
    <row r="9103" ht="14.25" customHeight="1">
      <c r="A9103" s="7">
        <v>9090.0</v>
      </c>
      <c r="B9103" s="14">
        <f t="shared" si="1"/>
        <v>0.1257152662</v>
      </c>
      <c r="C9103" s="39">
        <f t="array" ref="C9103">NPV(B9103,FCFF!$C$9:$I$9)+FCFF!$B$9+FCFF!$I$9*(1+Inputs!$B$6)/(B9103-Inputs!$B$6)/(1+B9103)^7</f>
        <v>-1911.987268</v>
      </c>
    </row>
    <row r="9104" ht="14.25" customHeight="1">
      <c r="A9104" s="7">
        <v>9091.0</v>
      </c>
      <c r="B9104" s="14">
        <f t="shared" si="1"/>
        <v>0.127868435</v>
      </c>
      <c r="C9104" s="39">
        <f t="array" ref="C9104">NPV(B9104,FCFF!$C$9:$I$9)+FCFF!$B$9+FCFF!$I$9*(1+Inputs!$B$6)/(B9104-Inputs!$B$6)/(1+B9104)^7</f>
        <v>-1943.066828</v>
      </c>
    </row>
    <row r="9105" ht="14.25" customHeight="1">
      <c r="A9105" s="7">
        <v>9092.0</v>
      </c>
      <c r="B9105" s="14">
        <f t="shared" si="1"/>
        <v>0.1255051076</v>
      </c>
      <c r="C9105" s="39">
        <f t="array" ref="C9105">NPV(B9105,FCFF!$C$9:$I$9)+FCFF!$B$9+FCFF!$I$9*(1+Inputs!$B$6)/(B9105-Inputs!$B$6)/(1+B9105)^7</f>
        <v>-1908.872979</v>
      </c>
    </row>
    <row r="9106" ht="14.25" customHeight="1">
      <c r="A9106" s="7">
        <v>9093.0</v>
      </c>
      <c r="B9106" s="14">
        <f t="shared" si="1"/>
        <v>0.1102930774</v>
      </c>
      <c r="C9106" s="39">
        <f t="array" ref="C9106">NPV(B9106,FCFF!$C$9:$I$9)+FCFF!$B$9+FCFF!$I$9*(1+Inputs!$B$6)/(B9106-Inputs!$B$6)/(1+B9106)^7</f>
        <v>-1637.250282</v>
      </c>
    </row>
    <row r="9107" ht="14.25" customHeight="1">
      <c r="A9107" s="7">
        <v>9094.0</v>
      </c>
      <c r="B9107" s="14">
        <f t="shared" si="1"/>
        <v>0.1125674842</v>
      </c>
      <c r="C9107" s="39">
        <f t="array" ref="C9107">NPV(B9107,FCFF!$C$9:$I$9)+FCFF!$B$9+FCFF!$I$9*(1+Inputs!$B$6)/(B9107-Inputs!$B$6)/(1+B9107)^7</f>
        <v>-1684.542714</v>
      </c>
    </row>
    <row r="9108" ht="14.25" customHeight="1">
      <c r="A9108" s="7">
        <v>9095.0</v>
      </c>
      <c r="B9108" s="14">
        <f t="shared" si="1"/>
        <v>0.1078277575</v>
      </c>
      <c r="C9108" s="39">
        <f t="array" ref="C9108">NPV(B9108,FCFF!$C$9:$I$9)+FCFF!$B$9+FCFF!$I$9*(1+Inputs!$B$6)/(B9108-Inputs!$B$6)/(1+B9108)^7</f>
        <v>-1582.75923</v>
      </c>
    </row>
    <row r="9109" ht="14.25" customHeight="1">
      <c r="A9109" s="7">
        <v>9096.0</v>
      </c>
      <c r="B9109" s="14">
        <f t="shared" si="1"/>
        <v>0.117972974</v>
      </c>
      <c r="C9109" s="39">
        <f t="array" ref="C9109">NPV(B9109,FCFF!$C$9:$I$9)+FCFF!$B$9+FCFF!$I$9*(1+Inputs!$B$6)/(B9109-Inputs!$B$6)/(1+B9109)^7</f>
        <v>-1786.738615</v>
      </c>
    </row>
    <row r="9110" ht="14.25" customHeight="1">
      <c r="A9110" s="7">
        <v>9097.0</v>
      </c>
      <c r="B9110" s="14">
        <f t="shared" si="1"/>
        <v>0.1049161755</v>
      </c>
      <c r="C9110" s="39">
        <f t="array" ref="C9110">NPV(B9110,FCFF!$C$9:$I$9)+FCFF!$B$9+FCFF!$I$9*(1+Inputs!$B$6)/(B9110-Inputs!$B$6)/(1+B9110)^7</f>
        <v>-1513.658252</v>
      </c>
    </row>
    <row r="9111" ht="14.25" customHeight="1">
      <c r="A9111" s="7">
        <v>9098.0</v>
      </c>
      <c r="B9111" s="14">
        <f t="shared" si="1"/>
        <v>0.1078833841</v>
      </c>
      <c r="C9111" s="39">
        <f t="array" ref="C9111">NPV(B9111,FCFF!$C$9:$I$9)+FCFF!$B$9+FCFF!$I$9*(1+Inputs!$B$6)/(B9111-Inputs!$B$6)/(1+B9111)^7</f>
        <v>-1584.027909</v>
      </c>
    </row>
    <row r="9112" ht="14.25" customHeight="1">
      <c r="A9112" s="7">
        <v>9099.0</v>
      </c>
      <c r="B9112" s="14">
        <f t="shared" si="1"/>
        <v>0.1320899397</v>
      </c>
      <c r="C9112" s="39">
        <f t="array" ref="C9112">NPV(B9112,FCFF!$C$9:$I$9)+FCFF!$B$9+FCFF!$I$9*(1+Inputs!$B$6)/(B9112-Inputs!$B$6)/(1+B9112)^7</f>
        <v>-1999.899095</v>
      </c>
    </row>
    <row r="9113" ht="14.25" customHeight="1">
      <c r="A9113" s="7">
        <v>9100.0</v>
      </c>
      <c r="B9113" s="14">
        <f t="shared" si="1"/>
        <v>0.1164475309</v>
      </c>
      <c r="C9113" s="39">
        <f t="array" ref="C9113">NPV(B9113,FCFF!$C$9:$I$9)+FCFF!$B$9+FCFF!$I$9*(1+Inputs!$B$6)/(B9113-Inputs!$B$6)/(1+B9113)^7</f>
        <v>-1759.253811</v>
      </c>
    </row>
    <row r="9114" ht="14.25" customHeight="1">
      <c r="A9114" s="7">
        <v>9101.0</v>
      </c>
      <c r="B9114" s="14">
        <f t="shared" si="1"/>
        <v>0.1218999561</v>
      </c>
      <c r="C9114" s="39">
        <f t="array" ref="C9114">NPV(B9114,FCFF!$C$9:$I$9)+FCFF!$B$9+FCFF!$I$9*(1+Inputs!$B$6)/(B9114-Inputs!$B$6)/(1+B9114)^7</f>
        <v>-1853.070946</v>
      </c>
    </row>
    <row r="9115" ht="14.25" customHeight="1">
      <c r="A9115" s="7">
        <v>9102.0</v>
      </c>
      <c r="B9115" s="14">
        <f t="shared" si="1"/>
        <v>0.09348927228</v>
      </c>
      <c r="C9115" s="39">
        <f t="array" ref="C9115">NPV(B9115,FCFF!$C$9:$I$9)+FCFF!$B$9+FCFF!$I$9*(1+Inputs!$B$6)/(B9115-Inputs!$B$6)/(1+B9115)^7</f>
        <v>-1180.437401</v>
      </c>
    </row>
    <row r="9116" ht="14.25" customHeight="1">
      <c r="A9116" s="7">
        <v>9103.0</v>
      </c>
      <c r="B9116" s="14">
        <f t="shared" si="1"/>
        <v>0.1249308151</v>
      </c>
      <c r="C9116" s="39">
        <f t="array" ref="C9116">NPV(B9116,FCFF!$C$9:$I$9)+FCFF!$B$9+FCFF!$I$9*(1+Inputs!$B$6)/(B9116-Inputs!$B$6)/(1+B9116)^7</f>
        <v>-1900.287199</v>
      </c>
    </row>
    <row r="9117" ht="14.25" customHeight="1">
      <c r="A9117" s="7">
        <v>9104.0</v>
      </c>
      <c r="B9117" s="14">
        <f t="shared" si="1"/>
        <v>0.1221565819</v>
      </c>
      <c r="C9117" s="39">
        <f t="array" ref="C9117">NPV(B9117,FCFF!$C$9:$I$9)+FCFF!$B$9+FCFF!$I$9*(1+Inputs!$B$6)/(B9117-Inputs!$B$6)/(1+B9117)^7</f>
        <v>-1857.197237</v>
      </c>
    </row>
    <row r="9118" ht="14.25" customHeight="1">
      <c r="A9118" s="7">
        <v>9105.0</v>
      </c>
      <c r="B9118" s="14">
        <f t="shared" si="1"/>
        <v>0.1307765509</v>
      </c>
      <c r="C9118" s="39">
        <f t="array" ref="C9118">NPV(B9118,FCFF!$C$9:$I$9)+FCFF!$B$9+FCFF!$I$9*(1+Inputs!$B$6)/(B9118-Inputs!$B$6)/(1+B9118)^7</f>
        <v>-1982.771277</v>
      </c>
    </row>
    <row r="9119" ht="14.25" customHeight="1">
      <c r="A9119" s="7">
        <v>9106.0</v>
      </c>
      <c r="B9119" s="14">
        <f t="shared" si="1"/>
        <v>0.1073580049</v>
      </c>
      <c r="C9119" s="39">
        <f t="array" ref="C9119">NPV(B9119,FCFF!$C$9:$I$9)+FCFF!$B$9+FCFF!$I$9*(1+Inputs!$B$6)/(B9119-Inputs!$B$6)/(1+B9119)^7</f>
        <v>-1571.970832</v>
      </c>
    </row>
    <row r="9120" ht="14.25" customHeight="1">
      <c r="A9120" s="7">
        <v>9107.0</v>
      </c>
      <c r="B9120" s="14">
        <f t="shared" si="1"/>
        <v>0.0960968724</v>
      </c>
      <c r="C9120" s="39">
        <f t="array" ref="C9120">NPV(B9120,FCFF!$C$9:$I$9)+FCFF!$B$9+FCFF!$I$9*(1+Inputs!$B$6)/(B9120-Inputs!$B$6)/(1+B9120)^7</f>
        <v>-1266.636024</v>
      </c>
    </row>
    <row r="9121" ht="14.25" customHeight="1">
      <c r="A9121" s="7">
        <v>9108.0</v>
      </c>
      <c r="B9121" s="14">
        <f t="shared" si="1"/>
        <v>0.1224199856</v>
      </c>
      <c r="C9121" s="39">
        <f t="array" ref="C9121">NPV(B9121,FCFF!$C$9:$I$9)+FCFF!$B$9+FCFF!$I$9*(1+Inputs!$B$6)/(B9121-Inputs!$B$6)/(1+B9121)^7</f>
        <v>-1861.407148</v>
      </c>
    </row>
    <row r="9122" ht="14.25" customHeight="1">
      <c r="A9122" s="7">
        <v>9109.0</v>
      </c>
      <c r="B9122" s="14">
        <f t="shared" si="1"/>
        <v>0.1100829765</v>
      </c>
      <c r="C9122" s="39">
        <f t="array" ref="C9122">NPV(B9122,FCFF!$C$9:$I$9)+FCFF!$B$9+FCFF!$I$9*(1+Inputs!$B$6)/(B9122-Inputs!$B$6)/(1+B9122)^7</f>
        <v>-1632.741225</v>
      </c>
    </row>
    <row r="9123" ht="14.25" customHeight="1">
      <c r="A9123" s="7">
        <v>9110.0</v>
      </c>
      <c r="B9123" s="14">
        <f t="shared" si="1"/>
        <v>0.121025839</v>
      </c>
      <c r="C9123" s="39">
        <f t="array" ref="C9123">NPV(B9123,FCFF!$C$9:$I$9)+FCFF!$B$9+FCFF!$I$9*(1+Inputs!$B$6)/(B9123-Inputs!$B$6)/(1+B9123)^7</f>
        <v>-1838.830284</v>
      </c>
    </row>
    <row r="9124" ht="14.25" customHeight="1">
      <c r="A9124" s="7">
        <v>9111.0</v>
      </c>
      <c r="B9124" s="14">
        <f t="shared" si="1"/>
        <v>0.1142240876</v>
      </c>
      <c r="C9124" s="39">
        <f t="array" ref="C9124">NPV(B9124,FCFF!$C$9:$I$9)+FCFF!$B$9+FCFF!$I$9*(1+Inputs!$B$6)/(B9124-Inputs!$B$6)/(1+B9124)^7</f>
        <v>-1717.320304</v>
      </c>
    </row>
    <row r="9125" ht="14.25" customHeight="1">
      <c r="A9125" s="7">
        <v>9112.0</v>
      </c>
      <c r="B9125" s="14">
        <f t="shared" si="1"/>
        <v>0.1293396519</v>
      </c>
      <c r="C9125" s="39">
        <f t="array" ref="C9125">NPV(B9125,FCFF!$C$9:$I$9)+FCFF!$B$9+FCFF!$I$9*(1+Inputs!$B$6)/(B9125-Inputs!$B$6)/(1+B9125)^7</f>
        <v>-1963.468086</v>
      </c>
    </row>
    <row r="9126" ht="14.25" customHeight="1">
      <c r="A9126" s="7">
        <v>9113.0</v>
      </c>
      <c r="B9126" s="14">
        <f t="shared" si="1"/>
        <v>0.09368777577</v>
      </c>
      <c r="C9126" s="39">
        <f t="array" ref="C9126">NPV(B9126,FCFF!$C$9:$I$9)+FCFF!$B$9+FCFF!$I$9*(1+Inputs!$B$6)/(B9126-Inputs!$B$6)/(1+B9126)^7</f>
        <v>-1187.24537</v>
      </c>
    </row>
    <row r="9127" ht="14.25" customHeight="1">
      <c r="A9127" s="7">
        <v>9114.0</v>
      </c>
      <c r="B9127" s="14">
        <f t="shared" si="1"/>
        <v>0.0975966394</v>
      </c>
      <c r="C9127" s="39">
        <f t="array" ref="C9127">NPV(B9127,FCFF!$C$9:$I$9)+FCFF!$B$9+FCFF!$I$9*(1+Inputs!$B$6)/(B9127-Inputs!$B$6)/(1+B9127)^7</f>
        <v>-1313.215351</v>
      </c>
    </row>
    <row r="9128" ht="14.25" customHeight="1">
      <c r="A9128" s="7">
        <v>9115.0</v>
      </c>
      <c r="B9128" s="14">
        <f t="shared" si="1"/>
        <v>0.1055416795</v>
      </c>
      <c r="C9128" s="39">
        <f t="array" ref="C9128">NPV(B9128,FCFF!$C$9:$I$9)+FCFF!$B$9+FCFF!$I$9*(1+Inputs!$B$6)/(B9128-Inputs!$B$6)/(1+B9128)^7</f>
        <v>-1528.962854</v>
      </c>
    </row>
    <row r="9129" ht="14.25" customHeight="1">
      <c r="A9129" s="7">
        <v>9116.0</v>
      </c>
      <c r="B9129" s="14">
        <f t="shared" si="1"/>
        <v>0.1228006305</v>
      </c>
      <c r="C9129" s="39">
        <f t="array" ref="C9129">NPV(B9129,FCFF!$C$9:$I$9)+FCFF!$B$9+FCFF!$I$9*(1+Inputs!$B$6)/(B9129-Inputs!$B$6)/(1+B9129)^7</f>
        <v>-1867.445926</v>
      </c>
    </row>
    <row r="9130" ht="14.25" customHeight="1">
      <c r="A9130" s="7">
        <v>9117.0</v>
      </c>
      <c r="B9130" s="14">
        <f t="shared" si="1"/>
        <v>0.1262093463</v>
      </c>
      <c r="C9130" s="39">
        <f t="array" ref="C9130">NPV(B9130,FCFF!$C$9:$I$9)+FCFF!$B$9+FCFF!$I$9*(1+Inputs!$B$6)/(B9130-Inputs!$B$6)/(1+B9130)^7</f>
        <v>-1919.251373</v>
      </c>
    </row>
    <row r="9131" ht="14.25" customHeight="1">
      <c r="A9131" s="7">
        <v>9118.0</v>
      </c>
      <c r="B9131" s="14">
        <f t="shared" si="1"/>
        <v>0.09907976795</v>
      </c>
      <c r="C9131" s="39">
        <f t="array" ref="C9131">NPV(B9131,FCFF!$C$9:$I$9)+FCFF!$B$9+FCFF!$I$9*(1+Inputs!$B$6)/(B9131-Inputs!$B$6)/(1+B9131)^7</f>
        <v>-1357.288769</v>
      </c>
    </row>
    <row r="9132" ht="14.25" customHeight="1">
      <c r="A9132" s="7">
        <v>9119.0</v>
      </c>
      <c r="B9132" s="14">
        <f t="shared" si="1"/>
        <v>0.1268512548</v>
      </c>
      <c r="C9132" s="39">
        <f t="array" ref="C9132">NPV(B9132,FCFF!$C$9:$I$9)+FCFF!$B$9+FCFF!$I$9*(1+Inputs!$B$6)/(B9132-Inputs!$B$6)/(1+B9132)^7</f>
        <v>-1928.569924</v>
      </c>
    </row>
    <row r="9133" ht="14.25" customHeight="1">
      <c r="A9133" s="7">
        <v>9120.0</v>
      </c>
      <c r="B9133" s="14">
        <f t="shared" si="1"/>
        <v>0.09740856259</v>
      </c>
      <c r="C9133" s="39">
        <f t="array" ref="C9133">NPV(B9133,FCFF!$C$9:$I$9)+FCFF!$B$9+FCFF!$I$9*(1+Inputs!$B$6)/(B9133-Inputs!$B$6)/(1+B9133)^7</f>
        <v>-1307.487623</v>
      </c>
    </row>
    <row r="9134" ht="14.25" customHeight="1">
      <c r="A9134" s="7">
        <v>9121.0</v>
      </c>
      <c r="B9134" s="14">
        <f t="shared" si="1"/>
        <v>0.1288015798</v>
      </c>
      <c r="C9134" s="39">
        <f t="array" ref="C9134">NPV(B9134,FCFF!$C$9:$I$9)+FCFF!$B$9+FCFF!$I$9*(1+Inputs!$B$6)/(B9134-Inputs!$B$6)/(1+B9134)^7</f>
        <v>-1956.082895</v>
      </c>
    </row>
    <row r="9135" ht="14.25" customHeight="1">
      <c r="A9135" s="7">
        <v>9122.0</v>
      </c>
      <c r="B9135" s="14">
        <f t="shared" si="1"/>
        <v>0.1226283113</v>
      </c>
      <c r="C9135" s="39">
        <f t="array" ref="C9135">NPV(B9135,FCFF!$C$9:$I$9)+FCFF!$B$9+FCFF!$I$9*(1+Inputs!$B$6)/(B9135-Inputs!$B$6)/(1+B9135)^7</f>
        <v>-1864.718702</v>
      </c>
    </row>
    <row r="9136" ht="14.25" customHeight="1">
      <c r="A9136" s="7">
        <v>9123.0</v>
      </c>
      <c r="B9136" s="14">
        <f t="shared" si="1"/>
        <v>0.1179046568</v>
      </c>
      <c r="C9136" s="39">
        <f t="array" ref="C9136">NPV(B9136,FCFF!$C$9:$I$9)+FCFF!$B$9+FCFF!$I$9*(1+Inputs!$B$6)/(B9136-Inputs!$B$6)/(1+B9136)^7</f>
        <v>-1785.529164</v>
      </c>
    </row>
    <row r="9137" ht="14.25" customHeight="1">
      <c r="A9137" s="7">
        <v>9124.0</v>
      </c>
      <c r="B9137" s="14">
        <f t="shared" si="1"/>
        <v>0.1069340202</v>
      </c>
      <c r="C9137" s="39">
        <f t="array" ref="C9137">NPV(B9137,FCFF!$C$9:$I$9)+FCFF!$B$9+FCFF!$I$9*(1+Inputs!$B$6)/(B9137-Inputs!$B$6)/(1+B9137)^7</f>
        <v>-1562.117488</v>
      </c>
    </row>
    <row r="9138" ht="14.25" customHeight="1">
      <c r="A9138" s="7">
        <v>9125.0</v>
      </c>
      <c r="B9138" s="14">
        <f t="shared" si="1"/>
        <v>0.1208402729</v>
      </c>
      <c r="C9138" s="39">
        <f t="array" ref="C9138">NPV(B9138,FCFF!$C$9:$I$9)+FCFF!$B$9+FCFF!$I$9*(1+Inputs!$B$6)/(B9138-Inputs!$B$6)/(1+B9138)^7</f>
        <v>-1835.769671</v>
      </c>
    </row>
    <row r="9139" ht="14.25" customHeight="1">
      <c r="A9139" s="7">
        <v>9126.0</v>
      </c>
      <c r="B9139" s="14">
        <f t="shared" si="1"/>
        <v>0.1323146088</v>
      </c>
      <c r="C9139" s="39">
        <f t="array" ref="C9139">NPV(B9139,FCFF!$C$9:$I$9)+FCFF!$B$9+FCFF!$I$9*(1+Inputs!$B$6)/(B9139-Inputs!$B$6)/(1+B9139)^7</f>
        <v>-2002.781016</v>
      </c>
    </row>
    <row r="9140" ht="14.25" customHeight="1">
      <c r="A9140" s="7">
        <v>9127.0</v>
      </c>
      <c r="B9140" s="14">
        <f t="shared" si="1"/>
        <v>0.1206865892</v>
      </c>
      <c r="C9140" s="39">
        <f t="array" ref="C9140">NPV(B9140,FCFF!$C$9:$I$9)+FCFF!$B$9+FCFF!$I$9*(1+Inputs!$B$6)/(B9140-Inputs!$B$6)/(1+B9140)^7</f>
        <v>-1833.224845</v>
      </c>
    </row>
    <row r="9141" ht="14.25" customHeight="1">
      <c r="A9141" s="7">
        <v>9128.0</v>
      </c>
      <c r="B9141" s="14">
        <f t="shared" si="1"/>
        <v>0.1300296322</v>
      </c>
      <c r="C9141" s="39">
        <f t="array" ref="C9141">NPV(B9141,FCFF!$C$9:$I$9)+FCFF!$B$9+FCFF!$I$9*(1+Inputs!$B$6)/(B9141-Inputs!$B$6)/(1+B9141)^7</f>
        <v>-1972.812348</v>
      </c>
    </row>
    <row r="9142" ht="14.25" customHeight="1">
      <c r="A9142" s="7">
        <v>9129.0</v>
      </c>
      <c r="B9142" s="14">
        <f t="shared" si="1"/>
        <v>0.0935515577</v>
      </c>
      <c r="C9142" s="39">
        <f t="array" ref="C9142">NPV(B9142,FCFF!$C$9:$I$9)+FCFF!$B$9+FCFF!$I$9*(1+Inputs!$B$6)/(B9142-Inputs!$B$6)/(1+B9142)^7</f>
        <v>-1182.578101</v>
      </c>
    </row>
    <row r="9143" ht="14.25" customHeight="1">
      <c r="A9143" s="7">
        <v>9130.0</v>
      </c>
      <c r="B9143" s="14">
        <f t="shared" si="1"/>
        <v>0.1164003605</v>
      </c>
      <c r="C9143" s="39">
        <f t="array" ref="C9143">NPV(B9143,FCFF!$C$9:$I$9)+FCFF!$B$9+FCFF!$I$9*(1+Inputs!$B$6)/(B9143-Inputs!$B$6)/(1+B9143)^7</f>
        <v>-1758.387655</v>
      </c>
    </row>
    <row r="9144" ht="14.25" customHeight="1">
      <c r="A9144" s="7">
        <v>9131.0</v>
      </c>
      <c r="B9144" s="14">
        <f t="shared" si="1"/>
        <v>0.121740966</v>
      </c>
      <c r="C9144" s="39">
        <f t="array" ref="C9144">NPV(B9144,FCFF!$C$9:$I$9)+FCFF!$B$9+FCFF!$I$9*(1+Inputs!$B$6)/(B9144-Inputs!$B$6)/(1+B9144)^7</f>
        <v>-1850.50222</v>
      </c>
    </row>
    <row r="9145" ht="14.25" customHeight="1">
      <c r="A9145" s="7">
        <v>9132.0</v>
      </c>
      <c r="B9145" s="14">
        <f t="shared" si="1"/>
        <v>0.1074311592</v>
      </c>
      <c r="C9145" s="39">
        <f t="array" ref="C9145">NPV(B9145,FCFF!$C$9:$I$9)+FCFF!$B$9+FCFF!$I$9*(1+Inputs!$B$6)/(B9145-Inputs!$B$6)/(1+B9145)^7</f>
        <v>-1573.659734</v>
      </c>
    </row>
    <row r="9146" ht="14.25" customHeight="1">
      <c r="A9146" s="7">
        <v>9133.0</v>
      </c>
      <c r="B9146" s="14">
        <f t="shared" si="1"/>
        <v>0.1283814267</v>
      </c>
      <c r="C9146" s="39">
        <f t="array" ref="C9146">NPV(B9146,FCFF!$C$9:$I$9)+FCFF!$B$9+FCFF!$I$9*(1+Inputs!$B$6)/(B9146-Inputs!$B$6)/(1+B9146)^7</f>
        <v>-1950.255373</v>
      </c>
    </row>
    <row r="9147" ht="14.25" customHeight="1">
      <c r="A9147" s="7">
        <v>9134.0</v>
      </c>
      <c r="B9147" s="14">
        <f t="shared" si="1"/>
        <v>0.09962888861</v>
      </c>
      <c r="C9147" s="39">
        <f t="array" ref="C9147">NPV(B9147,FCFF!$C$9:$I$9)+FCFF!$B$9+FCFF!$I$9*(1+Inputs!$B$6)/(B9147-Inputs!$B$6)/(1+B9147)^7</f>
        <v>-1373.128936</v>
      </c>
    </row>
    <row r="9148" ht="14.25" customHeight="1">
      <c r="A9148" s="7">
        <v>9135.0</v>
      </c>
      <c r="B9148" s="14">
        <f t="shared" si="1"/>
        <v>0.1085626853</v>
      </c>
      <c r="C9148" s="39">
        <f t="array" ref="C9148">NPV(B9148,FCFF!$C$9:$I$9)+FCFF!$B$9+FCFF!$I$9*(1+Inputs!$B$6)/(B9148-Inputs!$B$6)/(1+B9148)^7</f>
        <v>-1599.371861</v>
      </c>
    </row>
    <row r="9149" ht="14.25" customHeight="1">
      <c r="A9149" s="7">
        <v>9136.0</v>
      </c>
      <c r="B9149" s="14">
        <f t="shared" si="1"/>
        <v>0.1035490227</v>
      </c>
      <c r="C9149" s="39">
        <f t="array" ref="C9149">NPV(B9149,FCFF!$C$9:$I$9)+FCFF!$B$9+FCFF!$I$9*(1+Inputs!$B$6)/(B9149-Inputs!$B$6)/(1+B9149)^7</f>
        <v>-1479.283698</v>
      </c>
    </row>
    <row r="9150" ht="14.25" customHeight="1">
      <c r="A9150" s="7">
        <v>9137.0</v>
      </c>
      <c r="B9150" s="14">
        <f t="shared" si="1"/>
        <v>0.09591324635</v>
      </c>
      <c r="C9150" s="39">
        <f t="array" ref="C9150">NPV(B9150,FCFF!$C$9:$I$9)+FCFF!$B$9+FCFF!$I$9*(1+Inputs!$B$6)/(B9150-Inputs!$B$6)/(1+B9150)^7</f>
        <v>-1260.787767</v>
      </c>
    </row>
    <row r="9151" ht="14.25" customHeight="1">
      <c r="A9151" s="7">
        <v>9138.0</v>
      </c>
      <c r="B9151" s="14">
        <f t="shared" si="1"/>
        <v>0.1158874693</v>
      </c>
      <c r="C9151" s="39">
        <f t="array" ref="C9151">NPV(B9151,FCFF!$C$9:$I$9)+FCFF!$B$9+FCFF!$I$9*(1+Inputs!$B$6)/(B9151-Inputs!$B$6)/(1+B9151)^7</f>
        <v>-1748.90536</v>
      </c>
    </row>
    <row r="9152" ht="14.25" customHeight="1">
      <c r="A9152" s="7">
        <v>9139.0</v>
      </c>
      <c r="B9152" s="14">
        <f t="shared" si="1"/>
        <v>0.1122093892</v>
      </c>
      <c r="C9152" s="39">
        <f t="array" ref="C9152">NPV(B9152,FCFF!$C$9:$I$9)+FCFF!$B$9+FCFF!$I$9*(1+Inputs!$B$6)/(B9152-Inputs!$B$6)/(1+B9152)^7</f>
        <v>-1677.276698</v>
      </c>
    </row>
    <row r="9153" ht="14.25" customHeight="1">
      <c r="A9153" s="7">
        <v>9140.0</v>
      </c>
      <c r="B9153" s="14">
        <f t="shared" si="1"/>
        <v>0.1043020833</v>
      </c>
      <c r="C9153" s="39">
        <f t="array" ref="C9153">NPV(B9153,FCFF!$C$9:$I$9)+FCFF!$B$9+FCFF!$I$9*(1+Inputs!$B$6)/(B9153-Inputs!$B$6)/(1+B9153)^7</f>
        <v>-1498.377285</v>
      </c>
    </row>
    <row r="9154" ht="14.25" customHeight="1">
      <c r="A9154" s="7">
        <v>9141.0</v>
      </c>
      <c r="B9154" s="14">
        <f t="shared" si="1"/>
        <v>0.1003979436</v>
      </c>
      <c r="C9154" s="39">
        <f t="array" ref="C9154">NPV(B9154,FCFF!$C$9:$I$9)+FCFF!$B$9+FCFF!$I$9*(1+Inputs!$B$6)/(B9154-Inputs!$B$6)/(1+B9154)^7</f>
        <v>-1394.895677</v>
      </c>
    </row>
    <row r="9155" ht="14.25" customHeight="1">
      <c r="A9155" s="7">
        <v>9142.0</v>
      </c>
      <c r="B9155" s="14">
        <f t="shared" si="1"/>
        <v>0.118657945</v>
      </c>
      <c r="C9155" s="39">
        <f t="array" ref="C9155">NPV(B9155,FCFF!$C$9:$I$9)+FCFF!$B$9+FCFF!$I$9*(1+Inputs!$B$6)/(B9155-Inputs!$B$6)/(1+B9155)^7</f>
        <v>-1798.756399</v>
      </c>
    </row>
    <row r="9156" ht="14.25" customHeight="1">
      <c r="A9156" s="7">
        <v>9143.0</v>
      </c>
      <c r="B9156" s="14">
        <f t="shared" si="1"/>
        <v>0.095670554</v>
      </c>
      <c r="C9156" s="39">
        <f t="array" ref="C9156">NPV(B9156,FCFF!$C$9:$I$9)+FCFF!$B$9+FCFF!$I$9*(1+Inputs!$B$6)/(B9156-Inputs!$B$6)/(1+B9156)^7</f>
        <v>-1253.008369</v>
      </c>
    </row>
    <row r="9157" ht="14.25" customHeight="1">
      <c r="A9157" s="7">
        <v>9144.0</v>
      </c>
      <c r="B9157" s="14">
        <f t="shared" si="1"/>
        <v>0.1182408016</v>
      </c>
      <c r="C9157" s="39">
        <f t="array" ref="C9157">NPV(B9157,FCFF!$C$9:$I$9)+FCFF!$B$9+FCFF!$I$9*(1+Inputs!$B$6)/(B9157-Inputs!$B$6)/(1+B9157)^7</f>
        <v>-1791.461058</v>
      </c>
    </row>
    <row r="9158" ht="14.25" customHeight="1">
      <c r="A9158" s="7">
        <v>9145.0</v>
      </c>
      <c r="B9158" s="14">
        <f t="shared" si="1"/>
        <v>0.110469381</v>
      </c>
      <c r="C9158" s="39">
        <f t="array" ref="C9158">NPV(B9158,FCFF!$C$9:$I$9)+FCFF!$B$9+FCFF!$I$9*(1+Inputs!$B$6)/(B9158-Inputs!$B$6)/(1+B9158)^7</f>
        <v>-1641.015227</v>
      </c>
    </row>
    <row r="9159" ht="14.25" customHeight="1">
      <c r="A9159" s="7">
        <v>9146.0</v>
      </c>
      <c r="B9159" s="14">
        <f t="shared" si="1"/>
        <v>0.1149941273</v>
      </c>
      <c r="C9159" s="39">
        <f t="array" ref="C9159">NPV(B9159,FCFF!$C$9:$I$9)+FCFF!$B$9+FCFF!$I$9*(1+Inputs!$B$6)/(B9159-Inputs!$B$6)/(1+B9159)^7</f>
        <v>-1732.102901</v>
      </c>
    </row>
    <row r="9160" ht="14.25" customHeight="1">
      <c r="A9160" s="7">
        <v>9147.0</v>
      </c>
      <c r="B9160" s="14">
        <f t="shared" si="1"/>
        <v>0.1011640737</v>
      </c>
      <c r="C9160" s="39">
        <f t="array" ref="C9160">NPV(B9160,FCFF!$C$9:$I$9)+FCFF!$B$9+FCFF!$I$9*(1+Inputs!$B$6)/(B9160-Inputs!$B$6)/(1+B9160)^7</f>
        <v>-1416.108364</v>
      </c>
    </row>
    <row r="9161" ht="14.25" customHeight="1">
      <c r="A9161" s="7">
        <v>9148.0</v>
      </c>
      <c r="B9161" s="14">
        <f t="shared" si="1"/>
        <v>0.1194521997</v>
      </c>
      <c r="C9161" s="39">
        <f t="array" ref="C9161">NPV(B9161,FCFF!$C$9:$I$9)+FCFF!$B$9+FCFF!$I$9*(1+Inputs!$B$6)/(B9161-Inputs!$B$6)/(1+B9161)^7</f>
        <v>-1812.448477</v>
      </c>
    </row>
    <row r="9162" ht="14.25" customHeight="1">
      <c r="A9162" s="7">
        <v>9149.0</v>
      </c>
      <c r="B9162" s="14">
        <f t="shared" si="1"/>
        <v>0.09837524336</v>
      </c>
      <c r="C9162" s="39">
        <f t="array" ref="C9162">NPV(B9162,FCFF!$C$9:$I$9)+FCFF!$B$9+FCFF!$I$9*(1+Inputs!$B$6)/(B9162-Inputs!$B$6)/(1+B9162)^7</f>
        <v>-1336.59166</v>
      </c>
    </row>
    <row r="9163" ht="14.25" customHeight="1">
      <c r="A9163" s="7">
        <v>9150.0</v>
      </c>
      <c r="B9163" s="14">
        <f t="shared" si="1"/>
        <v>0.09333485213</v>
      </c>
      <c r="C9163" s="39">
        <f t="array" ref="C9163">NPV(B9163,FCFF!$C$9:$I$9)+FCFF!$B$9+FCFF!$I$9*(1+Inputs!$B$6)/(B9163-Inputs!$B$6)/(1+B9163)^7</f>
        <v>-1175.112145</v>
      </c>
    </row>
    <row r="9164" ht="14.25" customHeight="1">
      <c r="A9164" s="7">
        <v>9151.0</v>
      </c>
      <c r="B9164" s="14">
        <f t="shared" si="1"/>
        <v>0.1294133282</v>
      </c>
      <c r="C9164" s="39">
        <f t="array" ref="C9164">NPV(B9164,FCFF!$C$9:$I$9)+FCFF!$B$9+FCFF!$I$9*(1+Inputs!$B$6)/(B9164-Inputs!$B$6)/(1+B9164)^7</f>
        <v>-1964.472577</v>
      </c>
    </row>
    <row r="9165" ht="14.25" customHeight="1">
      <c r="A9165" s="7">
        <v>9152.0</v>
      </c>
      <c r="B9165" s="14">
        <f t="shared" si="1"/>
        <v>0.118434382</v>
      </c>
      <c r="C9165" s="39">
        <f t="array" ref="C9165">NPV(B9165,FCFF!$C$9:$I$9)+FCFF!$B$9+FCFF!$I$9*(1+Inputs!$B$6)/(B9165-Inputs!$B$6)/(1+B9165)^7</f>
        <v>-1794.855576</v>
      </c>
    </row>
    <row r="9166" ht="14.25" customHeight="1">
      <c r="A9166" s="7">
        <v>9153.0</v>
      </c>
      <c r="B9166" s="14">
        <f t="shared" si="1"/>
        <v>0.09806157156</v>
      </c>
      <c r="C9166" s="39">
        <f t="array" ref="C9166">NPV(B9166,FCFF!$C$9:$I$9)+FCFF!$B$9+FCFF!$I$9*(1+Inputs!$B$6)/(B9166-Inputs!$B$6)/(1+B9166)^7</f>
        <v>-1327.238588</v>
      </c>
    </row>
    <row r="9167" ht="14.25" customHeight="1">
      <c r="A9167" s="7">
        <v>9154.0</v>
      </c>
      <c r="B9167" s="14">
        <f t="shared" si="1"/>
        <v>0.09628181585</v>
      </c>
      <c r="C9167" s="39">
        <f t="array" ref="C9167">NPV(B9167,FCFF!$C$9:$I$9)+FCFF!$B$9+FCFF!$I$9*(1+Inputs!$B$6)/(B9167-Inputs!$B$6)/(1+B9167)^7</f>
        <v>-1272.493611</v>
      </c>
    </row>
    <row r="9168" ht="14.25" customHeight="1">
      <c r="A9168" s="7">
        <v>9155.0</v>
      </c>
      <c r="B9168" s="14">
        <f t="shared" si="1"/>
        <v>0.1100905111</v>
      </c>
      <c r="C9168" s="39">
        <f t="array" ref="C9168">NPV(B9168,FCFF!$C$9:$I$9)+FCFF!$B$9+FCFF!$I$9*(1+Inputs!$B$6)/(B9168-Inputs!$B$6)/(1+B9168)^7</f>
        <v>-1632.903349</v>
      </c>
    </row>
    <row r="9169" ht="14.25" customHeight="1">
      <c r="A9169" s="7">
        <v>9156.0</v>
      </c>
      <c r="B9169" s="14">
        <f t="shared" si="1"/>
        <v>0.1110736546</v>
      </c>
      <c r="C9169" s="39">
        <f t="array" ref="C9169">NPV(B9169,FCFF!$C$9:$I$9)+FCFF!$B$9+FCFF!$I$9*(1+Inputs!$B$6)/(B9169-Inputs!$B$6)/(1+B9169)^7</f>
        <v>-1653.790952</v>
      </c>
    </row>
    <row r="9170" ht="14.25" customHeight="1">
      <c r="A9170" s="7">
        <v>9157.0</v>
      </c>
      <c r="B9170" s="14">
        <f t="shared" si="1"/>
        <v>0.1267068854</v>
      </c>
      <c r="C9170" s="39">
        <f t="array" ref="C9170">NPV(B9170,FCFF!$C$9:$I$9)+FCFF!$B$9+FCFF!$I$9*(1+Inputs!$B$6)/(B9170-Inputs!$B$6)/(1+B9170)^7</f>
        <v>-1926.485723</v>
      </c>
    </row>
    <row r="9171" ht="14.25" customHeight="1">
      <c r="A9171" s="7">
        <v>9158.0</v>
      </c>
      <c r="B9171" s="14">
        <f t="shared" si="1"/>
        <v>0.1065416712</v>
      </c>
      <c r="C9171" s="39">
        <f t="array" ref="C9171">NPV(B9171,FCFF!$C$9:$I$9)+FCFF!$B$9+FCFF!$I$9*(1+Inputs!$B$6)/(B9171-Inputs!$B$6)/(1+B9171)^7</f>
        <v>-1552.899689</v>
      </c>
    </row>
    <row r="9172" ht="14.25" customHeight="1">
      <c r="A9172" s="7">
        <v>9159.0</v>
      </c>
      <c r="B9172" s="14">
        <f t="shared" si="1"/>
        <v>0.1149948326</v>
      </c>
      <c r="C9172" s="39">
        <f t="array" ref="C9172">NPV(B9172,FCFF!$C$9:$I$9)+FCFF!$B$9+FCFF!$I$9*(1+Inputs!$B$6)/(B9172-Inputs!$B$6)/(1+B9172)^7</f>
        <v>-1732.116312</v>
      </c>
    </row>
    <row r="9173" ht="14.25" customHeight="1">
      <c r="A9173" s="7">
        <v>9160.0</v>
      </c>
      <c r="B9173" s="14">
        <f t="shared" si="1"/>
        <v>0.1160526254</v>
      </c>
      <c r="C9173" s="39">
        <f t="array" ref="C9173">NPV(B9173,FCFF!$C$9:$I$9)+FCFF!$B$9+FCFF!$I$9*(1+Inputs!$B$6)/(B9173-Inputs!$B$6)/(1+B9173)^7</f>
        <v>-1751.971693</v>
      </c>
    </row>
    <row r="9174" ht="14.25" customHeight="1">
      <c r="A9174" s="7">
        <v>9161.0</v>
      </c>
      <c r="B9174" s="14">
        <f t="shared" si="1"/>
        <v>0.09480966166</v>
      </c>
      <c r="C9174" s="39">
        <f t="array" ref="C9174">NPV(B9174,FCFF!$C$9:$I$9)+FCFF!$B$9+FCFF!$I$9*(1+Inputs!$B$6)/(B9174-Inputs!$B$6)/(1+B9174)^7</f>
        <v>-1224.945592</v>
      </c>
    </row>
    <row r="9175" ht="14.25" customHeight="1">
      <c r="A9175" s="7">
        <v>9162.0</v>
      </c>
      <c r="B9175" s="14">
        <f t="shared" si="1"/>
        <v>0.1075521462</v>
      </c>
      <c r="C9175" s="39">
        <f t="array" ref="C9175">NPV(B9175,FCFF!$C$9:$I$9)+FCFF!$B$9+FCFF!$I$9*(1+Inputs!$B$6)/(B9175-Inputs!$B$6)/(1+B9175)^7</f>
        <v>-1576.44577</v>
      </c>
    </row>
    <row r="9176" ht="14.25" customHeight="1">
      <c r="A9176" s="7">
        <v>9163.0</v>
      </c>
      <c r="B9176" s="14">
        <f t="shared" si="1"/>
        <v>0.1041670088</v>
      </c>
      <c r="C9176" s="39">
        <f t="array" ref="C9176">NPV(B9176,FCFF!$C$9:$I$9)+FCFF!$B$9+FCFF!$I$9*(1+Inputs!$B$6)/(B9176-Inputs!$B$6)/(1+B9176)^7</f>
        <v>-1494.981539</v>
      </c>
    </row>
    <row r="9177" ht="14.25" customHeight="1">
      <c r="A9177" s="7">
        <v>9164.0</v>
      </c>
      <c r="B9177" s="14">
        <f t="shared" si="1"/>
        <v>0.1274629663</v>
      </c>
      <c r="C9177" s="39">
        <f t="array" ref="C9177">NPV(B9177,FCFF!$C$9:$I$9)+FCFF!$B$9+FCFF!$I$9*(1+Inputs!$B$6)/(B9177-Inputs!$B$6)/(1+B9177)^7</f>
        <v>-1937.327174</v>
      </c>
    </row>
    <row r="9178" ht="14.25" customHeight="1">
      <c r="A9178" s="7">
        <v>9165.0</v>
      </c>
      <c r="B9178" s="14">
        <f t="shared" si="1"/>
        <v>0.09669073543</v>
      </c>
      <c r="C9178" s="39">
        <f t="array" ref="C9178">NPV(B9178,FCFF!$C$9:$I$9)+FCFF!$B$9+FCFF!$I$9*(1+Inputs!$B$6)/(B9178-Inputs!$B$6)/(1+B9178)^7</f>
        <v>-1285.330079</v>
      </c>
    </row>
    <row r="9179" ht="14.25" customHeight="1">
      <c r="A9179" s="7">
        <v>9166.0</v>
      </c>
      <c r="B9179" s="14">
        <f t="shared" si="1"/>
        <v>0.1098822852</v>
      </c>
      <c r="C9179" s="39">
        <f t="array" ref="C9179">NPV(B9179,FCFF!$C$9:$I$9)+FCFF!$B$9+FCFF!$I$9*(1+Inputs!$B$6)/(B9179-Inputs!$B$6)/(1+B9179)^7</f>
        <v>-1628.41123</v>
      </c>
    </row>
    <row r="9180" ht="14.25" customHeight="1">
      <c r="A9180" s="7">
        <v>9167.0</v>
      </c>
      <c r="B9180" s="14">
        <f t="shared" si="1"/>
        <v>0.1000242659</v>
      </c>
      <c r="C9180" s="39">
        <f t="array" ref="C9180">NPV(B9180,FCFF!$C$9:$I$9)+FCFF!$B$9+FCFF!$I$9*(1+Inputs!$B$6)/(B9180-Inputs!$B$6)/(1+B9180)^7</f>
        <v>-1384.379498</v>
      </c>
    </row>
    <row r="9181" ht="14.25" customHeight="1">
      <c r="A9181" s="7">
        <v>9168.0</v>
      </c>
      <c r="B9181" s="14">
        <f t="shared" si="1"/>
        <v>0.1020918223</v>
      </c>
      <c r="C9181" s="39">
        <f t="array" ref="C9181">NPV(B9181,FCFF!$C$9:$I$9)+FCFF!$B$9+FCFF!$I$9*(1+Inputs!$B$6)/(B9181-Inputs!$B$6)/(1+B9181)^7</f>
        <v>-1441.186612</v>
      </c>
    </row>
    <row r="9182" ht="14.25" customHeight="1">
      <c r="A9182" s="7">
        <v>9169.0</v>
      </c>
      <c r="B9182" s="14">
        <f t="shared" si="1"/>
        <v>0.1062800099</v>
      </c>
      <c r="C9182" s="39">
        <f t="array" ref="C9182">NPV(B9182,FCFF!$C$9:$I$9)+FCFF!$B$9+FCFF!$I$9*(1+Inputs!$B$6)/(B9182-Inputs!$B$6)/(1+B9182)^7</f>
        <v>-1546.698283</v>
      </c>
    </row>
    <row r="9183" ht="14.25" customHeight="1">
      <c r="A9183" s="7">
        <v>9170.0</v>
      </c>
      <c r="B9183" s="14">
        <f t="shared" si="1"/>
        <v>0.100317202</v>
      </c>
      <c r="C9183" s="39">
        <f t="array" ref="C9183">NPV(B9183,FCFF!$C$9:$I$9)+FCFF!$B$9+FCFF!$I$9*(1+Inputs!$B$6)/(B9183-Inputs!$B$6)/(1+B9183)^7</f>
        <v>-1392.632949</v>
      </c>
    </row>
    <row r="9184" ht="14.25" customHeight="1">
      <c r="A9184" s="7">
        <v>9171.0</v>
      </c>
      <c r="B9184" s="14">
        <f t="shared" si="1"/>
        <v>0.1157328994</v>
      </c>
      <c r="C9184" s="39">
        <f t="array" ref="C9184">NPV(B9184,FCFF!$C$9:$I$9)+FCFF!$B$9+FCFF!$I$9*(1+Inputs!$B$6)/(B9184-Inputs!$B$6)/(1+B9184)^7</f>
        <v>-1746.024355</v>
      </c>
    </row>
    <row r="9185" ht="14.25" customHeight="1">
      <c r="A9185" s="7">
        <v>9172.0</v>
      </c>
      <c r="B9185" s="14">
        <f t="shared" si="1"/>
        <v>0.109796182</v>
      </c>
      <c r="C9185" s="39">
        <f t="array" ref="C9185">NPV(B9185,FCFF!$C$9:$I$9)+FCFF!$B$9+FCFF!$I$9*(1+Inputs!$B$6)/(B9185-Inputs!$B$6)/(1+B9185)^7</f>
        <v>-1626.546625</v>
      </c>
    </row>
    <row r="9186" ht="14.25" customHeight="1">
      <c r="A9186" s="7">
        <v>9173.0</v>
      </c>
      <c r="B9186" s="14">
        <f t="shared" si="1"/>
        <v>0.1023146771</v>
      </c>
      <c r="C9186" s="39">
        <f t="array" ref="C9186">NPV(B9186,FCFF!$C$9:$I$9)+FCFF!$B$9+FCFF!$I$9*(1+Inputs!$B$6)/(B9186-Inputs!$B$6)/(1+B9186)^7</f>
        <v>-1447.113731</v>
      </c>
    </row>
    <row r="9187" ht="14.25" customHeight="1">
      <c r="A9187" s="7">
        <v>9174.0</v>
      </c>
      <c r="B9187" s="14">
        <f t="shared" si="1"/>
        <v>0.1326080651</v>
      </c>
      <c r="C9187" s="39">
        <f t="array" ref="C9187">NPV(B9187,FCFF!$C$9:$I$9)+FCFF!$B$9+FCFF!$I$9*(1+Inputs!$B$6)/(B9187-Inputs!$B$6)/(1+B9187)^7</f>
        <v>-2006.524556</v>
      </c>
    </row>
    <row r="9188" ht="14.25" customHeight="1">
      <c r="A9188" s="7">
        <v>9175.0</v>
      </c>
      <c r="B9188" s="14">
        <f t="shared" si="1"/>
        <v>0.1014182478</v>
      </c>
      <c r="C9188" s="39">
        <f t="array" ref="C9188">NPV(B9188,FCFF!$C$9:$I$9)+FCFF!$B$9+FCFF!$I$9*(1+Inputs!$B$6)/(B9188-Inputs!$B$6)/(1+B9188)^7</f>
        <v>-1423.044509</v>
      </c>
    </row>
    <row r="9189" ht="14.25" customHeight="1">
      <c r="A9189" s="7">
        <v>9176.0</v>
      </c>
      <c r="B9189" s="14">
        <f t="shared" si="1"/>
        <v>0.1005748285</v>
      </c>
      <c r="C9189" s="39">
        <f t="array" ref="C9189">NPV(B9189,FCFF!$C$9:$I$9)+FCFF!$B$9+FCFF!$I$9*(1+Inputs!$B$6)/(B9189-Inputs!$B$6)/(1+B9189)^7</f>
        <v>-1399.834519</v>
      </c>
    </row>
    <row r="9190" ht="14.25" customHeight="1">
      <c r="A9190" s="7">
        <v>9177.0</v>
      </c>
      <c r="B9190" s="14">
        <f t="shared" si="1"/>
        <v>0.132583946</v>
      </c>
      <c r="C9190" s="39">
        <f t="array" ref="C9190">NPV(B9190,FCFF!$C$9:$I$9)+FCFF!$B$9+FCFF!$I$9*(1+Inputs!$B$6)/(B9190-Inputs!$B$6)/(1+B9190)^7</f>
        <v>-2006.217757</v>
      </c>
    </row>
    <row r="9191" ht="14.25" customHeight="1">
      <c r="A9191" s="7">
        <v>9178.0</v>
      </c>
      <c r="B9191" s="14">
        <f t="shared" si="1"/>
        <v>0.09718834005</v>
      </c>
      <c r="C9191" s="39">
        <f t="array" ref="C9191">NPV(B9191,FCFF!$C$9:$I$9)+FCFF!$B$9+FCFF!$I$9*(1+Inputs!$B$6)/(B9191-Inputs!$B$6)/(1+B9191)^7</f>
        <v>-1300.740183</v>
      </c>
    </row>
    <row r="9192" ht="14.25" customHeight="1">
      <c r="A9192" s="7">
        <v>9179.0</v>
      </c>
      <c r="B9192" s="14">
        <f t="shared" si="1"/>
        <v>0.0954447364</v>
      </c>
      <c r="C9192" s="39">
        <f t="array" ref="C9192">NPV(B9192,FCFF!$C$9:$I$9)+FCFF!$B$9+FCFF!$I$9*(1+Inputs!$B$6)/(B9192-Inputs!$B$6)/(1+B9192)^7</f>
        <v>-1245.718326</v>
      </c>
    </row>
    <row r="9193" ht="14.25" customHeight="1">
      <c r="A9193" s="7">
        <v>9180.0</v>
      </c>
      <c r="B9193" s="14">
        <f t="shared" si="1"/>
        <v>0.1033927982</v>
      </c>
      <c r="C9193" s="39">
        <f t="array" ref="C9193">NPV(B9193,FCFF!$C$9:$I$9)+FCFF!$B$9+FCFF!$I$9*(1+Inputs!$B$6)/(B9193-Inputs!$B$6)/(1+B9193)^7</f>
        <v>-1475.272801</v>
      </c>
    </row>
    <row r="9194" ht="14.25" customHeight="1">
      <c r="A9194" s="7">
        <v>9181.0</v>
      </c>
      <c r="B9194" s="14">
        <f t="shared" si="1"/>
        <v>0.118613124</v>
      </c>
      <c r="C9194" s="39">
        <f t="array" ref="C9194">NPV(B9194,FCFF!$C$9:$I$9)+FCFF!$B$9+FCFF!$I$9*(1+Inputs!$B$6)/(B9194-Inputs!$B$6)/(1+B9194)^7</f>
        <v>-1797.976008</v>
      </c>
    </row>
    <row r="9195" ht="14.25" customHeight="1">
      <c r="A9195" s="7">
        <v>9182.0</v>
      </c>
      <c r="B9195" s="14">
        <f t="shared" si="1"/>
        <v>0.1217276199</v>
      </c>
      <c r="C9195" s="39">
        <f t="array" ref="C9195">NPV(B9195,FCFF!$C$9:$I$9)+FCFF!$B$9+FCFF!$I$9*(1+Inputs!$B$6)/(B9195-Inputs!$B$6)/(1+B9195)^7</f>
        <v>-1850.286163</v>
      </c>
    </row>
    <row r="9196" ht="14.25" customHeight="1">
      <c r="A9196" s="7">
        <v>9183.0</v>
      </c>
      <c r="B9196" s="14">
        <f t="shared" si="1"/>
        <v>0.1178814809</v>
      </c>
      <c r="C9196" s="39">
        <f t="array" ref="C9196">NPV(B9196,FCFF!$C$9:$I$9)+FCFF!$B$9+FCFF!$I$9*(1+Inputs!$B$6)/(B9196-Inputs!$B$6)/(1+B9196)^7</f>
        <v>-1785.118422</v>
      </c>
    </row>
    <row r="9197" ht="14.25" customHeight="1">
      <c r="A9197" s="7">
        <v>9184.0</v>
      </c>
      <c r="B9197" s="14">
        <f t="shared" si="1"/>
        <v>0.1095085936</v>
      </c>
      <c r="C9197" s="39">
        <f t="array" ref="C9197">NPV(B9197,FCFF!$C$9:$I$9)+FCFF!$B$9+FCFF!$I$9*(1+Inputs!$B$6)/(B9197-Inputs!$B$6)/(1+B9197)^7</f>
        <v>-1620.288552</v>
      </c>
    </row>
    <row r="9198" ht="14.25" customHeight="1">
      <c r="A9198" s="7">
        <v>9185.0</v>
      </c>
      <c r="B9198" s="14">
        <f t="shared" si="1"/>
        <v>0.1001876549</v>
      </c>
      <c r="C9198" s="39">
        <f t="array" ref="C9198">NPV(B9198,FCFF!$C$9:$I$9)+FCFF!$B$9+FCFF!$I$9*(1+Inputs!$B$6)/(B9198-Inputs!$B$6)/(1+B9198)^7</f>
        <v>-1388.991526</v>
      </c>
    </row>
    <row r="9199" ht="14.25" customHeight="1">
      <c r="A9199" s="7">
        <v>9186.0</v>
      </c>
      <c r="B9199" s="14">
        <f t="shared" si="1"/>
        <v>0.1052147034</v>
      </c>
      <c r="C9199" s="39">
        <f t="array" ref="C9199">NPV(B9199,FCFF!$C$9:$I$9)+FCFF!$B$9+FCFF!$I$9*(1+Inputs!$B$6)/(B9199-Inputs!$B$6)/(1+B9199)^7</f>
        <v>-1520.994918</v>
      </c>
    </row>
    <row r="9200" ht="14.25" customHeight="1">
      <c r="A9200" s="7">
        <v>9187.0</v>
      </c>
      <c r="B9200" s="14">
        <f t="shared" si="1"/>
        <v>0.1194017293</v>
      </c>
      <c r="C9200" s="39">
        <f t="array" ref="C9200">NPV(B9200,FCFF!$C$9:$I$9)+FCFF!$B$9+FCFF!$I$9*(1+Inputs!$B$6)/(B9200-Inputs!$B$6)/(1+B9200)^7</f>
        <v>-1811.58607</v>
      </c>
    </row>
    <row r="9201" ht="14.25" customHeight="1">
      <c r="A9201" s="7">
        <v>9188.0</v>
      </c>
      <c r="B9201" s="14">
        <f t="shared" si="1"/>
        <v>0.126999708</v>
      </c>
      <c r="C9201" s="39">
        <f t="array" ref="C9201">NPV(B9201,FCFF!$C$9:$I$9)+FCFF!$B$9+FCFF!$I$9*(1+Inputs!$B$6)/(B9201-Inputs!$B$6)/(1+B9201)^7</f>
        <v>-1930.706115</v>
      </c>
    </row>
    <row r="9202" ht="14.25" customHeight="1">
      <c r="A9202" s="7">
        <v>9189.0</v>
      </c>
      <c r="B9202" s="14">
        <f t="shared" si="1"/>
        <v>0.1233755888</v>
      </c>
      <c r="C9202" s="39">
        <f t="array" ref="C9202">NPV(B9202,FCFF!$C$9:$I$9)+FCFF!$B$9+FCFF!$I$9*(1+Inputs!$B$6)/(B9202-Inputs!$B$6)/(1+B9202)^7</f>
        <v>-1876.467906</v>
      </c>
    </row>
    <row r="9203" ht="14.25" customHeight="1">
      <c r="A9203" s="7">
        <v>9190.0</v>
      </c>
      <c r="B9203" s="14">
        <f t="shared" si="1"/>
        <v>0.09533187732</v>
      </c>
      <c r="C9203" s="39">
        <f t="array" ref="C9203">NPV(B9203,FCFF!$C$9:$I$9)+FCFF!$B$9+FCFF!$I$9*(1+Inputs!$B$6)/(B9203-Inputs!$B$6)/(1+B9203)^7</f>
        <v>-1242.056126</v>
      </c>
    </row>
    <row r="9204" ht="14.25" customHeight="1">
      <c r="A9204" s="7">
        <v>9191.0</v>
      </c>
      <c r="B9204" s="14">
        <f t="shared" si="1"/>
        <v>0.1012472658</v>
      </c>
      <c r="C9204" s="39">
        <f t="array" ref="C9204">NPV(B9204,FCFF!$C$9:$I$9)+FCFF!$B$9+FCFF!$I$9*(1+Inputs!$B$6)/(B9204-Inputs!$B$6)/(1+B9204)^7</f>
        <v>-1418.384091</v>
      </c>
    </row>
    <row r="9205" ht="14.25" customHeight="1">
      <c r="A9205" s="7">
        <v>9192.0</v>
      </c>
      <c r="B9205" s="14">
        <f t="shared" si="1"/>
        <v>0.123377329</v>
      </c>
      <c r="C9205" s="39">
        <f t="array" ref="C9205">NPV(B9205,FCFF!$C$9:$I$9)+FCFF!$B$9+FCFF!$I$9*(1+Inputs!$B$6)/(B9205-Inputs!$B$6)/(1+B9205)^7</f>
        <v>-1876.495032</v>
      </c>
    </row>
    <row r="9206" ht="14.25" customHeight="1">
      <c r="A9206" s="7">
        <v>9193.0</v>
      </c>
      <c r="B9206" s="14">
        <f t="shared" si="1"/>
        <v>0.1262147326</v>
      </c>
      <c r="C9206" s="39">
        <f t="array" ref="C9206">NPV(B9206,FCFF!$C$9:$I$9)+FCFF!$B$9+FCFF!$I$9*(1+Inputs!$B$6)/(B9206-Inputs!$B$6)/(1+B9206)^7</f>
        <v>-1919.330123</v>
      </c>
    </row>
    <row r="9207" ht="14.25" customHeight="1">
      <c r="A9207" s="7">
        <v>9194.0</v>
      </c>
      <c r="B9207" s="14">
        <f t="shared" si="1"/>
        <v>0.1222026813</v>
      </c>
      <c r="C9207" s="39">
        <f t="array" ref="C9207">NPV(B9207,FCFF!$C$9:$I$9)+FCFF!$B$9+FCFF!$I$9*(1+Inputs!$B$6)/(B9207-Inputs!$B$6)/(1+B9207)^7</f>
        <v>-1857.93588</v>
      </c>
    </row>
    <row r="9208" ht="14.25" customHeight="1">
      <c r="A9208" s="7">
        <v>9195.0</v>
      </c>
      <c r="B9208" s="14">
        <f t="shared" si="1"/>
        <v>0.1105216644</v>
      </c>
      <c r="C9208" s="39">
        <f t="array" ref="C9208">NPV(B9208,FCFF!$C$9:$I$9)+FCFF!$B$9+FCFF!$I$9*(1+Inputs!$B$6)/(B9208-Inputs!$B$6)/(1+B9208)^7</f>
        <v>-1642.128458</v>
      </c>
    </row>
    <row r="9209" ht="14.25" customHeight="1">
      <c r="A9209" s="7">
        <v>9196.0</v>
      </c>
      <c r="B9209" s="14">
        <f t="shared" si="1"/>
        <v>0.1196264072</v>
      </c>
      <c r="C9209" s="39">
        <f t="array" ref="C9209">NPV(B9209,FCFF!$C$9:$I$9)+FCFF!$B$9+FCFF!$I$9*(1+Inputs!$B$6)/(B9209-Inputs!$B$6)/(1+B9209)^7</f>
        <v>-1815.417337</v>
      </c>
    </row>
    <row r="9210" ht="14.25" customHeight="1">
      <c r="A9210" s="7">
        <v>9197.0</v>
      </c>
      <c r="B9210" s="14">
        <f t="shared" si="1"/>
        <v>0.1329885451</v>
      </c>
      <c r="C9210" s="39">
        <f t="array" ref="C9210">NPV(B9210,FCFF!$C$9:$I$9)+FCFF!$B$9+FCFF!$I$9*(1+Inputs!$B$6)/(B9210-Inputs!$B$6)/(1+B9210)^7</f>
        <v>-2011.343554</v>
      </c>
    </row>
    <row r="9211" ht="14.25" customHeight="1">
      <c r="A9211" s="7">
        <v>9198.0</v>
      </c>
      <c r="B9211" s="14">
        <f t="shared" si="1"/>
        <v>0.1011657454</v>
      </c>
      <c r="C9211" s="39">
        <f t="array" ref="C9211">NPV(B9211,FCFF!$C$9:$I$9)+FCFF!$B$9+FCFF!$I$9*(1+Inputs!$B$6)/(B9211-Inputs!$B$6)/(1+B9211)^7</f>
        <v>-1416.154147</v>
      </c>
    </row>
    <row r="9212" ht="14.25" customHeight="1">
      <c r="A9212" s="7">
        <v>9199.0</v>
      </c>
      <c r="B9212" s="14">
        <f t="shared" si="1"/>
        <v>0.1099591463</v>
      </c>
      <c r="C9212" s="39">
        <f t="array" ref="C9212">NPV(B9212,FCFF!$C$9:$I$9)+FCFF!$B$9+FCFF!$I$9*(1+Inputs!$B$6)/(B9212-Inputs!$B$6)/(1+B9212)^7</f>
        <v>-1630.07219</v>
      </c>
    </row>
    <row r="9213" ht="14.25" customHeight="1">
      <c r="A9213" s="7">
        <v>9200.0</v>
      </c>
      <c r="B9213" s="14">
        <f t="shared" si="1"/>
        <v>0.1217025761</v>
      </c>
      <c r="C9213" s="39">
        <f t="array" ref="C9213">NPV(B9213,FCFF!$C$9:$I$9)+FCFF!$B$9+FCFF!$I$9*(1+Inputs!$B$6)/(B9213-Inputs!$B$6)/(1+B9213)^7</f>
        <v>-1849.880553</v>
      </c>
    </row>
    <row r="9214" ht="14.25" customHeight="1">
      <c r="A9214" s="7">
        <v>9201.0</v>
      </c>
      <c r="B9214" s="14">
        <f t="shared" si="1"/>
        <v>0.111022677</v>
      </c>
      <c r="C9214" s="39">
        <f t="array" ref="C9214">NPV(B9214,FCFF!$C$9:$I$9)+FCFF!$B$9+FCFF!$I$9*(1+Inputs!$B$6)/(B9214-Inputs!$B$6)/(1+B9214)^7</f>
        <v>-1652.720787</v>
      </c>
    </row>
    <row r="9215" ht="14.25" customHeight="1">
      <c r="A9215" s="7">
        <v>9202.0</v>
      </c>
      <c r="B9215" s="14">
        <f t="shared" si="1"/>
        <v>0.1130475879</v>
      </c>
      <c r="C9215" s="39">
        <f t="array" ref="C9215">NPV(B9215,FCFF!$C$9:$I$9)+FCFF!$B$9+FCFF!$I$9*(1+Inputs!$B$6)/(B9215-Inputs!$B$6)/(1+B9215)^7</f>
        <v>-1694.182196</v>
      </c>
    </row>
    <row r="9216" ht="14.25" customHeight="1">
      <c r="A9216" s="7">
        <v>9203.0</v>
      </c>
      <c r="B9216" s="14">
        <f t="shared" si="1"/>
        <v>0.1224485696</v>
      </c>
      <c r="C9216" s="39">
        <f t="array" ref="C9216">NPV(B9216,FCFF!$C$9:$I$9)+FCFF!$B$9+FCFF!$I$9*(1+Inputs!$B$6)/(B9216-Inputs!$B$6)/(1+B9216)^7</f>
        <v>-1861.862461</v>
      </c>
    </row>
    <row r="9217" ht="14.25" customHeight="1">
      <c r="A9217" s="7">
        <v>9204.0</v>
      </c>
      <c r="B9217" s="14">
        <f t="shared" si="1"/>
        <v>0.1144627342</v>
      </c>
      <c r="C9217" s="39">
        <f t="array" ref="C9217">NPV(B9217,FCFF!$C$9:$I$9)+FCFF!$B$9+FCFF!$I$9*(1+Inputs!$B$6)/(B9217-Inputs!$B$6)/(1+B9217)^7</f>
        <v>-1721.931758</v>
      </c>
    </row>
    <row r="9218" ht="14.25" customHeight="1">
      <c r="A9218" s="7">
        <v>9205.0</v>
      </c>
      <c r="B9218" s="14">
        <f t="shared" si="1"/>
        <v>0.09319184372</v>
      </c>
      <c r="C9218" s="39">
        <f t="array" ref="C9218">NPV(B9218,FCFF!$C$9:$I$9)+FCFF!$B$9+FCFF!$I$9*(1+Inputs!$B$6)/(B9218-Inputs!$B$6)/(1+B9218)^7</f>
        <v>-1170.15748</v>
      </c>
    </row>
    <row r="9219" ht="14.25" customHeight="1">
      <c r="A9219" s="7">
        <v>9206.0</v>
      </c>
      <c r="B9219" s="14">
        <f t="shared" si="1"/>
        <v>0.1224776105</v>
      </c>
      <c r="C9219" s="39">
        <f t="array" ref="C9219">NPV(B9219,FCFF!$C$9:$I$9)+FCFF!$B$9+FCFF!$I$9*(1+Inputs!$B$6)/(B9219-Inputs!$B$6)/(1+B9219)^7</f>
        <v>-1862.324746</v>
      </c>
    </row>
    <row r="9220" ht="14.25" customHeight="1">
      <c r="A9220" s="7">
        <v>9207.0</v>
      </c>
      <c r="B9220" s="14">
        <f t="shared" si="1"/>
        <v>0.1179749042</v>
      </c>
      <c r="C9220" s="39">
        <f t="array" ref="C9220">NPV(B9220,FCFF!$C$9:$I$9)+FCFF!$B$9+FCFF!$I$9*(1+Inputs!$B$6)/(B9220-Inputs!$B$6)/(1+B9220)^7</f>
        <v>-1786.772758</v>
      </c>
    </row>
    <row r="9221" ht="14.25" customHeight="1">
      <c r="A9221" s="7">
        <v>9208.0</v>
      </c>
      <c r="B9221" s="14">
        <f t="shared" si="1"/>
        <v>0.1182014163</v>
      </c>
      <c r="C9221" s="39">
        <f t="array" ref="C9221">NPV(B9221,FCFF!$C$9:$I$9)+FCFF!$B$9+FCFF!$I$9*(1+Inputs!$B$6)/(B9221-Inputs!$B$6)/(1+B9221)^7</f>
        <v>-1790.768497</v>
      </c>
    </row>
    <row r="9222" ht="14.25" customHeight="1">
      <c r="A9222" s="7">
        <v>9209.0</v>
      </c>
      <c r="B9222" s="14">
        <f t="shared" si="1"/>
        <v>0.1048345421</v>
      </c>
      <c r="C9222" s="39">
        <f t="array" ref="C9222">NPV(B9222,FCFF!$C$9:$I$9)+FCFF!$B$9+FCFF!$I$9*(1+Inputs!$B$6)/(B9222-Inputs!$B$6)/(1+B9222)^7</f>
        <v>-1511.641625</v>
      </c>
    </row>
    <row r="9223" ht="14.25" customHeight="1">
      <c r="A9223" s="7">
        <v>9210.0</v>
      </c>
      <c r="B9223" s="14">
        <f t="shared" si="1"/>
        <v>0.1231087858</v>
      </c>
      <c r="C9223" s="39">
        <f t="array" ref="C9223">NPV(B9223,FCFF!$C$9:$I$9)+FCFF!$B$9+FCFF!$I$9*(1+Inputs!$B$6)/(B9223-Inputs!$B$6)/(1+B9223)^7</f>
        <v>-1872.29614</v>
      </c>
    </row>
    <row r="9224" ht="14.25" customHeight="1">
      <c r="A9224" s="7">
        <v>9211.0</v>
      </c>
      <c r="B9224" s="14">
        <f t="shared" si="1"/>
        <v>0.1242733639</v>
      </c>
      <c r="C9224" s="39">
        <f t="array" ref="C9224">NPV(B9224,FCFF!$C$9:$I$9)+FCFF!$B$9+FCFF!$I$9*(1+Inputs!$B$6)/(B9224-Inputs!$B$6)/(1+B9224)^7</f>
        <v>-1890.320488</v>
      </c>
    </row>
    <row r="9225" ht="14.25" customHeight="1">
      <c r="A9225" s="7">
        <v>9212.0</v>
      </c>
      <c r="B9225" s="14">
        <f t="shared" si="1"/>
        <v>0.1194103668</v>
      </c>
      <c r="C9225" s="39">
        <f t="array" ref="C9225">NPV(B9225,FCFF!$C$9:$I$9)+FCFF!$B$9+FCFF!$I$9*(1+Inputs!$B$6)/(B9225-Inputs!$B$6)/(1+B9225)^7</f>
        <v>-1811.733735</v>
      </c>
    </row>
    <row r="9226" ht="14.25" customHeight="1">
      <c r="A9226" s="7">
        <v>9213.0</v>
      </c>
      <c r="B9226" s="14">
        <f t="shared" si="1"/>
        <v>0.09553093286</v>
      </c>
      <c r="C9226" s="39">
        <f t="array" ref="C9226">NPV(B9226,FCFF!$C$9:$I$9)+FCFF!$B$9+FCFF!$I$9*(1+Inputs!$B$6)/(B9226-Inputs!$B$6)/(1+B9226)^7</f>
        <v>-1248.506893</v>
      </c>
    </row>
    <row r="9227" ht="14.25" customHeight="1">
      <c r="A9227" s="7">
        <v>9214.0</v>
      </c>
      <c r="B9227" s="14">
        <f t="shared" si="1"/>
        <v>0.1231779088</v>
      </c>
      <c r="C9227" s="39">
        <f t="array" ref="C9227">NPV(B9227,FCFF!$C$9:$I$9)+FCFF!$B$9+FCFF!$I$9*(1+Inputs!$B$6)/(B9227-Inputs!$B$6)/(1+B9227)^7</f>
        <v>-1873.379403</v>
      </c>
    </row>
    <row r="9228" ht="14.25" customHeight="1">
      <c r="A9228" s="7">
        <v>9215.0</v>
      </c>
      <c r="B9228" s="14">
        <f t="shared" si="1"/>
        <v>0.1223741709</v>
      </c>
      <c r="C9228" s="39">
        <f t="array" ref="C9228">NPV(B9228,FCFF!$C$9:$I$9)+FCFF!$B$9+FCFF!$I$9*(1+Inputs!$B$6)/(B9228-Inputs!$B$6)/(1+B9228)^7</f>
        <v>-1860.67674</v>
      </c>
    </row>
    <row r="9229" ht="14.25" customHeight="1">
      <c r="A9229" s="7">
        <v>9216.0</v>
      </c>
      <c r="B9229" s="14">
        <f t="shared" si="1"/>
        <v>0.09507407811</v>
      </c>
      <c r="C9229" s="39">
        <f t="array" ref="C9229">NPV(B9229,FCFF!$C$9:$I$9)+FCFF!$B$9+FCFF!$I$9*(1+Inputs!$B$6)/(B9229-Inputs!$B$6)/(1+B9229)^7</f>
        <v>-1233.643361</v>
      </c>
    </row>
    <row r="9230" ht="14.25" customHeight="1">
      <c r="A9230" s="7">
        <v>9217.0</v>
      </c>
      <c r="B9230" s="14">
        <f t="shared" si="1"/>
        <v>0.1042070284</v>
      </c>
      <c r="C9230" s="39">
        <f t="array" ref="C9230">NPV(B9230,FCFF!$C$9:$I$9)+FCFF!$B$9+FCFF!$I$9*(1+Inputs!$B$6)/(B9230-Inputs!$B$6)/(1+B9230)^7</f>
        <v>-1495.988937</v>
      </c>
    </row>
    <row r="9231" ht="14.25" customHeight="1">
      <c r="A9231" s="7">
        <v>9218.0</v>
      </c>
      <c r="B9231" s="14">
        <f t="shared" si="1"/>
        <v>0.1056595272</v>
      </c>
      <c r="C9231" s="39">
        <f t="array" ref="C9231">NPV(B9231,FCFF!$C$9:$I$9)+FCFF!$B$9+FCFF!$I$9*(1+Inputs!$B$6)/(B9231-Inputs!$B$6)/(1+B9231)^7</f>
        <v>-1531.817396</v>
      </c>
    </row>
    <row r="9232" ht="14.25" customHeight="1">
      <c r="A9232" s="7">
        <v>9219.0</v>
      </c>
      <c r="B9232" s="14">
        <f t="shared" si="1"/>
        <v>0.1143487427</v>
      </c>
      <c r="C9232" s="39">
        <f t="array" ref="C9232">NPV(B9232,FCFF!$C$9:$I$9)+FCFF!$B$9+FCFF!$I$9*(1+Inputs!$B$6)/(B9232-Inputs!$B$6)/(1+B9232)^7</f>
        <v>-1719.732457</v>
      </c>
    </row>
    <row r="9233" ht="14.25" customHeight="1">
      <c r="A9233" s="7">
        <v>9220.0</v>
      </c>
      <c r="B9233" s="14">
        <f t="shared" si="1"/>
        <v>0.1137593436</v>
      </c>
      <c r="C9233" s="39">
        <f t="array" ref="C9233">NPV(B9233,FCFF!$C$9:$I$9)+FCFF!$B$9+FCFF!$I$9*(1+Inputs!$B$6)/(B9233-Inputs!$B$6)/(1+B9233)^7</f>
        <v>-1708.261176</v>
      </c>
    </row>
    <row r="9234" ht="14.25" customHeight="1">
      <c r="A9234" s="7">
        <v>9221.0</v>
      </c>
      <c r="B9234" s="14">
        <f t="shared" si="1"/>
        <v>0.1202861231</v>
      </c>
      <c r="C9234" s="39">
        <f t="array" ref="C9234">NPV(B9234,FCFF!$C$9:$I$9)+FCFF!$B$9+FCFF!$I$9*(1+Inputs!$B$6)/(B9234-Inputs!$B$6)/(1+B9234)^7</f>
        <v>-1826.550419</v>
      </c>
    </row>
    <row r="9235" ht="14.25" customHeight="1">
      <c r="A9235" s="7">
        <v>9222.0</v>
      </c>
      <c r="B9235" s="14">
        <f t="shared" si="1"/>
        <v>0.1143380428</v>
      </c>
      <c r="C9235" s="39">
        <f t="array" ref="C9235">NPV(B9235,FCFF!$C$9:$I$9)+FCFF!$B$9+FCFF!$I$9*(1+Inputs!$B$6)/(B9235-Inputs!$B$6)/(1+B9235)^7</f>
        <v>-1719.525699</v>
      </c>
    </row>
    <row r="9236" ht="14.25" customHeight="1">
      <c r="A9236" s="7">
        <v>9223.0</v>
      </c>
      <c r="B9236" s="14">
        <f t="shared" si="1"/>
        <v>0.1229509055</v>
      </c>
      <c r="C9236" s="39">
        <f t="array" ref="C9236">NPV(B9236,FCFF!$C$9:$I$9)+FCFF!$B$9+FCFF!$I$9*(1+Inputs!$B$6)/(B9236-Inputs!$B$6)/(1+B9236)^7</f>
        <v>-1869.815465</v>
      </c>
    </row>
    <row r="9237" ht="14.25" customHeight="1">
      <c r="A9237" s="7">
        <v>9224.0</v>
      </c>
      <c r="B9237" s="14">
        <f t="shared" si="1"/>
        <v>0.09695218577</v>
      </c>
      <c r="C9237" s="39">
        <f t="array" ref="C9237">NPV(B9237,FCFF!$C$9:$I$9)+FCFF!$B$9+FCFF!$I$9*(1+Inputs!$B$6)/(B9237-Inputs!$B$6)/(1+B9237)^7</f>
        <v>-1293.455335</v>
      </c>
    </row>
    <row r="9238" ht="14.25" customHeight="1">
      <c r="A9238" s="7">
        <v>9225.0</v>
      </c>
      <c r="B9238" s="14">
        <f t="shared" si="1"/>
        <v>0.1041162423</v>
      </c>
      <c r="C9238" s="39">
        <f t="array" ref="C9238">NPV(B9238,FCFF!$C$9:$I$9)+FCFF!$B$9+FCFF!$I$9*(1+Inputs!$B$6)/(B9238-Inputs!$B$6)/(1+B9238)^7</f>
        <v>-1493.702024</v>
      </c>
    </row>
    <row r="9239" ht="14.25" customHeight="1">
      <c r="A9239" s="7">
        <v>9226.0</v>
      </c>
      <c r="B9239" s="14">
        <f t="shared" si="1"/>
        <v>0.1304427451</v>
      </c>
      <c r="C9239" s="39">
        <f t="array" ref="C9239">NPV(B9239,FCFF!$C$9:$I$9)+FCFF!$B$9+FCFF!$I$9*(1+Inputs!$B$6)/(B9239-Inputs!$B$6)/(1+B9239)^7</f>
        <v>-1978.340412</v>
      </c>
    </row>
    <row r="9240" ht="14.25" customHeight="1">
      <c r="A9240" s="7">
        <v>9227.0</v>
      </c>
      <c r="B9240" s="14">
        <f t="shared" si="1"/>
        <v>0.1214795556</v>
      </c>
      <c r="C9240" s="39">
        <f t="array" ref="C9240">NPV(B9240,FCFF!$C$9:$I$9)+FCFF!$B$9+FCFF!$I$9*(1+Inputs!$B$6)/(B9240-Inputs!$B$6)/(1+B9240)^7</f>
        <v>-1846.258097</v>
      </c>
    </row>
    <row r="9241" ht="14.25" customHeight="1">
      <c r="A9241" s="7">
        <v>9228.0</v>
      </c>
      <c r="B9241" s="14">
        <f t="shared" si="1"/>
        <v>0.1005408584</v>
      </c>
      <c r="C9241" s="39">
        <f t="array" ref="C9241">NPV(B9241,FCFF!$C$9:$I$9)+FCFF!$B$9+FCFF!$I$9*(1+Inputs!$B$6)/(B9241-Inputs!$B$6)/(1+B9241)^7</f>
        <v>-1398.887967</v>
      </c>
    </row>
    <row r="9242" ht="14.25" customHeight="1">
      <c r="A9242" s="7">
        <v>9229.0</v>
      </c>
      <c r="B9242" s="14">
        <f t="shared" si="1"/>
        <v>0.1166601582</v>
      </c>
      <c r="C9242" s="39">
        <f t="array" ref="C9242">NPV(B9242,FCFF!$C$9:$I$9)+FCFF!$B$9+FCFF!$I$9*(1+Inputs!$B$6)/(B9242-Inputs!$B$6)/(1+B9242)^7</f>
        <v>-1763.145851</v>
      </c>
    </row>
    <row r="9243" ht="14.25" customHeight="1">
      <c r="A9243" s="7">
        <v>9230.0</v>
      </c>
      <c r="B9243" s="14">
        <f t="shared" si="1"/>
        <v>0.09406086521</v>
      </c>
      <c r="C9243" s="39">
        <f t="array" ref="C9243">NPV(B9243,FCFF!$C$9:$I$9)+FCFF!$B$9+FCFF!$I$9*(1+Inputs!$B$6)/(B9243-Inputs!$B$6)/(1+B9243)^7</f>
        <v>-1199.928011</v>
      </c>
    </row>
    <row r="9244" ht="14.25" customHeight="1">
      <c r="A9244" s="7">
        <v>9231.0</v>
      </c>
      <c r="B9244" s="14">
        <f t="shared" si="1"/>
        <v>0.1170719839</v>
      </c>
      <c r="C9244" s="39">
        <f t="array" ref="C9244">NPV(B9244,FCFF!$C$9:$I$9)+FCFF!$B$9+FCFF!$I$9*(1+Inputs!$B$6)/(B9244-Inputs!$B$6)/(1+B9244)^7</f>
        <v>-1770.627358</v>
      </c>
    </row>
    <row r="9245" ht="14.25" customHeight="1">
      <c r="A9245" s="7">
        <v>9232.0</v>
      </c>
      <c r="B9245" s="14">
        <f t="shared" si="1"/>
        <v>0.1290389019</v>
      </c>
      <c r="C9245" s="39">
        <f t="array" ref="C9245">NPV(B9245,FCFF!$C$9:$I$9)+FCFF!$B$9+FCFF!$I$9*(1+Inputs!$B$6)/(B9245-Inputs!$B$6)/(1+B9245)^7</f>
        <v>-1959.350918</v>
      </c>
    </row>
    <row r="9246" ht="14.25" customHeight="1">
      <c r="A9246" s="7">
        <v>9233.0</v>
      </c>
      <c r="B9246" s="14">
        <f t="shared" si="1"/>
        <v>0.1214423852</v>
      </c>
      <c r="C9246" s="39">
        <f t="array" ref="C9246">NPV(B9246,FCFF!$C$9:$I$9)+FCFF!$B$9+FCFF!$I$9*(1+Inputs!$B$6)/(B9246-Inputs!$B$6)/(1+B9246)^7</f>
        <v>-1845.652523</v>
      </c>
    </row>
    <row r="9247" ht="14.25" customHeight="1">
      <c r="A9247" s="7">
        <v>9234.0</v>
      </c>
      <c r="B9247" s="14">
        <f t="shared" si="1"/>
        <v>0.1303640565</v>
      </c>
      <c r="C9247" s="39">
        <f t="array" ref="C9247">NPV(B9247,FCFF!$C$9:$I$9)+FCFF!$B$9+FCFF!$I$9*(1+Inputs!$B$6)/(B9247-Inputs!$B$6)/(1+B9247)^7</f>
        <v>-1977.291252</v>
      </c>
    </row>
    <row r="9248" ht="14.25" customHeight="1">
      <c r="A9248" s="7">
        <v>9235.0</v>
      </c>
      <c r="B9248" s="14">
        <f t="shared" si="1"/>
        <v>0.1017699228</v>
      </c>
      <c r="C9248" s="39">
        <f t="array" ref="C9248">NPV(B9248,FCFF!$C$9:$I$9)+FCFF!$B$9+FCFF!$I$9*(1+Inputs!$B$6)/(B9248-Inputs!$B$6)/(1+B9248)^7</f>
        <v>-1432.559506</v>
      </c>
    </row>
    <row r="9249" ht="14.25" customHeight="1">
      <c r="A9249" s="7">
        <v>9236.0</v>
      </c>
      <c r="B9249" s="14">
        <f t="shared" si="1"/>
        <v>0.1240875672</v>
      </c>
      <c r="C9249" s="39">
        <f t="array" ref="C9249">NPV(B9249,FCFF!$C$9:$I$9)+FCFF!$B$9+FCFF!$I$9*(1+Inputs!$B$6)/(B9249-Inputs!$B$6)/(1+B9249)^7</f>
        <v>-1887.476851</v>
      </c>
    </row>
    <row r="9250" ht="14.25" customHeight="1">
      <c r="A9250" s="7">
        <v>9237.0</v>
      </c>
      <c r="B9250" s="14">
        <f t="shared" si="1"/>
        <v>0.1210053313</v>
      </c>
      <c r="C9250" s="39">
        <f t="array" ref="C9250">NPV(B9250,FCFF!$C$9:$I$9)+FCFF!$B$9+FCFF!$I$9*(1+Inputs!$B$6)/(B9250-Inputs!$B$6)/(1+B9250)^7</f>
        <v>-1838.492693</v>
      </c>
    </row>
    <row r="9251" ht="14.25" customHeight="1">
      <c r="A9251" s="7">
        <v>9238.0</v>
      </c>
      <c r="B9251" s="14">
        <f t="shared" si="1"/>
        <v>0.1227540065</v>
      </c>
      <c r="C9251" s="39">
        <f t="array" ref="C9251">NPV(B9251,FCFF!$C$9:$I$9)+FCFF!$B$9+FCFF!$I$9*(1+Inputs!$B$6)/(B9251-Inputs!$B$6)/(1+B9251)^7</f>
        <v>-1866.709093</v>
      </c>
    </row>
    <row r="9252" ht="14.25" customHeight="1">
      <c r="A9252" s="7">
        <v>9239.0</v>
      </c>
      <c r="B9252" s="14">
        <f t="shared" si="1"/>
        <v>0.1030831502</v>
      </c>
      <c r="C9252" s="39">
        <f t="array" ref="C9252">NPV(B9252,FCFF!$C$9:$I$9)+FCFF!$B$9+FCFF!$I$9*(1+Inputs!$B$6)/(B9252-Inputs!$B$6)/(1+B9252)^7</f>
        <v>-1467.27146</v>
      </c>
    </row>
    <row r="9253" ht="14.25" customHeight="1">
      <c r="A9253" s="7">
        <v>9240.0</v>
      </c>
      <c r="B9253" s="14">
        <f t="shared" si="1"/>
        <v>0.1139722195</v>
      </c>
      <c r="C9253" s="39">
        <f t="array" ref="C9253">NPV(B9253,FCFF!$C$9:$I$9)+FCFF!$B$9+FCFF!$I$9*(1+Inputs!$B$6)/(B9253-Inputs!$B$6)/(1+B9253)^7</f>
        <v>-1712.42369</v>
      </c>
    </row>
    <row r="9254" ht="14.25" customHeight="1">
      <c r="A9254" s="7">
        <v>9241.0</v>
      </c>
      <c r="B9254" s="14">
        <f t="shared" si="1"/>
        <v>0.1156346191</v>
      </c>
      <c r="C9254" s="39">
        <f t="array" ref="C9254">NPV(B9254,FCFF!$C$9:$I$9)+FCFF!$B$9+FCFF!$I$9*(1+Inputs!$B$6)/(B9254-Inputs!$B$6)/(1+B9254)^7</f>
        <v>-1744.186857</v>
      </c>
    </row>
    <row r="9255" ht="14.25" customHeight="1">
      <c r="A9255" s="7">
        <v>9242.0</v>
      </c>
      <c r="B9255" s="14">
        <f t="shared" si="1"/>
        <v>0.1133532177</v>
      </c>
      <c r="C9255" s="39">
        <f t="array" ref="C9255">NPV(B9255,FCFF!$C$9:$I$9)+FCFF!$B$9+FCFF!$I$9*(1+Inputs!$B$6)/(B9255-Inputs!$B$6)/(1+B9255)^7</f>
        <v>-1700.258426</v>
      </c>
    </row>
    <row r="9256" ht="14.25" customHeight="1">
      <c r="A9256" s="7">
        <v>9243.0</v>
      </c>
      <c r="B9256" s="14">
        <f t="shared" si="1"/>
        <v>0.1094083334</v>
      </c>
      <c r="C9256" s="39">
        <f t="array" ref="C9256">NPV(B9256,FCFF!$C$9:$I$9)+FCFF!$B$9+FCFF!$I$9*(1+Inputs!$B$6)/(B9256-Inputs!$B$6)/(1+B9256)^7</f>
        <v>-1618.095845</v>
      </c>
    </row>
    <row r="9257" ht="14.25" customHeight="1">
      <c r="A9257" s="7">
        <v>9244.0</v>
      </c>
      <c r="B9257" s="14">
        <f t="shared" si="1"/>
        <v>0.1323326678</v>
      </c>
      <c r="C9257" s="39">
        <f t="array" ref="C9257">NPV(B9257,FCFF!$C$9:$I$9)+FCFF!$B$9+FCFF!$I$9*(1+Inputs!$B$6)/(B9257-Inputs!$B$6)/(1+B9257)^7</f>
        <v>-2003.012066</v>
      </c>
    </row>
    <row r="9258" ht="14.25" customHeight="1">
      <c r="A9258" s="7">
        <v>9245.0</v>
      </c>
      <c r="B9258" s="14">
        <f t="shared" si="1"/>
        <v>0.1238714097</v>
      </c>
      <c r="C9258" s="39">
        <f t="array" ref="C9258">NPV(B9258,FCFF!$C$9:$I$9)+FCFF!$B$9+FCFF!$I$9*(1+Inputs!$B$6)/(B9258-Inputs!$B$6)/(1+B9258)^7</f>
        <v>-1884.153388</v>
      </c>
    </row>
    <row r="9259" ht="14.25" customHeight="1">
      <c r="A9259" s="7">
        <v>9246.0</v>
      </c>
      <c r="B9259" s="14">
        <f t="shared" si="1"/>
        <v>0.1258372777</v>
      </c>
      <c r="C9259" s="39">
        <f t="array" ref="C9259">NPV(B9259,FCFF!$C$9:$I$9)+FCFF!$B$9+FCFF!$I$9*(1+Inputs!$B$6)/(B9259-Inputs!$B$6)/(1+B9259)^7</f>
        <v>-1913.788597</v>
      </c>
    </row>
    <row r="9260" ht="14.25" customHeight="1">
      <c r="A9260" s="7">
        <v>9247.0</v>
      </c>
      <c r="B9260" s="14">
        <f t="shared" si="1"/>
        <v>0.09554358076</v>
      </c>
      <c r="C9260" s="39">
        <f t="array" ref="C9260">NPV(B9260,FCFF!$C$9:$I$9)+FCFF!$B$9+FCFF!$I$9*(1+Inputs!$B$6)/(B9260-Inputs!$B$6)/(1+B9260)^7</f>
        <v>-1248.915456</v>
      </c>
    </row>
    <row r="9261" ht="14.25" customHeight="1">
      <c r="A9261" s="7">
        <v>9248.0</v>
      </c>
      <c r="B9261" s="14">
        <f t="shared" si="1"/>
        <v>0.1319426429</v>
      </c>
      <c r="C9261" s="39">
        <f t="array" ref="C9261">NPV(B9261,FCFF!$C$9:$I$9)+FCFF!$B$9+FCFF!$I$9*(1+Inputs!$B$6)/(B9261-Inputs!$B$6)/(1+B9261)^7</f>
        <v>-1998.002138</v>
      </c>
    </row>
    <row r="9262" ht="14.25" customHeight="1">
      <c r="A9262" s="7">
        <v>9249.0</v>
      </c>
      <c r="B9262" s="14">
        <f t="shared" si="1"/>
        <v>0.1023373496</v>
      </c>
      <c r="C9262" s="39">
        <f t="array" ref="C9262">NPV(B9262,FCFF!$C$9:$I$9)+FCFF!$B$9+FCFF!$I$9*(1+Inputs!$B$6)/(B9262-Inputs!$B$6)/(1+B9262)^7</f>
        <v>-1447.714665</v>
      </c>
    </row>
    <row r="9263" ht="14.25" customHeight="1">
      <c r="A9263" s="7">
        <v>9250.0</v>
      </c>
      <c r="B9263" s="14">
        <f t="shared" si="1"/>
        <v>0.09642529002</v>
      </c>
      <c r="C9263" s="39">
        <f t="array" ref="C9263">NPV(B9263,FCFF!$C$9:$I$9)+FCFF!$B$9+FCFF!$I$9*(1+Inputs!$B$6)/(B9263-Inputs!$B$6)/(1+B9263)^7</f>
        <v>-1277.01538</v>
      </c>
    </row>
    <row r="9264" ht="14.25" customHeight="1">
      <c r="A9264" s="7">
        <v>9251.0</v>
      </c>
      <c r="B9264" s="14">
        <f t="shared" si="1"/>
        <v>0.129671992</v>
      </c>
      <c r="C9264" s="39">
        <f t="array" ref="C9264">NPV(B9264,FCFF!$C$9:$I$9)+FCFF!$B$9+FCFF!$I$9*(1+Inputs!$B$6)/(B9264-Inputs!$B$6)/(1+B9264)^7</f>
        <v>-1967.986413</v>
      </c>
    </row>
    <row r="9265" ht="14.25" customHeight="1">
      <c r="A9265" s="7">
        <v>9252.0</v>
      </c>
      <c r="B9265" s="14">
        <f t="shared" si="1"/>
        <v>0.09337900323</v>
      </c>
      <c r="C9265" s="39">
        <f t="array" ref="C9265">NPV(B9265,FCFF!$C$9:$I$9)+FCFF!$B$9+FCFF!$I$9*(1+Inputs!$B$6)/(B9265-Inputs!$B$6)/(1+B9265)^7</f>
        <v>-1176.637337</v>
      </c>
    </row>
    <row r="9266" ht="14.25" customHeight="1">
      <c r="A9266" s="7">
        <v>9253.0</v>
      </c>
      <c r="B9266" s="14">
        <f t="shared" si="1"/>
        <v>0.1266556016</v>
      </c>
      <c r="C9266" s="39">
        <f t="array" ref="C9266">NPV(B9266,FCFF!$C$9:$I$9)+FCFF!$B$9+FCFF!$I$9*(1+Inputs!$B$6)/(B9266-Inputs!$B$6)/(1+B9266)^7</f>
        <v>-1925.743748</v>
      </c>
    </row>
    <row r="9267" ht="14.25" customHeight="1">
      <c r="A9267" s="7">
        <v>9254.0</v>
      </c>
      <c r="B9267" s="14">
        <f t="shared" si="1"/>
        <v>0.1059154089</v>
      </c>
      <c r="C9267" s="39">
        <f t="array" ref="C9267">NPV(B9267,FCFF!$C$9:$I$9)+FCFF!$B$9+FCFF!$I$9*(1+Inputs!$B$6)/(B9267-Inputs!$B$6)/(1+B9267)^7</f>
        <v>-1537.98427</v>
      </c>
    </row>
    <row r="9268" ht="14.25" customHeight="1">
      <c r="A9268" s="7">
        <v>9255.0</v>
      </c>
      <c r="B9268" s="14">
        <f t="shared" si="1"/>
        <v>0.1255703192</v>
      </c>
      <c r="C9268" s="39">
        <f t="array" ref="C9268">NPV(B9268,FCFF!$C$9:$I$9)+FCFF!$B$9+FCFF!$I$9*(1+Inputs!$B$6)/(B9268-Inputs!$B$6)/(1+B9268)^7</f>
        <v>-1909.840907</v>
      </c>
    </row>
    <row r="9269" ht="14.25" customHeight="1">
      <c r="A9269" s="7">
        <v>9256.0</v>
      </c>
      <c r="B9269" s="14">
        <f t="shared" si="1"/>
        <v>0.09859651818</v>
      </c>
      <c r="C9269" s="39">
        <f t="array" ref="C9269">NPV(B9269,FCFF!$C$9:$I$9)+FCFF!$B$9+FCFF!$I$9*(1+Inputs!$B$6)/(B9269-Inputs!$B$6)/(1+B9269)^7</f>
        <v>-1343.138075</v>
      </c>
    </row>
    <row r="9270" ht="14.25" customHeight="1">
      <c r="A9270" s="7">
        <v>9257.0</v>
      </c>
      <c r="B9270" s="14">
        <f t="shared" si="1"/>
        <v>0.1257591995</v>
      </c>
      <c r="C9270" s="39">
        <f t="array" ref="C9270">NPV(B9270,FCFF!$C$9:$I$9)+FCFF!$B$9+FCFF!$I$9*(1+Inputs!$B$6)/(B9270-Inputs!$B$6)/(1+B9270)^7</f>
        <v>-1912.636449</v>
      </c>
    </row>
    <row r="9271" ht="14.25" customHeight="1">
      <c r="A9271" s="7">
        <v>9258.0</v>
      </c>
      <c r="B9271" s="14">
        <f t="shared" si="1"/>
        <v>0.1089727649</v>
      </c>
      <c r="C9271" s="39">
        <f t="array" ref="C9271">NPV(B9271,FCFF!$C$9:$I$9)+FCFF!$B$9+FCFF!$I$9*(1+Inputs!$B$6)/(B9271-Inputs!$B$6)/(1+B9271)^7</f>
        <v>-1608.503253</v>
      </c>
    </row>
    <row r="9272" ht="14.25" customHeight="1">
      <c r="A9272" s="7">
        <v>9259.0</v>
      </c>
      <c r="B9272" s="14">
        <f t="shared" si="1"/>
        <v>0.1324316446</v>
      </c>
      <c r="C9272" s="39">
        <f t="array" ref="C9272">NPV(B9272,FCFF!$C$9:$I$9)+FCFF!$B$9+FCFF!$I$9*(1+Inputs!$B$6)/(B9272-Inputs!$B$6)/(1+B9272)^7</f>
        <v>-2004.276817</v>
      </c>
    </row>
    <row r="9273" ht="14.25" customHeight="1">
      <c r="A9273" s="7">
        <v>9260.0</v>
      </c>
      <c r="B9273" s="14">
        <f t="shared" si="1"/>
        <v>0.1058694265</v>
      </c>
      <c r="C9273" s="39">
        <f t="array" ref="C9273">NPV(B9273,FCFF!$C$9:$I$9)+FCFF!$B$9+FCFF!$I$9*(1+Inputs!$B$6)/(B9273-Inputs!$B$6)/(1+B9273)^7</f>
        <v>-1536.879205</v>
      </c>
    </row>
    <row r="9274" ht="14.25" customHeight="1">
      <c r="A9274" s="7">
        <v>9261.0</v>
      </c>
      <c r="B9274" s="14">
        <f t="shared" si="1"/>
        <v>0.1186358307</v>
      </c>
      <c r="C9274" s="39">
        <f t="array" ref="C9274">NPV(B9274,FCFF!$C$9:$I$9)+FCFF!$B$9+FCFF!$I$9*(1+Inputs!$B$6)/(B9274-Inputs!$B$6)/(1+B9274)^7</f>
        <v>-1798.371465</v>
      </c>
    </row>
    <row r="9275" ht="14.25" customHeight="1">
      <c r="A9275" s="7">
        <v>9262.0</v>
      </c>
      <c r="B9275" s="14">
        <f t="shared" si="1"/>
        <v>0.09644736814</v>
      </c>
      <c r="C9275" s="39">
        <f t="array" ref="C9275">NPV(B9275,FCFF!$C$9:$I$9)+FCFF!$B$9+FCFF!$I$9*(1+Inputs!$B$6)/(B9275-Inputs!$B$6)/(1+B9275)^7</f>
        <v>-1277.709472</v>
      </c>
    </row>
    <row r="9276" ht="14.25" customHeight="1">
      <c r="A9276" s="7">
        <v>9263.0</v>
      </c>
      <c r="B9276" s="14">
        <f t="shared" si="1"/>
        <v>0.1295738119</v>
      </c>
      <c r="C9276" s="39">
        <f t="array" ref="C9276">NPV(B9276,FCFF!$C$9:$I$9)+FCFF!$B$9+FCFF!$I$9*(1+Inputs!$B$6)/(B9276-Inputs!$B$6)/(1+B9276)^7</f>
        <v>-1966.655009</v>
      </c>
    </row>
    <row r="9277" ht="14.25" customHeight="1">
      <c r="A9277" s="7">
        <v>9264.0</v>
      </c>
      <c r="B9277" s="14">
        <f t="shared" si="1"/>
        <v>0.1252562517</v>
      </c>
      <c r="C9277" s="39">
        <f t="array" ref="C9277">NPV(B9277,FCFF!$C$9:$I$9)+FCFF!$B$9+FCFF!$I$9*(1+Inputs!$B$6)/(B9277-Inputs!$B$6)/(1+B9277)^7</f>
        <v>-1905.166169</v>
      </c>
    </row>
    <row r="9278" ht="14.25" customHeight="1">
      <c r="A9278" s="7">
        <v>9265.0</v>
      </c>
      <c r="B9278" s="14">
        <f t="shared" si="1"/>
        <v>0.1255658927</v>
      </c>
      <c r="C9278" s="39">
        <f t="array" ref="C9278">NPV(B9278,FCFF!$C$9:$I$9)+FCFF!$B$9+FCFF!$I$9*(1+Inputs!$B$6)/(B9278-Inputs!$B$6)/(1+B9278)^7</f>
        <v>-1909.775249</v>
      </c>
    </row>
    <row r="9279" ht="14.25" customHeight="1">
      <c r="A9279" s="7">
        <v>9266.0</v>
      </c>
      <c r="B9279" s="14">
        <f t="shared" si="1"/>
        <v>0.1023198865</v>
      </c>
      <c r="C9279" s="39">
        <f t="array" ref="C9279">NPV(B9279,FCFF!$C$9:$I$9)+FCFF!$B$9+FCFF!$I$9*(1+Inputs!$B$6)/(B9279-Inputs!$B$6)/(1+B9279)^7</f>
        <v>-1447.251842</v>
      </c>
    </row>
    <row r="9280" ht="14.25" customHeight="1">
      <c r="A9280" s="7">
        <v>9267.0</v>
      </c>
      <c r="B9280" s="14">
        <f t="shared" si="1"/>
        <v>0.1144381459</v>
      </c>
      <c r="C9280" s="39">
        <f t="array" ref="C9280">NPV(B9280,FCFF!$C$9:$I$9)+FCFF!$B$9+FCFF!$I$9*(1+Inputs!$B$6)/(B9280-Inputs!$B$6)/(1+B9280)^7</f>
        <v>-1721.457885</v>
      </c>
    </row>
    <row r="9281" ht="14.25" customHeight="1">
      <c r="A9281" s="7">
        <v>9268.0</v>
      </c>
      <c r="B9281" s="14">
        <f t="shared" si="1"/>
        <v>0.1326896894</v>
      </c>
      <c r="C9281" s="39">
        <f t="array" ref="C9281">NPV(B9281,FCFF!$C$9:$I$9)+FCFF!$B$9+FCFF!$I$9*(1+Inputs!$B$6)/(B9281-Inputs!$B$6)/(1+B9281)^7</f>
        <v>-2007.561662</v>
      </c>
    </row>
    <row r="9282" ht="14.25" customHeight="1">
      <c r="A9282" s="7">
        <v>9269.0</v>
      </c>
      <c r="B9282" s="14">
        <f t="shared" si="1"/>
        <v>0.1151685567</v>
      </c>
      <c r="C9282" s="39">
        <f t="array" ref="C9282">NPV(B9282,FCFF!$C$9:$I$9)+FCFF!$B$9+FCFF!$I$9*(1+Inputs!$B$6)/(B9282-Inputs!$B$6)/(1+B9282)^7</f>
        <v>-1735.412651</v>
      </c>
    </row>
    <row r="9283" ht="14.25" customHeight="1">
      <c r="A9283" s="7">
        <v>9270.0</v>
      </c>
      <c r="B9283" s="14">
        <f t="shared" si="1"/>
        <v>0.1189435113</v>
      </c>
      <c r="C9283" s="39">
        <f t="array" ref="C9283">NPV(B9283,FCFF!$C$9:$I$9)+FCFF!$B$9+FCFF!$I$9*(1+Inputs!$B$6)/(B9283-Inputs!$B$6)/(1+B9283)^7</f>
        <v>-1803.708987</v>
      </c>
    </row>
    <row r="9284" ht="14.25" customHeight="1">
      <c r="A9284" s="7">
        <v>9271.0</v>
      </c>
      <c r="B9284" s="14">
        <f t="shared" si="1"/>
        <v>0.1196658181</v>
      </c>
      <c r="C9284" s="39">
        <f t="array" ref="C9284">NPV(B9284,FCFF!$C$9:$I$9)+FCFF!$B$9+FCFF!$I$9*(1+Inputs!$B$6)/(B9284-Inputs!$B$6)/(1+B9284)^7</f>
        <v>-1816.087289</v>
      </c>
    </row>
    <row r="9285" ht="14.25" customHeight="1">
      <c r="A9285" s="7">
        <v>9272.0</v>
      </c>
      <c r="B9285" s="14">
        <f t="shared" si="1"/>
        <v>0.09598868179</v>
      </c>
      <c r="C9285" s="39">
        <f t="array" ref="C9285">NPV(B9285,FCFF!$C$9:$I$9)+FCFF!$B$9+FCFF!$I$9*(1+Inputs!$B$6)/(B9285-Inputs!$B$6)/(1+B9285)^7</f>
        <v>-1263.194213</v>
      </c>
    </row>
    <row r="9286" ht="14.25" customHeight="1">
      <c r="A9286" s="7">
        <v>9273.0</v>
      </c>
      <c r="B9286" s="14">
        <f t="shared" si="1"/>
        <v>0.1040783236</v>
      </c>
      <c r="C9286" s="39">
        <f t="array" ref="C9286">NPV(B9286,FCFF!$C$9:$I$9)+FCFF!$B$9+FCFF!$I$9*(1+Inputs!$B$6)/(B9286-Inputs!$B$6)/(1+B9286)^7</f>
        <v>-1492.745161</v>
      </c>
    </row>
    <row r="9287" ht="14.25" customHeight="1">
      <c r="A9287" s="7">
        <v>9274.0</v>
      </c>
      <c r="B9287" s="14">
        <f t="shared" si="1"/>
        <v>0.1325704414</v>
      </c>
      <c r="C9287" s="39">
        <f t="array" ref="C9287">NPV(B9287,FCFF!$C$9:$I$9)+FCFF!$B$9+FCFF!$I$9*(1+Inputs!$B$6)/(B9287-Inputs!$B$6)/(1+B9287)^7</f>
        <v>-2006.045908</v>
      </c>
    </row>
    <row r="9288" ht="14.25" customHeight="1">
      <c r="A9288" s="7">
        <v>9275.0</v>
      </c>
      <c r="B9288" s="14">
        <f t="shared" si="1"/>
        <v>0.1086720179</v>
      </c>
      <c r="C9288" s="39">
        <f t="array" ref="C9288">NPV(B9288,FCFF!$C$9:$I$9)+FCFF!$B$9+FCFF!$I$9*(1+Inputs!$B$6)/(B9288-Inputs!$B$6)/(1+B9288)^7</f>
        <v>-1601.815991</v>
      </c>
    </row>
    <row r="9289" ht="14.25" customHeight="1">
      <c r="A9289" s="7">
        <v>9276.0</v>
      </c>
      <c r="B9289" s="14">
        <f t="shared" si="1"/>
        <v>0.1175351055</v>
      </c>
      <c r="C9289" s="39">
        <f t="array" ref="C9289">NPV(B9289,FCFF!$C$9:$I$9)+FCFF!$B$9+FCFF!$I$9*(1+Inputs!$B$6)/(B9289-Inputs!$B$6)/(1+B9289)^7</f>
        <v>-1778.952364</v>
      </c>
    </row>
    <row r="9290" ht="14.25" customHeight="1">
      <c r="A9290" s="7">
        <v>9277.0</v>
      </c>
      <c r="B9290" s="14">
        <f t="shared" si="1"/>
        <v>0.127832402</v>
      </c>
      <c r="C9290" s="39">
        <f t="array" ref="C9290">NPV(B9290,FCFF!$C$9:$I$9)+FCFF!$B$9+FCFF!$I$9*(1+Inputs!$B$6)/(B9290-Inputs!$B$6)/(1+B9290)^7</f>
        <v>-1942.558838</v>
      </c>
    </row>
    <row r="9291" ht="14.25" customHeight="1">
      <c r="A9291" s="7">
        <v>9278.0</v>
      </c>
      <c r="B9291" s="14">
        <f t="shared" si="1"/>
        <v>0.09572181732</v>
      </c>
      <c r="C9291" s="39">
        <f t="array" ref="C9291">NPV(B9291,FCFF!$C$9:$I$9)+FCFF!$B$9+FCFF!$I$9*(1+Inputs!$B$6)/(B9291-Inputs!$B$6)/(1+B9291)^7</f>
        <v>-1254.656356</v>
      </c>
    </row>
    <row r="9292" ht="14.25" customHeight="1">
      <c r="A9292" s="7">
        <v>9279.0</v>
      </c>
      <c r="B9292" s="14">
        <f t="shared" si="1"/>
        <v>0.1190209249</v>
      </c>
      <c r="C9292" s="39">
        <f t="array" ref="C9292">NPV(B9292,FCFF!$C$9:$I$9)+FCFF!$B$9+FCFF!$I$9*(1+Inputs!$B$6)/(B9292-Inputs!$B$6)/(1+B9292)^7</f>
        <v>-1805.045796</v>
      </c>
    </row>
    <row r="9293" ht="14.25" customHeight="1">
      <c r="A9293" s="7">
        <v>9280.0</v>
      </c>
      <c r="B9293" s="14">
        <f t="shared" si="1"/>
        <v>0.1260528355</v>
      </c>
      <c r="C9293" s="39">
        <f t="array" ref="C9293">NPV(B9293,FCFF!$C$9:$I$9)+FCFF!$B$9+FCFF!$I$9*(1+Inputs!$B$6)/(B9293-Inputs!$B$6)/(1+B9293)^7</f>
        <v>-1916.958997</v>
      </c>
    </row>
    <row r="9294" ht="14.25" customHeight="1">
      <c r="A9294" s="7">
        <v>9281.0</v>
      </c>
      <c r="B9294" s="14">
        <f t="shared" si="1"/>
        <v>0.1295570511</v>
      </c>
      <c r="C9294" s="39">
        <f t="array" ref="C9294">NPV(B9294,FCFF!$C$9:$I$9)+FCFF!$B$9+FCFF!$I$9*(1+Inputs!$B$6)/(B9294-Inputs!$B$6)/(1+B9294)^7</f>
        <v>-1966.427433</v>
      </c>
    </row>
    <row r="9295" ht="14.25" customHeight="1">
      <c r="A9295" s="7">
        <v>9282.0</v>
      </c>
      <c r="B9295" s="14">
        <f t="shared" si="1"/>
        <v>0.1137802541</v>
      </c>
      <c r="C9295" s="39">
        <f t="array" ref="C9295">NPV(B9295,FCFF!$C$9:$I$9)+FCFF!$B$9+FCFF!$I$9*(1+Inputs!$B$6)/(B9295-Inputs!$B$6)/(1+B9295)^7</f>
        <v>-1708.67103</v>
      </c>
    </row>
    <row r="9296" ht="14.25" customHeight="1">
      <c r="A9296" s="7">
        <v>9283.0</v>
      </c>
      <c r="B9296" s="14">
        <f t="shared" si="1"/>
        <v>0.1090372436</v>
      </c>
      <c r="C9296" s="39">
        <f t="array" ref="C9296">NPV(B9296,FCFF!$C$9:$I$9)+FCFF!$B$9+FCFF!$I$9*(1+Inputs!$B$6)/(B9296-Inputs!$B$6)/(1+B9296)^7</f>
        <v>-1609.930149</v>
      </c>
    </row>
    <row r="9297" ht="14.25" customHeight="1">
      <c r="A9297" s="7">
        <v>9284.0</v>
      </c>
      <c r="B9297" s="14">
        <f t="shared" si="1"/>
        <v>0.09387221938</v>
      </c>
      <c r="C9297" s="39">
        <f t="array" ref="C9297">NPV(B9297,FCFF!$C$9:$I$9)+FCFF!$B$9+FCFF!$I$9*(1+Inputs!$B$6)/(B9297-Inputs!$B$6)/(1+B9297)^7</f>
        <v>-1193.533602</v>
      </c>
    </row>
    <row r="9298" ht="14.25" customHeight="1">
      <c r="A9298" s="7">
        <v>9285.0</v>
      </c>
      <c r="B9298" s="14">
        <f t="shared" si="1"/>
        <v>0.1072988218</v>
      </c>
      <c r="C9298" s="39">
        <f t="array" ref="C9298">NPV(B9298,FCFF!$C$9:$I$9)+FCFF!$B$9+FCFF!$I$9*(1+Inputs!$B$6)/(B9298-Inputs!$B$6)/(1+B9298)^7</f>
        <v>-1570.602081</v>
      </c>
    </row>
    <row r="9299" ht="14.25" customHeight="1">
      <c r="A9299" s="7">
        <v>9286.0</v>
      </c>
      <c r="B9299" s="14">
        <f t="shared" si="1"/>
        <v>0.1202544513</v>
      </c>
      <c r="C9299" s="39">
        <f t="array" ref="C9299">NPV(B9299,FCFF!$C$9:$I$9)+FCFF!$B$9+FCFF!$I$9*(1+Inputs!$B$6)/(B9299-Inputs!$B$6)/(1+B9299)^7</f>
        <v>-1826.019876</v>
      </c>
    </row>
    <row r="9300" ht="14.25" customHeight="1">
      <c r="A9300" s="7">
        <v>9287.0</v>
      </c>
      <c r="B9300" s="14">
        <f t="shared" si="1"/>
        <v>0.1154729343</v>
      </c>
      <c r="C9300" s="39">
        <f t="array" ref="C9300">NPV(B9300,FCFF!$C$9:$I$9)+FCFF!$B$9+FCFF!$I$9*(1+Inputs!$B$6)/(B9300-Inputs!$B$6)/(1+B9300)^7</f>
        <v>-1741.154285</v>
      </c>
    </row>
    <row r="9301" ht="14.25" customHeight="1">
      <c r="A9301" s="7">
        <v>9288.0</v>
      </c>
      <c r="B9301" s="14">
        <f t="shared" si="1"/>
        <v>0.09625834119</v>
      </c>
      <c r="C9301" s="39">
        <f t="array" ref="C9301">NPV(B9301,FCFF!$C$9:$I$9)+FCFF!$B$9+FCFF!$I$9*(1+Inputs!$B$6)/(B9301-Inputs!$B$6)/(1+B9301)^7</f>
        <v>-1271.75192</v>
      </c>
    </row>
    <row r="9302" ht="14.25" customHeight="1">
      <c r="A9302" s="7">
        <v>9289.0</v>
      </c>
      <c r="B9302" s="14">
        <f t="shared" si="1"/>
        <v>0.1213544655</v>
      </c>
      <c r="C9302" s="39">
        <f t="array" ref="C9302">NPV(B9302,FCFF!$C$9:$I$9)+FCFF!$B$9+FCFF!$I$9*(1+Inputs!$B$6)/(B9302-Inputs!$B$6)/(1+B9302)^7</f>
        <v>-1844.218066</v>
      </c>
    </row>
    <row r="9303" ht="14.25" customHeight="1">
      <c r="A9303" s="7">
        <v>9290.0</v>
      </c>
      <c r="B9303" s="14">
        <f t="shared" si="1"/>
        <v>0.1284856307</v>
      </c>
      <c r="C9303" s="39">
        <f t="array" ref="C9303">NPV(B9303,FCFF!$C$9:$I$9)+FCFF!$B$9+FCFF!$I$9*(1+Inputs!$B$6)/(B9303-Inputs!$B$6)/(1+B9303)^7</f>
        <v>-1951.705697</v>
      </c>
    </row>
    <row r="9304" ht="14.25" customHeight="1">
      <c r="A9304" s="7">
        <v>9291.0</v>
      </c>
      <c r="B9304" s="14">
        <f t="shared" si="1"/>
        <v>0.1086805439</v>
      </c>
      <c r="C9304" s="39">
        <f t="array" ref="C9304">NPV(B9304,FCFF!$C$9:$I$9)+FCFF!$B$9+FCFF!$I$9*(1+Inputs!$B$6)/(B9304-Inputs!$B$6)/(1+B9304)^7</f>
        <v>-1602.006296</v>
      </c>
    </row>
    <row r="9305" ht="14.25" customHeight="1">
      <c r="A9305" s="7">
        <v>9292.0</v>
      </c>
      <c r="B9305" s="14">
        <f t="shared" si="1"/>
        <v>0.1058267622</v>
      </c>
      <c r="C9305" s="39">
        <f t="array" ref="C9305">NPV(B9305,FCFF!$C$9:$I$9)+FCFF!$B$9+FCFF!$I$9*(1+Inputs!$B$6)/(B9305-Inputs!$B$6)/(1+B9305)^7</f>
        <v>-1535.852655</v>
      </c>
    </row>
    <row r="9306" ht="14.25" customHeight="1">
      <c r="A9306" s="7">
        <v>9293.0</v>
      </c>
      <c r="B9306" s="14">
        <f t="shared" si="1"/>
        <v>0.1097110813</v>
      </c>
      <c r="C9306" s="39">
        <f t="array" ref="C9306">NPV(B9306,FCFF!$C$9:$I$9)+FCFF!$B$9+FCFF!$I$9*(1+Inputs!$B$6)/(B9306-Inputs!$B$6)/(1+B9306)^7</f>
        <v>-1624.699642</v>
      </c>
    </row>
    <row r="9307" ht="14.25" customHeight="1">
      <c r="A9307" s="7">
        <v>9294.0</v>
      </c>
      <c r="B9307" s="14">
        <f t="shared" si="1"/>
        <v>0.09713591493</v>
      </c>
      <c r="C9307" s="39">
        <f t="array" ref="C9307">NPV(B9307,FCFF!$C$9:$I$9)+FCFF!$B$9+FCFF!$I$9*(1+Inputs!$B$6)/(B9307-Inputs!$B$6)/(1+B9307)^7</f>
        <v>-1299.127402</v>
      </c>
    </row>
    <row r="9308" ht="14.25" customHeight="1">
      <c r="A9308" s="7">
        <v>9295.0</v>
      </c>
      <c r="B9308" s="14">
        <f t="shared" si="1"/>
        <v>0.0966273547</v>
      </c>
      <c r="C9308" s="39">
        <f t="array" ref="C9308">NPV(B9308,FCFF!$C$9:$I$9)+FCFF!$B$9+FCFF!$I$9*(1+Inputs!$B$6)/(B9308-Inputs!$B$6)/(1+B9308)^7</f>
        <v>-1283.350773</v>
      </c>
    </row>
    <row r="9309" ht="14.25" customHeight="1">
      <c r="A9309" s="7">
        <v>9296.0</v>
      </c>
      <c r="B9309" s="14">
        <f t="shared" si="1"/>
        <v>0.107765721</v>
      </c>
      <c r="C9309" s="39">
        <f t="array" ref="C9309">NPV(B9309,FCFF!$C$9:$I$9)+FCFF!$B$9+FCFF!$I$9*(1+Inputs!$B$6)/(B9309-Inputs!$B$6)/(1+B9309)^7</f>
        <v>-1581.34216</v>
      </c>
    </row>
    <row r="9310" ht="14.25" customHeight="1">
      <c r="A9310" s="7">
        <v>9297.0</v>
      </c>
      <c r="B9310" s="14">
        <f t="shared" si="1"/>
        <v>0.1327158811</v>
      </c>
      <c r="C9310" s="39">
        <f t="array" ref="C9310">NPV(B9310,FCFF!$C$9:$I$9)+FCFF!$B$9+FCFF!$I$9*(1+Inputs!$B$6)/(B9310-Inputs!$B$6)/(1+B9310)^7</f>
        <v>-2007.894068</v>
      </c>
    </row>
    <row r="9311" ht="14.25" customHeight="1">
      <c r="A9311" s="7">
        <v>9298.0</v>
      </c>
      <c r="B9311" s="14">
        <f t="shared" si="1"/>
        <v>0.1326190232</v>
      </c>
      <c r="C9311" s="39">
        <f t="array" ref="C9311">NPV(B9311,FCFF!$C$9:$I$9)+FCFF!$B$9+FCFF!$I$9*(1+Inputs!$B$6)/(B9311-Inputs!$B$6)/(1+B9311)^7</f>
        <v>-2006.663893</v>
      </c>
    </row>
    <row r="9312" ht="14.25" customHeight="1">
      <c r="A9312" s="7">
        <v>9299.0</v>
      </c>
      <c r="B9312" s="14">
        <f t="shared" si="1"/>
        <v>0.10021741</v>
      </c>
      <c r="C9312" s="39">
        <f t="array" ref="C9312">NPV(B9312,FCFF!$C$9:$I$9)+FCFF!$B$9+FCFF!$I$9*(1+Inputs!$B$6)/(B9312-Inputs!$B$6)/(1+B9312)^7</f>
        <v>-1389.829107</v>
      </c>
    </row>
    <row r="9313" ht="14.25" customHeight="1">
      <c r="A9313" s="7">
        <v>9300.0</v>
      </c>
      <c r="B9313" s="14">
        <f t="shared" si="1"/>
        <v>0.1305291118</v>
      </c>
      <c r="C9313" s="39">
        <f t="array" ref="C9313">NPV(B9313,FCFF!$C$9:$I$9)+FCFF!$B$9+FCFF!$I$9*(1+Inputs!$B$6)/(B9313-Inputs!$B$6)/(1+B9313)^7</f>
        <v>-1979.489892</v>
      </c>
    </row>
    <row r="9314" ht="14.25" customHeight="1">
      <c r="A9314" s="7">
        <v>9301.0</v>
      </c>
      <c r="B9314" s="14">
        <f t="shared" si="1"/>
        <v>0.1073527798</v>
      </c>
      <c r="C9314" s="39">
        <f t="array" ref="C9314">NPV(B9314,FCFF!$C$9:$I$9)+FCFF!$B$9+FCFF!$I$9*(1+Inputs!$B$6)/(B9314-Inputs!$B$6)/(1+B9314)^7</f>
        <v>-1571.850076</v>
      </c>
    </row>
    <row r="9315" ht="14.25" customHeight="1">
      <c r="A9315" s="7">
        <v>9302.0</v>
      </c>
      <c r="B9315" s="14">
        <f t="shared" si="1"/>
        <v>0.09370402169</v>
      </c>
      <c r="C9315" s="39">
        <f t="array" ref="C9315">NPV(B9315,FCFF!$C$9:$I$9)+FCFF!$B$9+FCFF!$I$9*(1+Inputs!$B$6)/(B9315-Inputs!$B$6)/(1+B9315)^7</f>
        <v>-1187.800689</v>
      </c>
    </row>
    <row r="9316" ht="14.25" customHeight="1">
      <c r="A9316" s="7">
        <v>9303.0</v>
      </c>
      <c r="B9316" s="14">
        <f t="shared" si="1"/>
        <v>0.1197712609</v>
      </c>
      <c r="C9316" s="39">
        <f t="array" ref="C9316">NPV(B9316,FCFF!$C$9:$I$9)+FCFF!$B$9+FCFF!$I$9*(1+Inputs!$B$6)/(B9316-Inputs!$B$6)/(1+B9316)^7</f>
        <v>-1817.876667</v>
      </c>
    </row>
    <row r="9317" ht="14.25" customHeight="1">
      <c r="A9317" s="7">
        <v>9304.0</v>
      </c>
      <c r="B9317" s="14">
        <f t="shared" si="1"/>
        <v>0.1118598433</v>
      </c>
      <c r="C9317" s="39">
        <f t="array" ref="C9317">NPV(B9317,FCFF!$C$9:$I$9)+FCFF!$B$9+FCFF!$I$9*(1+Inputs!$B$6)/(B9317-Inputs!$B$6)/(1+B9317)^7</f>
        <v>-1670.120468</v>
      </c>
    </row>
    <row r="9318" ht="14.25" customHeight="1">
      <c r="A9318" s="7">
        <v>9305.0</v>
      </c>
      <c r="B9318" s="14">
        <f t="shared" si="1"/>
        <v>0.09701080809</v>
      </c>
      <c r="C9318" s="39">
        <f t="array" ref="C9318">NPV(B9318,FCFF!$C$9:$I$9)+FCFF!$B$9+FCFF!$I$9*(1+Inputs!$B$6)/(B9318-Inputs!$B$6)/(1+B9318)^7</f>
        <v>-1295.268491</v>
      </c>
    </row>
    <row r="9319" ht="14.25" customHeight="1">
      <c r="A9319" s="7">
        <v>9306.0</v>
      </c>
      <c r="B9319" s="14">
        <f t="shared" si="1"/>
        <v>0.1018431349</v>
      </c>
      <c r="C9319" s="39">
        <f t="array" ref="C9319">NPV(B9319,FCFF!$C$9:$I$9)+FCFF!$B$9+FCFF!$I$9*(1+Inputs!$B$6)/(B9319-Inputs!$B$6)/(1+B9319)^7</f>
        <v>-1434.528505</v>
      </c>
    </row>
    <row r="9320" ht="14.25" customHeight="1">
      <c r="A9320" s="7">
        <v>9307.0</v>
      </c>
      <c r="B9320" s="14">
        <f t="shared" si="1"/>
        <v>0.0961461006</v>
      </c>
      <c r="C9320" s="39">
        <f t="array" ref="C9320">NPV(B9320,FCFF!$C$9:$I$9)+FCFF!$B$9+FCFF!$I$9*(1+Inputs!$B$6)/(B9320-Inputs!$B$6)/(1+B9320)^7</f>
        <v>-1268.198382</v>
      </c>
    </row>
    <row r="9321" ht="14.25" customHeight="1">
      <c r="A9321" s="7">
        <v>9308.0</v>
      </c>
      <c r="B9321" s="14">
        <f t="shared" si="1"/>
        <v>0.1214485321</v>
      </c>
      <c r="C9321" s="39">
        <f t="array" ref="C9321">NPV(B9321,FCFF!$C$9:$I$9)+FCFF!$B$9+FCFF!$I$9*(1+Inputs!$B$6)/(B9321-Inputs!$B$6)/(1+B9321)^7</f>
        <v>-1845.752703</v>
      </c>
    </row>
    <row r="9322" ht="14.25" customHeight="1">
      <c r="A9322" s="7">
        <v>9309.0</v>
      </c>
      <c r="B9322" s="14">
        <f t="shared" si="1"/>
        <v>0.1143871807</v>
      </c>
      <c r="C9322" s="39">
        <f t="array" ref="C9322">NPV(B9322,FCFF!$C$9:$I$9)+FCFF!$B$9+FCFF!$I$9*(1+Inputs!$B$6)/(B9322-Inputs!$B$6)/(1+B9322)^7</f>
        <v>-1720.474755</v>
      </c>
    </row>
    <row r="9323" ht="14.25" customHeight="1">
      <c r="A9323" s="7">
        <v>9310.0</v>
      </c>
      <c r="B9323" s="14">
        <f t="shared" si="1"/>
        <v>0.1153449615</v>
      </c>
      <c r="C9323" s="39">
        <f t="array" ref="C9323">NPV(B9323,FCFF!$C$9:$I$9)+FCFF!$B$9+FCFF!$I$9*(1+Inputs!$B$6)/(B9323-Inputs!$B$6)/(1+B9323)^7</f>
        <v>-1738.74549</v>
      </c>
    </row>
    <row r="9324" ht="14.25" customHeight="1">
      <c r="A9324" s="7">
        <v>9311.0</v>
      </c>
      <c r="B9324" s="14">
        <f t="shared" si="1"/>
        <v>0.09986176594</v>
      </c>
      <c r="C9324" s="39">
        <f t="array" ref="C9324">NPV(B9324,FCFF!$C$9:$I$9)+FCFF!$B$9+FCFF!$I$9*(1+Inputs!$B$6)/(B9324-Inputs!$B$6)/(1+B9324)^7</f>
        <v>-1379.771027</v>
      </c>
    </row>
    <row r="9325" ht="14.25" customHeight="1">
      <c r="A9325" s="7">
        <v>9312.0</v>
      </c>
      <c r="B9325" s="14">
        <f t="shared" si="1"/>
        <v>0.09922775562</v>
      </c>
      <c r="C9325" s="39">
        <f t="array" ref="C9325">NPV(B9325,FCFF!$C$9:$I$9)+FCFF!$B$9+FCFF!$I$9*(1+Inputs!$B$6)/(B9325-Inputs!$B$6)/(1+B9325)^7</f>
        <v>-1361.582536</v>
      </c>
    </row>
    <row r="9326" ht="14.25" customHeight="1">
      <c r="A9326" s="7">
        <v>9313.0</v>
      </c>
      <c r="B9326" s="14">
        <f t="shared" si="1"/>
        <v>0.09317564804</v>
      </c>
      <c r="C9326" s="39">
        <f t="array" ref="C9326">NPV(B9326,FCFF!$C$9:$I$9)+FCFF!$B$9+FCFF!$I$9*(1+Inputs!$B$6)/(B9326-Inputs!$B$6)/(1+B9326)^7</f>
        <v>-1169.594967</v>
      </c>
    </row>
    <row r="9327" ht="14.25" customHeight="1">
      <c r="A9327" s="7">
        <v>9314.0</v>
      </c>
      <c r="B9327" s="14">
        <f t="shared" si="1"/>
        <v>0.1163347508</v>
      </c>
      <c r="C9327" s="39">
        <f t="array" ref="C9327">NPV(B9327,FCFF!$C$9:$I$9)+FCFF!$B$9+FCFF!$I$9*(1+Inputs!$B$6)/(B9327-Inputs!$B$6)/(1+B9327)^7</f>
        <v>-1757.181257</v>
      </c>
    </row>
    <row r="9328" ht="14.25" customHeight="1">
      <c r="A9328" s="7">
        <v>9315.0</v>
      </c>
      <c r="B9328" s="14">
        <f t="shared" si="1"/>
        <v>0.1177308962</v>
      </c>
      <c r="C9328" s="39">
        <f t="array" ref="C9328">NPV(B9328,FCFF!$C$9:$I$9)+FCFF!$B$9+FCFF!$I$9*(1+Inputs!$B$6)/(B9328-Inputs!$B$6)/(1+B9328)^7</f>
        <v>-1782.444061</v>
      </c>
    </row>
    <row r="9329" ht="14.25" customHeight="1">
      <c r="A9329" s="7">
        <v>9316.0</v>
      </c>
      <c r="B9329" s="14">
        <f t="shared" si="1"/>
        <v>0.1022474292</v>
      </c>
      <c r="C9329" s="39">
        <f t="array" ref="C9329">NPV(B9329,FCFF!$C$9:$I$9)+FCFF!$B$9+FCFF!$I$9*(1+Inputs!$B$6)/(B9329-Inputs!$B$6)/(1+B9329)^7</f>
        <v>-1445.329084</v>
      </c>
    </row>
    <row r="9330" ht="14.25" customHeight="1">
      <c r="A9330" s="7">
        <v>9317.0</v>
      </c>
      <c r="B9330" s="14">
        <f t="shared" si="1"/>
        <v>0.1084485836</v>
      </c>
      <c r="C9330" s="39">
        <f t="array" ref="C9330">NPV(B9330,FCFF!$C$9:$I$9)+FCFF!$B$9+FCFF!$I$9*(1+Inputs!$B$6)/(B9330-Inputs!$B$6)/(1+B9330)^7</f>
        <v>-1596.813641</v>
      </c>
    </row>
    <row r="9331" ht="14.25" customHeight="1">
      <c r="A9331" s="7">
        <v>9318.0</v>
      </c>
      <c r="B9331" s="14">
        <f t="shared" si="1"/>
        <v>0.1065136927</v>
      </c>
      <c r="C9331" s="39">
        <f t="array" ref="C9331">NPV(B9331,FCFF!$C$9:$I$9)+FCFF!$B$9+FCFF!$I$9*(1+Inputs!$B$6)/(B9331-Inputs!$B$6)/(1+B9331)^7</f>
        <v>-1552.238668</v>
      </c>
    </row>
    <row r="9332" ht="14.25" customHeight="1">
      <c r="A9332" s="7">
        <v>9319.0</v>
      </c>
      <c r="B9332" s="14">
        <f t="shared" si="1"/>
        <v>0.1288743556</v>
      </c>
      <c r="C9332" s="39">
        <f t="array" ref="C9332">NPV(B9332,FCFF!$C$9:$I$9)+FCFF!$B$9+FCFF!$I$9*(1+Inputs!$B$6)/(B9332-Inputs!$B$6)/(1+B9332)^7</f>
        <v>-1957.086853</v>
      </c>
    </row>
    <row r="9333" ht="14.25" customHeight="1">
      <c r="A9333" s="7">
        <v>9320.0</v>
      </c>
      <c r="B9333" s="14">
        <f t="shared" si="1"/>
        <v>0.1232721761</v>
      </c>
      <c r="C9333" s="39">
        <f t="array" ref="C9333">NPV(B9333,FCFF!$C$9:$I$9)+FCFF!$B$9+FCFF!$I$9*(1+Inputs!$B$6)/(B9333-Inputs!$B$6)/(1+B9333)^7</f>
        <v>-1874.853954</v>
      </c>
    </row>
    <row r="9334" ht="14.25" customHeight="1">
      <c r="A9334" s="7">
        <v>9321.0</v>
      </c>
      <c r="B9334" s="14">
        <f t="shared" si="1"/>
        <v>0.1161490633</v>
      </c>
      <c r="C9334" s="39">
        <f t="array" ref="C9334">NPV(B9334,FCFF!$C$9:$I$9)+FCFF!$B$9+FCFF!$I$9*(1+Inputs!$B$6)/(B9334-Inputs!$B$6)/(1+B9334)^7</f>
        <v>-1753.756486</v>
      </c>
    </row>
    <row r="9335" ht="14.25" customHeight="1">
      <c r="A9335" s="7">
        <v>9322.0</v>
      </c>
      <c r="B9335" s="14">
        <f t="shared" si="1"/>
        <v>0.1310495092</v>
      </c>
      <c r="C9335" s="39">
        <f t="array" ref="C9335">NPV(B9335,FCFF!$C$9:$I$9)+FCFF!$B$9+FCFF!$I$9*(1+Inputs!$B$6)/(B9335-Inputs!$B$6)/(1+B9335)^7</f>
        <v>-1986.370819</v>
      </c>
    </row>
    <row r="9336" ht="14.25" customHeight="1">
      <c r="A9336" s="7">
        <v>9323.0</v>
      </c>
      <c r="B9336" s="14">
        <f t="shared" si="1"/>
        <v>0.1106358323</v>
      </c>
      <c r="C9336" s="39">
        <f t="array" ref="C9336">NPV(B9336,FCFF!$C$9:$I$9)+FCFF!$B$9+FCFF!$I$9*(1+Inputs!$B$6)/(B9336-Inputs!$B$6)/(1+B9336)^7</f>
        <v>-1644.554159</v>
      </c>
    </row>
    <row r="9337" ht="14.25" customHeight="1">
      <c r="A9337" s="7">
        <v>9324.0</v>
      </c>
      <c r="B9337" s="14">
        <f t="shared" si="1"/>
        <v>0.1306868738</v>
      </c>
      <c r="C9337" s="39">
        <f t="array" ref="C9337">NPV(B9337,FCFF!$C$9:$I$9)+FCFF!$B$9+FCFF!$I$9*(1+Inputs!$B$6)/(B9337-Inputs!$B$6)/(1+B9337)^7</f>
        <v>-1981.58406</v>
      </c>
    </row>
    <row r="9338" ht="14.25" customHeight="1">
      <c r="A9338" s="7">
        <v>9325.0</v>
      </c>
      <c r="B9338" s="14">
        <f t="shared" si="1"/>
        <v>0.1188670079</v>
      </c>
      <c r="C9338" s="39">
        <f t="array" ref="C9338">NPV(B9338,FCFF!$C$9:$I$9)+FCFF!$B$9+FCFF!$I$9*(1+Inputs!$B$6)/(B9338-Inputs!$B$6)/(1+B9338)^7</f>
        <v>-1802.385481</v>
      </c>
    </row>
    <row r="9339" ht="14.25" customHeight="1">
      <c r="A9339" s="7">
        <v>9326.0</v>
      </c>
      <c r="B9339" s="14">
        <f t="shared" si="1"/>
        <v>0.109500918</v>
      </c>
      <c r="C9339" s="39">
        <f t="array" ref="C9339">NPV(B9339,FCFF!$C$9:$I$9)+FCFF!$B$9+FCFF!$I$9*(1+Inputs!$B$6)/(B9339-Inputs!$B$6)/(1+B9339)^7</f>
        <v>-1620.120887</v>
      </c>
    </row>
    <row r="9340" ht="14.25" customHeight="1">
      <c r="A9340" s="7">
        <v>9327.0</v>
      </c>
      <c r="B9340" s="14">
        <f t="shared" si="1"/>
        <v>0.1097923406</v>
      </c>
      <c r="C9340" s="39">
        <f t="array" ref="C9340">NPV(B9340,FCFF!$C$9:$I$9)+FCFF!$B$9+FCFF!$I$9*(1+Inputs!$B$6)/(B9340-Inputs!$B$6)/(1+B9340)^7</f>
        <v>-1626.46334</v>
      </c>
    </row>
    <row r="9341" ht="14.25" customHeight="1">
      <c r="A9341" s="7">
        <v>9328.0</v>
      </c>
      <c r="B9341" s="14">
        <f t="shared" si="1"/>
        <v>0.1219918664</v>
      </c>
      <c r="C9341" s="39">
        <f t="array" ref="C9341">NPV(B9341,FCFF!$C$9:$I$9)+FCFF!$B$9+FCFF!$I$9*(1+Inputs!$B$6)/(B9341-Inputs!$B$6)/(1+B9341)^7</f>
        <v>-1854.55159</v>
      </c>
    </row>
    <row r="9342" ht="14.25" customHeight="1">
      <c r="A9342" s="7">
        <v>9329.0</v>
      </c>
      <c r="B9342" s="14">
        <f t="shared" si="1"/>
        <v>0.1080812776</v>
      </c>
      <c r="C9342" s="39">
        <f t="array" ref="C9342">NPV(B9342,FCFF!$C$9:$I$9)+FCFF!$B$9+FCFF!$I$9*(1+Inputs!$B$6)/(B9342-Inputs!$B$6)/(1+B9342)^7</f>
        <v>-1588.526228</v>
      </c>
    </row>
    <row r="9343" ht="14.25" customHeight="1">
      <c r="A9343" s="7">
        <v>9330.0</v>
      </c>
      <c r="B9343" s="14">
        <f t="shared" si="1"/>
        <v>0.1084988895</v>
      </c>
      <c r="C9343" s="39">
        <f t="array" ref="C9343">NPV(B9343,FCFF!$C$9:$I$9)+FCFF!$B$9+FCFF!$I$9*(1+Inputs!$B$6)/(B9343-Inputs!$B$6)/(1+B9343)^7</f>
        <v>-1597.942468</v>
      </c>
    </row>
    <row r="9344" ht="14.25" customHeight="1">
      <c r="A9344" s="7">
        <v>9331.0</v>
      </c>
      <c r="B9344" s="14">
        <f t="shared" si="1"/>
        <v>0.115590175</v>
      </c>
      <c r="C9344" s="39">
        <f t="array" ref="C9344">NPV(B9344,FCFF!$C$9:$I$9)+FCFF!$B$9+FCFF!$I$9*(1+Inputs!$B$6)/(B9344-Inputs!$B$6)/(1+B9344)^7</f>
        <v>-1743.354456</v>
      </c>
    </row>
    <row r="9345" ht="14.25" customHeight="1">
      <c r="A9345" s="7">
        <v>9332.0</v>
      </c>
      <c r="B9345" s="14">
        <f t="shared" si="1"/>
        <v>0.1221146494</v>
      </c>
      <c r="C9345" s="39">
        <f t="array" ref="C9345">NPV(B9345,FCFF!$C$9:$I$9)+FCFF!$B$9+FCFF!$I$9*(1+Inputs!$B$6)/(B9345-Inputs!$B$6)/(1+B9345)^7</f>
        <v>-1856.524676</v>
      </c>
    </row>
    <row r="9346" ht="14.25" customHeight="1">
      <c r="A9346" s="7">
        <v>9333.0</v>
      </c>
      <c r="B9346" s="14">
        <f t="shared" si="1"/>
        <v>0.1023074158</v>
      </c>
      <c r="C9346" s="39">
        <f t="array" ref="C9346">NPV(B9346,FCFF!$C$9:$I$9)+FCFF!$B$9+FCFF!$I$9*(1+Inputs!$B$6)/(B9346-Inputs!$B$6)/(1+B9346)^7</f>
        <v>-1446.921192</v>
      </c>
    </row>
    <row r="9347" ht="14.25" customHeight="1">
      <c r="A9347" s="7">
        <v>9334.0</v>
      </c>
      <c r="B9347" s="14">
        <f t="shared" si="1"/>
        <v>0.1229778907</v>
      </c>
      <c r="C9347" s="39">
        <f t="array" ref="C9347">NPV(B9347,FCFF!$C$9:$I$9)+FCFF!$B$9+FCFF!$I$9*(1+Inputs!$B$6)/(B9347-Inputs!$B$6)/(1+B9347)^7</f>
        <v>-1870.240103</v>
      </c>
    </row>
    <row r="9348" ht="14.25" customHeight="1">
      <c r="A9348" s="7">
        <v>9335.0</v>
      </c>
      <c r="B9348" s="14">
        <f t="shared" si="1"/>
        <v>0.09851866245</v>
      </c>
      <c r="C9348" s="39">
        <f t="array" ref="C9348">NPV(B9348,FCFF!$C$9:$I$9)+FCFF!$B$9+FCFF!$I$9*(1+Inputs!$B$6)/(B9348-Inputs!$B$6)/(1+B9348)^7</f>
        <v>-1340.839547</v>
      </c>
    </row>
    <row r="9349" ht="14.25" customHeight="1">
      <c r="A9349" s="7">
        <v>9336.0</v>
      </c>
      <c r="B9349" s="14">
        <f t="shared" si="1"/>
        <v>0.112960157</v>
      </c>
      <c r="C9349" s="39">
        <f t="array" ref="C9349">NPV(B9349,FCFF!$C$9:$I$9)+FCFF!$B$9+FCFF!$I$9*(1+Inputs!$B$6)/(B9349-Inputs!$B$6)/(1+B9349)^7</f>
        <v>-1692.435407</v>
      </c>
    </row>
    <row r="9350" ht="14.25" customHeight="1">
      <c r="A9350" s="7">
        <v>9337.0</v>
      </c>
      <c r="B9350" s="14">
        <f t="shared" si="1"/>
        <v>0.09609854587</v>
      </c>
      <c r="C9350" s="39">
        <f t="array" ref="C9350">NPV(B9350,FCFF!$C$9:$I$9)+FCFF!$B$9+FCFF!$I$9*(1+Inputs!$B$6)/(B9350-Inputs!$B$6)/(1+B9350)^7</f>
        <v>-1266.689173</v>
      </c>
    </row>
    <row r="9351" ht="14.25" customHeight="1">
      <c r="A9351" s="7">
        <v>9338.0</v>
      </c>
      <c r="B9351" s="14">
        <f t="shared" si="1"/>
        <v>0.1210706538</v>
      </c>
      <c r="C9351" s="39">
        <f t="array" ref="C9351">NPV(B9351,FCFF!$C$9:$I$9)+FCFF!$B$9+FCFF!$I$9*(1+Inputs!$B$6)/(B9351-Inputs!$B$6)/(1+B9351)^7</f>
        <v>-1839.567447</v>
      </c>
    </row>
    <row r="9352" ht="14.25" customHeight="1">
      <c r="A9352" s="7">
        <v>9339.0</v>
      </c>
      <c r="B9352" s="14">
        <f t="shared" si="1"/>
        <v>0.1123668808</v>
      </c>
      <c r="C9352" s="39">
        <f t="array" ref="C9352">NPV(B9352,FCFF!$C$9:$I$9)+FCFF!$B$9+FCFF!$I$9*(1+Inputs!$B$6)/(B9352-Inputs!$B$6)/(1+B9352)^7</f>
        <v>-1680.480406</v>
      </c>
    </row>
    <row r="9353" ht="14.25" customHeight="1">
      <c r="A9353" s="7">
        <v>9340.0</v>
      </c>
      <c r="B9353" s="14">
        <f t="shared" si="1"/>
        <v>0.1320670641</v>
      </c>
      <c r="C9353" s="39">
        <f t="array" ref="C9353">NPV(B9353,FCFF!$C$9:$I$9)+FCFF!$B$9+FCFF!$I$9*(1+Inputs!$B$6)/(B9353-Inputs!$B$6)/(1+B9353)^7</f>
        <v>-1999.604884</v>
      </c>
    </row>
    <row r="9354" ht="14.25" customHeight="1">
      <c r="A9354" s="7">
        <v>9341.0</v>
      </c>
      <c r="B9354" s="14">
        <f t="shared" si="1"/>
        <v>0.116604748</v>
      </c>
      <c r="C9354" s="39">
        <f t="array" ref="C9354">NPV(B9354,FCFF!$C$9:$I$9)+FCFF!$B$9+FCFF!$I$9*(1+Inputs!$B$6)/(B9354-Inputs!$B$6)/(1+B9354)^7</f>
        <v>-1762.133527</v>
      </c>
    </row>
    <row r="9355" ht="14.25" customHeight="1">
      <c r="A9355" s="7">
        <v>9342.0</v>
      </c>
      <c r="B9355" s="14">
        <f t="shared" si="1"/>
        <v>0.1323503051</v>
      </c>
      <c r="C9355" s="39">
        <f t="array" ref="C9355">NPV(B9355,FCFF!$C$9:$I$9)+FCFF!$B$9+FCFF!$I$9*(1+Inputs!$B$6)/(B9355-Inputs!$B$6)/(1+B9355)^7</f>
        <v>-2003.237636</v>
      </c>
    </row>
    <row r="9356" ht="14.25" customHeight="1">
      <c r="A9356" s="7">
        <v>9343.0</v>
      </c>
      <c r="B9356" s="14">
        <f t="shared" si="1"/>
        <v>0.1169913242</v>
      </c>
      <c r="C9356" s="39">
        <f t="array" ref="C9356">NPV(B9356,FCFF!$C$9:$I$9)+FCFF!$B$9+FCFF!$I$9*(1+Inputs!$B$6)/(B9356-Inputs!$B$6)/(1+B9356)^7</f>
        <v>-1769.167899</v>
      </c>
    </row>
    <row r="9357" ht="14.25" customHeight="1">
      <c r="A9357" s="7">
        <v>9344.0</v>
      </c>
      <c r="B9357" s="14">
        <f t="shared" si="1"/>
        <v>0.1059328663</v>
      </c>
      <c r="C9357" s="39">
        <f t="array" ref="C9357">NPV(B9357,FCFF!$C$9:$I$9)+FCFF!$B$9+FCFF!$I$9*(1+Inputs!$B$6)/(B9357-Inputs!$B$6)/(1+B9357)^7</f>
        <v>-1538.403456</v>
      </c>
    </row>
    <row r="9358" ht="14.25" customHeight="1">
      <c r="A9358" s="7">
        <v>9345.0</v>
      </c>
      <c r="B9358" s="14">
        <f t="shared" si="1"/>
        <v>0.1324040533</v>
      </c>
      <c r="C9358" s="39">
        <f t="array" ref="C9358">NPV(B9358,FCFF!$C$9:$I$9)+FCFF!$B$9+FCFF!$I$9*(1+Inputs!$B$6)/(B9358-Inputs!$B$6)/(1+B9358)^7</f>
        <v>-2003.924517</v>
      </c>
    </row>
    <row r="9359" ht="14.25" customHeight="1">
      <c r="A9359" s="7">
        <v>9346.0</v>
      </c>
      <c r="B9359" s="14">
        <f t="shared" si="1"/>
        <v>0.1199239968</v>
      </c>
      <c r="C9359" s="39">
        <f t="array" ref="C9359">NPV(B9359,FCFF!$C$9:$I$9)+FCFF!$B$9+FCFF!$I$9*(1+Inputs!$B$6)/(B9359-Inputs!$B$6)/(1+B9359)^7</f>
        <v>-1820.460741</v>
      </c>
    </row>
    <row r="9360" ht="14.25" customHeight="1">
      <c r="A9360" s="7">
        <v>9347.0</v>
      </c>
      <c r="B9360" s="14">
        <f t="shared" si="1"/>
        <v>0.1253553003</v>
      </c>
      <c r="C9360" s="39">
        <f t="array" ref="C9360">NPV(B9360,FCFF!$C$9:$I$9)+FCFF!$B$9+FCFF!$I$9*(1+Inputs!$B$6)/(B9360-Inputs!$B$6)/(1+B9360)^7</f>
        <v>-1906.644025</v>
      </c>
    </row>
    <row r="9361" ht="14.25" customHeight="1">
      <c r="A9361" s="7">
        <v>9348.0</v>
      </c>
      <c r="B9361" s="14">
        <f t="shared" si="1"/>
        <v>0.1075157843</v>
      </c>
      <c r="C9361" s="39">
        <f t="array" ref="C9361">NPV(B9361,FCFF!$C$9:$I$9)+FCFF!$B$9+FCFF!$I$9*(1+Inputs!$B$6)/(B9361-Inputs!$B$6)/(1+B9361)^7</f>
        <v>-1575.609381</v>
      </c>
    </row>
    <row r="9362" ht="14.25" customHeight="1">
      <c r="A9362" s="7">
        <v>9349.0</v>
      </c>
      <c r="B9362" s="14">
        <f t="shared" si="1"/>
        <v>0.1135759975</v>
      </c>
      <c r="C9362" s="39">
        <f t="array" ref="C9362">NPV(B9362,FCFF!$C$9:$I$9)+FCFF!$B$9+FCFF!$I$9*(1+Inputs!$B$6)/(B9362-Inputs!$B$6)/(1+B9362)^7</f>
        <v>-1704.658358</v>
      </c>
    </row>
    <row r="9363" ht="14.25" customHeight="1">
      <c r="A9363" s="7">
        <v>9350.0</v>
      </c>
      <c r="B9363" s="14">
        <f t="shared" si="1"/>
        <v>0.113952518</v>
      </c>
      <c r="C9363" s="39">
        <f t="array" ref="C9363">NPV(B9363,FCFF!$C$9:$I$9)+FCFF!$B$9+FCFF!$I$9*(1+Inputs!$B$6)/(B9363-Inputs!$B$6)/(1+B9363)^7</f>
        <v>-1712.039377</v>
      </c>
    </row>
    <row r="9364" ht="14.25" customHeight="1">
      <c r="A9364" s="7">
        <v>9351.0</v>
      </c>
      <c r="B9364" s="14">
        <f t="shared" si="1"/>
        <v>0.1307836741</v>
      </c>
      <c r="C9364" s="39">
        <f t="array" ref="C9364">NPV(B9364,FCFF!$C$9:$I$9)+FCFF!$B$9+FCFF!$I$9*(1+Inputs!$B$6)/(B9364-Inputs!$B$6)/(1+B9364)^7</f>
        <v>-1982.865481</v>
      </c>
    </row>
    <row r="9365" ht="14.25" customHeight="1">
      <c r="A9365" s="7">
        <v>9352.0</v>
      </c>
      <c r="B9365" s="14">
        <f t="shared" si="1"/>
        <v>0.1276168606</v>
      </c>
      <c r="C9365" s="39">
        <f t="array" ref="C9365">NPV(B9365,FCFF!$C$9:$I$9)+FCFF!$B$9+FCFF!$I$9*(1+Inputs!$B$6)/(B9365-Inputs!$B$6)/(1+B9365)^7</f>
        <v>-1939.511698</v>
      </c>
    </row>
    <row r="9366" ht="14.25" customHeight="1">
      <c r="A9366" s="7">
        <v>9353.0</v>
      </c>
      <c r="B9366" s="14">
        <f t="shared" si="1"/>
        <v>0.1024964929</v>
      </c>
      <c r="C9366" s="39">
        <f t="array" ref="C9366">NPV(B9366,FCFF!$C$9:$I$9)+FCFF!$B$9+FCFF!$I$9*(1+Inputs!$B$6)/(B9366-Inputs!$B$6)/(1+B9366)^7</f>
        <v>-1451.922034</v>
      </c>
    </row>
    <row r="9367" ht="14.25" customHeight="1">
      <c r="A9367" s="7">
        <v>9354.0</v>
      </c>
      <c r="B9367" s="14">
        <f t="shared" si="1"/>
        <v>0.1174906503</v>
      </c>
      <c r="C9367" s="39">
        <f t="array" ref="C9367">NPV(B9367,FCFF!$C$9:$I$9)+FCFF!$B$9+FCFF!$I$9*(1+Inputs!$B$6)/(B9367-Inputs!$B$6)/(1+B9367)^7</f>
        <v>-1778.157266</v>
      </c>
    </row>
    <row r="9368" ht="14.25" customHeight="1">
      <c r="A9368" s="7">
        <v>9355.0</v>
      </c>
      <c r="B9368" s="14">
        <f t="shared" si="1"/>
        <v>0.1090093626</v>
      </c>
      <c r="C9368" s="39">
        <f t="array" ref="C9368">NPV(B9368,FCFF!$C$9:$I$9)+FCFF!$B$9+FCFF!$I$9*(1+Inputs!$B$6)/(B9368-Inputs!$B$6)/(1+B9368)^7</f>
        <v>-1609.313446</v>
      </c>
    </row>
    <row r="9369" ht="14.25" customHeight="1">
      <c r="A9369" s="7">
        <v>9356.0</v>
      </c>
      <c r="B9369" s="14">
        <f t="shared" si="1"/>
        <v>0.1262909389</v>
      </c>
      <c r="C9369" s="39">
        <f t="array" ref="C9369">NPV(B9369,FCFF!$C$9:$I$9)+FCFF!$B$9+FCFF!$I$9*(1+Inputs!$B$6)/(B9369-Inputs!$B$6)/(1+B9369)^7</f>
        <v>-1920.443264</v>
      </c>
    </row>
    <row r="9370" ht="14.25" customHeight="1">
      <c r="A9370" s="7">
        <v>9357.0</v>
      </c>
      <c r="B9370" s="14">
        <f t="shared" si="1"/>
        <v>0.121590598</v>
      </c>
      <c r="C9370" s="39">
        <f t="array" ref="C9370">NPV(B9370,FCFF!$C$9:$I$9)+FCFF!$B$9+FCFF!$I$9*(1+Inputs!$B$6)/(B9370-Inputs!$B$6)/(1+B9370)^7</f>
        <v>-1848.064069</v>
      </c>
    </row>
    <row r="9371" ht="14.25" customHeight="1">
      <c r="A9371" s="7">
        <v>9358.0</v>
      </c>
      <c r="B9371" s="14">
        <f t="shared" si="1"/>
        <v>0.1051133537</v>
      </c>
      <c r="C9371" s="39">
        <f t="array" ref="C9371">NPV(B9371,FCFF!$C$9:$I$9)+FCFF!$B$9+FCFF!$I$9*(1+Inputs!$B$6)/(B9371-Inputs!$B$6)/(1+B9371)^7</f>
        <v>-1518.510801</v>
      </c>
    </row>
    <row r="9372" ht="14.25" customHeight="1">
      <c r="A9372" s="7">
        <v>9359.0</v>
      </c>
      <c r="B9372" s="14">
        <f t="shared" si="1"/>
        <v>0.09447081254</v>
      </c>
      <c r="C9372" s="39">
        <f t="array" ref="C9372">NPV(B9372,FCFF!$C$9:$I$9)+FCFF!$B$9+FCFF!$I$9*(1+Inputs!$B$6)/(B9372-Inputs!$B$6)/(1+B9372)^7</f>
        <v>-1213.695899</v>
      </c>
    </row>
    <row r="9373" ht="14.25" customHeight="1">
      <c r="A9373" s="7">
        <v>9360.0</v>
      </c>
      <c r="B9373" s="14">
        <f t="shared" si="1"/>
        <v>0.1231305118</v>
      </c>
      <c r="C9373" s="39">
        <f t="array" ref="C9373">NPV(B9373,FCFF!$C$9:$I$9)+FCFF!$B$9+FCFF!$I$9*(1+Inputs!$B$6)/(B9373-Inputs!$B$6)/(1+B9373)^7</f>
        <v>-1872.636804</v>
      </c>
    </row>
    <row r="9374" ht="14.25" customHeight="1">
      <c r="A9374" s="7">
        <v>9361.0</v>
      </c>
      <c r="B9374" s="14">
        <f t="shared" si="1"/>
        <v>0.1172875619</v>
      </c>
      <c r="C9374" s="39">
        <f t="array" ref="C9374">NPV(B9374,FCFF!$C$9:$I$9)+FCFF!$B$9+FCFF!$I$9*(1+Inputs!$B$6)/(B9374-Inputs!$B$6)/(1+B9374)^7</f>
        <v>-1774.514114</v>
      </c>
    </row>
    <row r="9375" ht="14.25" customHeight="1">
      <c r="A9375" s="7">
        <v>9362.0</v>
      </c>
      <c r="B9375" s="14">
        <f t="shared" si="1"/>
        <v>0.1006131992</v>
      </c>
      <c r="C9375" s="39">
        <f t="array" ref="C9375">NPV(B9375,FCFF!$C$9:$I$9)+FCFF!$B$9+FCFF!$I$9*(1+Inputs!$B$6)/(B9375-Inputs!$B$6)/(1+B9375)^7</f>
        <v>-1400.902584</v>
      </c>
    </row>
    <row r="9376" ht="14.25" customHeight="1">
      <c r="A9376" s="7">
        <v>9363.0</v>
      </c>
      <c r="B9376" s="14">
        <f t="shared" si="1"/>
        <v>0.1014525068</v>
      </c>
      <c r="C9376" s="39">
        <f t="array" ref="C9376">NPV(B9376,FCFF!$C$9:$I$9)+FCFF!$B$9+FCFF!$I$9*(1+Inputs!$B$6)/(B9376-Inputs!$B$6)/(1+B9376)^7</f>
        <v>-1423.97559</v>
      </c>
    </row>
    <row r="9377" ht="14.25" customHeight="1">
      <c r="A9377" s="7">
        <v>9364.0</v>
      </c>
      <c r="B9377" s="14">
        <f t="shared" si="1"/>
        <v>0.114211744</v>
      </c>
      <c r="C9377" s="39">
        <f t="array" ref="C9377">NPV(B9377,FCFF!$C$9:$I$9)+FCFF!$B$9+FCFF!$I$9*(1+Inputs!$B$6)/(B9377-Inputs!$B$6)/(1+B9377)^7</f>
        <v>-1717.081041</v>
      </c>
    </row>
    <row r="9378" ht="14.25" customHeight="1">
      <c r="A9378" s="7">
        <v>9365.0</v>
      </c>
      <c r="B9378" s="14">
        <f t="shared" si="1"/>
        <v>0.1186803493</v>
      </c>
      <c r="C9378" s="39">
        <f t="array" ref="C9378">NPV(B9378,FCFF!$C$9:$I$9)+FCFF!$B$9+FCFF!$I$9*(1+Inputs!$B$6)/(B9378-Inputs!$B$6)/(1+B9378)^7</f>
        <v>-1799.146175</v>
      </c>
    </row>
    <row r="9379" ht="14.25" customHeight="1">
      <c r="A9379" s="7">
        <v>9366.0</v>
      </c>
      <c r="B9379" s="14">
        <f t="shared" si="1"/>
        <v>0.1221247366</v>
      </c>
      <c r="C9379" s="39">
        <f t="array" ref="C9379">NPV(B9379,FCFF!$C$9:$I$9)+FCFF!$B$9+FCFF!$I$9*(1+Inputs!$B$6)/(B9379-Inputs!$B$6)/(1+B9379)^7</f>
        <v>-1856.686525</v>
      </c>
    </row>
    <row r="9380" ht="14.25" customHeight="1">
      <c r="A9380" s="7">
        <v>9367.0</v>
      </c>
      <c r="B9380" s="14">
        <f t="shared" si="1"/>
        <v>0.09804335052</v>
      </c>
      <c r="C9380" s="39">
        <f t="array" ref="C9380">NPV(B9380,FCFF!$C$9:$I$9)+FCFF!$B$9+FCFF!$I$9*(1+Inputs!$B$6)/(B9380-Inputs!$B$6)/(1+B9380)^7</f>
        <v>-1326.692618</v>
      </c>
    </row>
    <row r="9381" ht="14.25" customHeight="1">
      <c r="A9381" s="7">
        <v>9368.0</v>
      </c>
      <c r="B9381" s="14">
        <f t="shared" si="1"/>
        <v>0.1086873004</v>
      </c>
      <c r="C9381" s="39">
        <f t="array" ref="C9381">NPV(B9381,FCFF!$C$9:$I$9)+FCFF!$B$9+FCFF!$I$9*(1+Inputs!$B$6)/(B9381-Inputs!$B$6)/(1+B9381)^7</f>
        <v>-1602.157074</v>
      </c>
    </row>
    <row r="9382" ht="14.25" customHeight="1">
      <c r="A9382" s="7">
        <v>9369.0</v>
      </c>
      <c r="B9382" s="14">
        <f t="shared" si="1"/>
        <v>0.09489964084</v>
      </c>
      <c r="C9382" s="39">
        <f t="array" ref="C9382">NPV(B9382,FCFF!$C$9:$I$9)+FCFF!$B$9+FCFF!$I$9*(1+Inputs!$B$6)/(B9382-Inputs!$B$6)/(1+B9382)^7</f>
        <v>-1227.913285</v>
      </c>
    </row>
    <row r="9383" ht="14.25" customHeight="1">
      <c r="A9383" s="7">
        <v>9370.0</v>
      </c>
      <c r="B9383" s="14">
        <f t="shared" si="1"/>
        <v>0.1213518488</v>
      </c>
      <c r="C9383" s="39">
        <f t="array" ref="C9383">NPV(B9383,FCFF!$C$9:$I$9)+FCFF!$B$9+FCFF!$I$9*(1+Inputs!$B$6)/(B9383-Inputs!$B$6)/(1+B9383)^7</f>
        <v>-1844.175327</v>
      </c>
    </row>
    <row r="9384" ht="14.25" customHeight="1">
      <c r="A9384" s="7">
        <v>9371.0</v>
      </c>
      <c r="B9384" s="14">
        <f t="shared" si="1"/>
        <v>0.1045205952</v>
      </c>
      <c r="C9384" s="39">
        <f t="array" ref="C9384">NPV(B9384,FCFF!$C$9:$I$9)+FCFF!$B$9+FCFF!$I$9*(1+Inputs!$B$6)/(B9384-Inputs!$B$6)/(1+B9384)^7</f>
        <v>-1503.844097</v>
      </c>
    </row>
    <row r="9385" ht="14.25" customHeight="1">
      <c r="A9385" s="7">
        <v>9372.0</v>
      </c>
      <c r="B9385" s="14">
        <f t="shared" si="1"/>
        <v>0.1194558928</v>
      </c>
      <c r="C9385" s="39">
        <f t="array" ref="C9385">NPV(B9385,FCFF!$C$9:$I$9)+FCFF!$B$9+FCFF!$I$9*(1+Inputs!$B$6)/(B9385-Inputs!$B$6)/(1+B9385)^7</f>
        <v>-1812.511543</v>
      </c>
    </row>
    <row r="9386" ht="14.25" customHeight="1">
      <c r="A9386" s="7">
        <v>9373.0</v>
      </c>
      <c r="B9386" s="14">
        <f t="shared" si="1"/>
        <v>0.1069701531</v>
      </c>
      <c r="C9386" s="39">
        <f t="array" ref="C9386">NPV(B9386,FCFF!$C$9:$I$9)+FCFF!$B$9+FCFF!$I$9*(1+Inputs!$B$6)/(B9386-Inputs!$B$6)/(1+B9386)^7</f>
        <v>-1562.961551</v>
      </c>
    </row>
    <row r="9387" ht="14.25" customHeight="1">
      <c r="A9387" s="7">
        <v>9374.0</v>
      </c>
      <c r="B9387" s="14">
        <f t="shared" si="1"/>
        <v>0.1181444093</v>
      </c>
      <c r="C9387" s="39">
        <f t="array" ref="C9387">NPV(B9387,FCFF!$C$9:$I$9)+FCFF!$B$9+FCFF!$I$9*(1+Inputs!$B$6)/(B9387-Inputs!$B$6)/(1+B9387)^7</f>
        <v>-1789.764915</v>
      </c>
    </row>
    <row r="9388" ht="14.25" customHeight="1">
      <c r="A9388" s="7">
        <v>9375.0</v>
      </c>
      <c r="B9388" s="14">
        <f t="shared" si="1"/>
        <v>0.09764979456</v>
      </c>
      <c r="C9388" s="39">
        <f t="array" ref="C9388">NPV(B9388,FCFF!$C$9:$I$9)+FCFF!$B$9+FCFF!$I$9*(1+Inputs!$B$6)/(B9388-Inputs!$B$6)/(1+B9388)^7</f>
        <v>-1314.828376</v>
      </c>
    </row>
    <row r="9389" ht="14.25" customHeight="1">
      <c r="A9389" s="7">
        <v>9376.0</v>
      </c>
      <c r="B9389" s="14">
        <f t="shared" si="1"/>
        <v>0.1200338086</v>
      </c>
      <c r="C9389" s="39">
        <f t="array" ref="C9389">NPV(B9389,FCFF!$C$9:$I$9)+FCFF!$B$9+FCFF!$I$9*(1+Inputs!$B$6)/(B9389-Inputs!$B$6)/(1+B9389)^7</f>
        <v>-1822.312866</v>
      </c>
    </row>
    <row r="9390" ht="14.25" customHeight="1">
      <c r="A9390" s="7">
        <v>9377.0</v>
      </c>
      <c r="B9390" s="14">
        <f t="shared" si="1"/>
        <v>0.107924892</v>
      </c>
      <c r="C9390" s="39">
        <f t="array" ref="C9390">NPV(B9390,FCFF!$C$9:$I$9)+FCFF!$B$9+FCFF!$I$9*(1+Inputs!$B$6)/(B9390-Inputs!$B$6)/(1+B9390)^7</f>
        <v>-1584.97337</v>
      </c>
    </row>
    <row r="9391" ht="14.25" customHeight="1">
      <c r="A9391" s="7">
        <v>9378.0</v>
      </c>
      <c r="B9391" s="14">
        <f t="shared" si="1"/>
        <v>0.1024909054</v>
      </c>
      <c r="C9391" s="39">
        <f t="array" ref="C9391">NPV(B9391,FCFF!$C$9:$I$9)+FCFF!$B$9+FCFF!$I$9*(1+Inputs!$B$6)/(B9391-Inputs!$B$6)/(1+B9391)^7</f>
        <v>-1451.774631</v>
      </c>
    </row>
    <row r="9392" ht="14.25" customHeight="1">
      <c r="A9392" s="7">
        <v>9379.0</v>
      </c>
      <c r="B9392" s="14">
        <f t="shared" si="1"/>
        <v>0.1185240661</v>
      </c>
      <c r="C9392" s="39">
        <f t="array" ref="C9392">NPV(B9392,FCFF!$C$9:$I$9)+FCFF!$B$9+FCFF!$I$9*(1+Inputs!$B$6)/(B9392-Inputs!$B$6)/(1+B9392)^7</f>
        <v>-1796.42292</v>
      </c>
    </row>
    <row r="9393" ht="14.25" customHeight="1">
      <c r="A9393" s="7">
        <v>9380.0</v>
      </c>
      <c r="B9393" s="14">
        <f t="shared" si="1"/>
        <v>0.1136989657</v>
      </c>
      <c r="C9393" s="39">
        <f t="array" ref="C9393">NPV(B9393,FCFF!$C$9:$I$9)+FCFF!$B$9+FCFF!$I$9*(1+Inputs!$B$6)/(B9393-Inputs!$B$6)/(1+B9393)^7</f>
        <v>-1707.076545</v>
      </c>
    </row>
    <row r="9394" ht="14.25" customHeight="1">
      <c r="A9394" s="7">
        <v>9381.0</v>
      </c>
      <c r="B9394" s="14">
        <f t="shared" si="1"/>
        <v>0.1092107984</v>
      </c>
      <c r="C9394" s="39">
        <f t="array" ref="C9394">NPV(B9394,FCFF!$C$9:$I$9)+FCFF!$B$9+FCFF!$I$9*(1+Inputs!$B$6)/(B9394-Inputs!$B$6)/(1+B9394)^7</f>
        <v>-1613.758974</v>
      </c>
    </row>
    <row r="9395" ht="14.25" customHeight="1">
      <c r="A9395" s="7">
        <v>9382.0</v>
      </c>
      <c r="B9395" s="14">
        <f t="shared" si="1"/>
        <v>0.1030639855</v>
      </c>
      <c r="C9395" s="39">
        <f t="array" ref="C9395">NPV(B9395,FCFF!$C$9:$I$9)+FCFF!$B$9+FCFF!$I$9*(1+Inputs!$B$6)/(B9395-Inputs!$B$6)/(1+B9395)^7</f>
        <v>-1466.77398</v>
      </c>
    </row>
    <row r="9396" ht="14.25" customHeight="1">
      <c r="A9396" s="7">
        <v>9383.0</v>
      </c>
      <c r="B9396" s="14">
        <f t="shared" si="1"/>
        <v>0.1239487825</v>
      </c>
      <c r="C9396" s="39">
        <f t="array" ref="C9396">NPV(B9396,FCFF!$C$9:$I$9)+FCFF!$B$9+FCFF!$I$9*(1+Inputs!$B$6)/(B9396-Inputs!$B$6)/(1+B9396)^7</f>
        <v>-1885.344889</v>
      </c>
    </row>
    <row r="9397" ht="14.25" customHeight="1">
      <c r="A9397" s="7">
        <v>9384.0</v>
      </c>
      <c r="B9397" s="14">
        <f t="shared" si="1"/>
        <v>0.1111733623</v>
      </c>
      <c r="C9397" s="39">
        <f t="array" ref="C9397">NPV(B9397,FCFF!$C$9:$I$9)+FCFF!$B$9+FCFF!$I$9*(1+Inputs!$B$6)/(B9397-Inputs!$B$6)/(1+B9397)^7</f>
        <v>-1655.88008</v>
      </c>
    </row>
    <row r="9398" ht="14.25" customHeight="1">
      <c r="A9398" s="7">
        <v>9385.0</v>
      </c>
      <c r="B9398" s="14">
        <f t="shared" si="1"/>
        <v>0.1219270421</v>
      </c>
      <c r="C9398" s="39">
        <f t="array" ref="C9398">NPV(B9398,FCFF!$C$9:$I$9)+FCFF!$B$9+FCFF!$I$9*(1+Inputs!$B$6)/(B9398-Inputs!$B$6)/(1+B9398)^7</f>
        <v>-1853.50762</v>
      </c>
    </row>
    <row r="9399" ht="14.25" customHeight="1">
      <c r="A9399" s="7">
        <v>9386.0</v>
      </c>
      <c r="B9399" s="14">
        <f t="shared" si="1"/>
        <v>0.1047762071</v>
      </c>
      <c r="C9399" s="39">
        <f t="array" ref="C9399">NPV(B9399,FCFF!$C$9:$I$9)+FCFF!$B$9+FCFF!$I$9*(1+Inputs!$B$6)/(B9399-Inputs!$B$6)/(1+B9399)^7</f>
        <v>-1510.1978</v>
      </c>
    </row>
    <row r="9400" ht="14.25" customHeight="1">
      <c r="A9400" s="7">
        <v>9387.0</v>
      </c>
      <c r="B9400" s="14">
        <f t="shared" si="1"/>
        <v>0.1300105789</v>
      </c>
      <c r="C9400" s="39">
        <f t="array" ref="C9400">NPV(B9400,FCFF!$C$9:$I$9)+FCFF!$B$9+FCFF!$I$9*(1+Inputs!$B$6)/(B9400-Inputs!$B$6)/(1+B9400)^7</f>
        <v>-1972.55619</v>
      </c>
    </row>
    <row r="9401" ht="14.25" customHeight="1">
      <c r="A9401" s="7">
        <v>9388.0</v>
      </c>
      <c r="B9401" s="14">
        <f t="shared" si="1"/>
        <v>0.09955511653</v>
      </c>
      <c r="C9401" s="39">
        <f t="array" ref="C9401">NPV(B9401,FCFF!$C$9:$I$9)+FCFF!$B$9+FCFF!$I$9*(1+Inputs!$B$6)/(B9401-Inputs!$B$6)/(1+B9401)^7</f>
        <v>-1371.015491</v>
      </c>
    </row>
    <row r="9402" ht="14.25" customHeight="1">
      <c r="A9402" s="7">
        <v>9389.0</v>
      </c>
      <c r="B9402" s="14">
        <f t="shared" si="1"/>
        <v>0.09819504087</v>
      </c>
      <c r="C9402" s="39">
        <f t="array" ref="C9402">NPV(B9402,FCFF!$C$9:$I$9)+FCFF!$B$9+FCFF!$I$9*(1+Inputs!$B$6)/(B9402-Inputs!$B$6)/(1+B9402)^7</f>
        <v>-1331.228914</v>
      </c>
    </row>
    <row r="9403" ht="14.25" customHeight="1">
      <c r="A9403" s="7">
        <v>9390.0</v>
      </c>
      <c r="B9403" s="14">
        <f t="shared" si="1"/>
        <v>0.1173735761</v>
      </c>
      <c r="C9403" s="39">
        <f t="array" ref="C9403">NPV(B9403,FCFF!$C$9:$I$9)+FCFF!$B$9+FCFF!$I$9*(1+Inputs!$B$6)/(B9403-Inputs!$B$6)/(1+B9403)^7</f>
        <v>-1776.059275</v>
      </c>
    </row>
    <row r="9404" ht="14.25" customHeight="1">
      <c r="A9404" s="7">
        <v>9391.0</v>
      </c>
      <c r="B9404" s="14">
        <f t="shared" si="1"/>
        <v>0.1113524423</v>
      </c>
      <c r="C9404" s="39">
        <f t="array" ref="C9404">NPV(B9404,FCFF!$C$9:$I$9)+FCFF!$B$9+FCFF!$I$9*(1+Inputs!$B$6)/(B9404-Inputs!$B$6)/(1+B9404)^7</f>
        <v>-1659.618939</v>
      </c>
    </row>
    <row r="9405" ht="14.25" customHeight="1">
      <c r="A9405" s="7">
        <v>9392.0</v>
      </c>
      <c r="B9405" s="14">
        <f t="shared" si="1"/>
        <v>0.1279065671</v>
      </c>
      <c r="C9405" s="39">
        <f t="array" ref="C9405">NPV(B9405,FCFF!$C$9:$I$9)+FCFF!$B$9+FCFF!$I$9*(1+Inputs!$B$6)/(B9405-Inputs!$B$6)/(1+B9405)^7</f>
        <v>-1943.603973</v>
      </c>
    </row>
    <row r="9406" ht="14.25" customHeight="1">
      <c r="A9406" s="7">
        <v>9393.0</v>
      </c>
      <c r="B9406" s="14">
        <f t="shared" si="1"/>
        <v>0.1209670805</v>
      </c>
      <c r="C9406" s="39">
        <f t="array" ref="C9406">NPV(B9406,FCFF!$C$9:$I$9)+FCFF!$B$9+FCFF!$I$9*(1+Inputs!$B$6)/(B9406-Inputs!$B$6)/(1+B9406)^7</f>
        <v>-1837.862591</v>
      </c>
    </row>
    <row r="9407" ht="14.25" customHeight="1">
      <c r="A9407" s="7">
        <v>9394.0</v>
      </c>
      <c r="B9407" s="14">
        <f t="shared" si="1"/>
        <v>0.1329147684</v>
      </c>
      <c r="C9407" s="39">
        <f t="array" ref="C9407">NPV(B9407,FCFF!$C$9:$I$9)+FCFF!$B$9+FCFF!$I$9*(1+Inputs!$B$6)/(B9407-Inputs!$B$6)/(1+B9407)^7</f>
        <v>-2010.412172</v>
      </c>
    </row>
    <row r="9408" ht="14.25" customHeight="1">
      <c r="A9408" s="7">
        <v>9395.0</v>
      </c>
      <c r="B9408" s="14">
        <f t="shared" si="1"/>
        <v>0.1008093892</v>
      </c>
      <c r="C9408" s="39">
        <f t="array" ref="C9408">NPV(B9408,FCFF!$C$9:$I$9)+FCFF!$B$9+FCFF!$I$9*(1+Inputs!$B$6)/(B9408-Inputs!$B$6)/(1+B9408)^7</f>
        <v>-1406.345376</v>
      </c>
    </row>
    <row r="9409" ht="14.25" customHeight="1">
      <c r="A9409" s="7">
        <v>9396.0</v>
      </c>
      <c r="B9409" s="14">
        <f t="shared" si="1"/>
        <v>0.113850271</v>
      </c>
      <c r="C9409" s="39">
        <f t="array" ref="C9409">NPV(B9409,FCFF!$C$9:$I$9)+FCFF!$B$9+FCFF!$I$9*(1+Inputs!$B$6)/(B9409-Inputs!$B$6)/(1+B9409)^7</f>
        <v>-1710.04184</v>
      </c>
    </row>
    <row r="9410" ht="14.25" customHeight="1">
      <c r="A9410" s="7">
        <v>9397.0</v>
      </c>
      <c r="B9410" s="14">
        <f t="shared" si="1"/>
        <v>0.1198382429</v>
      </c>
      <c r="C9410" s="39">
        <f t="array" ref="C9410">NPV(B9410,FCFF!$C$9:$I$9)+FCFF!$B$9+FCFF!$I$9*(1+Inputs!$B$6)/(B9410-Inputs!$B$6)/(1+B9410)^7</f>
        <v>-1819.011052</v>
      </c>
    </row>
    <row r="9411" ht="14.25" customHeight="1">
      <c r="A9411" s="7">
        <v>9398.0</v>
      </c>
      <c r="B9411" s="14">
        <f t="shared" si="1"/>
        <v>0.1220542592</v>
      </c>
      <c r="C9411" s="39">
        <f t="array" ref="C9411">NPV(B9411,FCFF!$C$9:$I$9)+FCFF!$B$9+FCFF!$I$9*(1+Inputs!$B$6)/(B9411-Inputs!$B$6)/(1+B9411)^7</f>
        <v>-1855.554923</v>
      </c>
    </row>
    <row r="9412" ht="14.25" customHeight="1">
      <c r="A9412" s="7">
        <v>9399.0</v>
      </c>
      <c r="B9412" s="14">
        <f t="shared" si="1"/>
        <v>0.1014421081</v>
      </c>
      <c r="C9412" s="39">
        <f t="array" ref="C9412">NPV(B9412,FCFF!$C$9:$I$9)+FCFF!$B$9+FCFF!$I$9*(1+Inputs!$B$6)/(B9412-Inputs!$B$6)/(1+B9412)^7</f>
        <v>-1423.693071</v>
      </c>
    </row>
    <row r="9413" ht="14.25" customHeight="1">
      <c r="A9413" s="7">
        <v>9400.0</v>
      </c>
      <c r="B9413" s="14">
        <f t="shared" si="1"/>
        <v>0.1307199854</v>
      </c>
      <c r="C9413" s="39">
        <f t="array" ref="C9413">NPV(B9413,FCFF!$C$9:$I$9)+FCFF!$B$9+FCFF!$I$9*(1+Inputs!$B$6)/(B9413-Inputs!$B$6)/(1+B9413)^7</f>
        <v>-1982.022685</v>
      </c>
    </row>
    <row r="9414" ht="14.25" customHeight="1">
      <c r="A9414" s="7">
        <v>9401.0</v>
      </c>
      <c r="B9414" s="14">
        <f t="shared" si="1"/>
        <v>0.1059341419</v>
      </c>
      <c r="C9414" s="39">
        <f t="array" ref="C9414">NPV(B9414,FCFF!$C$9:$I$9)+FCFF!$B$9+FCFF!$I$9*(1+Inputs!$B$6)/(B9414-Inputs!$B$6)/(1+B9414)^7</f>
        <v>-1538.434077</v>
      </c>
    </row>
    <row r="9415" ht="14.25" customHeight="1">
      <c r="A9415" s="7">
        <v>9402.0</v>
      </c>
      <c r="B9415" s="14">
        <f t="shared" si="1"/>
        <v>0.1273678769</v>
      </c>
      <c r="C9415" s="39">
        <f t="array" ref="C9415">NPV(B9415,FCFF!$C$9:$I$9)+FCFF!$B$9+FCFF!$I$9*(1+Inputs!$B$6)/(B9415-Inputs!$B$6)/(1+B9415)^7</f>
        <v>-1935.973661</v>
      </c>
    </row>
    <row r="9416" ht="14.25" customHeight="1">
      <c r="A9416" s="7">
        <v>9403.0</v>
      </c>
      <c r="B9416" s="14">
        <f t="shared" si="1"/>
        <v>0.09663872255</v>
      </c>
      <c r="C9416" s="39">
        <f t="array" ref="C9416">NPV(B9416,FCFF!$C$9:$I$9)+FCFF!$B$9+FCFF!$I$9*(1+Inputs!$B$6)/(B9416-Inputs!$B$6)/(1+B9416)^7</f>
        <v>-1283.706054</v>
      </c>
    </row>
    <row r="9417" ht="14.25" customHeight="1">
      <c r="A9417" s="7">
        <v>9404.0</v>
      </c>
      <c r="B9417" s="14">
        <f t="shared" si="1"/>
        <v>0.1262590965</v>
      </c>
      <c r="C9417" s="39">
        <f t="array" ref="C9417">NPV(B9417,FCFF!$C$9:$I$9)+FCFF!$B$9+FCFF!$I$9*(1+Inputs!$B$6)/(B9417-Inputs!$B$6)/(1+B9417)^7</f>
        <v>-1919.978374</v>
      </c>
    </row>
    <row r="9418" ht="14.25" customHeight="1">
      <c r="A9418" s="7">
        <v>9405.0</v>
      </c>
      <c r="B9418" s="14">
        <f t="shared" si="1"/>
        <v>0.120704805</v>
      </c>
      <c r="C9418" s="39">
        <f t="array" ref="C9418">NPV(B9418,FCFF!$C$9:$I$9)+FCFF!$B$9+FCFF!$I$9*(1+Inputs!$B$6)/(B9418-Inputs!$B$6)/(1+B9418)^7</f>
        <v>-1833.526956</v>
      </c>
    </row>
    <row r="9419" ht="14.25" customHeight="1">
      <c r="A9419" s="7">
        <v>9406.0</v>
      </c>
      <c r="B9419" s="14">
        <f t="shared" si="1"/>
        <v>0.1165296212</v>
      </c>
      <c r="C9419" s="39">
        <f t="array" ref="C9419">NPV(B9419,FCFF!$C$9:$I$9)+FCFF!$B$9+FCFF!$I$9*(1+Inputs!$B$6)/(B9419-Inputs!$B$6)/(1+B9419)^7</f>
        <v>-1760.758815</v>
      </c>
    </row>
    <row r="9420" ht="14.25" customHeight="1">
      <c r="A9420" s="7">
        <v>9407.0</v>
      </c>
      <c r="B9420" s="14">
        <f t="shared" si="1"/>
        <v>0.1038376537</v>
      </c>
      <c r="C9420" s="39">
        <f t="array" ref="C9420">NPV(B9420,FCFF!$C$9:$I$9)+FCFF!$B$9+FCFF!$I$9*(1+Inputs!$B$6)/(B9420-Inputs!$B$6)/(1+B9420)^7</f>
        <v>-1486.648637</v>
      </c>
    </row>
    <row r="9421" ht="14.25" customHeight="1">
      <c r="A9421" s="7">
        <v>9408.0</v>
      </c>
      <c r="B9421" s="14">
        <f t="shared" si="1"/>
        <v>0.1315542123</v>
      </c>
      <c r="C9421" s="39">
        <f t="array" ref="C9421">NPV(B9421,FCFF!$C$9:$I$9)+FCFF!$B$9+FCFF!$I$9*(1+Inputs!$B$6)/(B9421-Inputs!$B$6)/(1+B9421)^7</f>
        <v>-1992.970972</v>
      </c>
    </row>
    <row r="9422" ht="14.25" customHeight="1">
      <c r="A9422" s="7">
        <v>9409.0</v>
      </c>
      <c r="B9422" s="14">
        <f t="shared" si="1"/>
        <v>0.1014628105</v>
      </c>
      <c r="C9422" s="39">
        <f t="array" ref="C9422">NPV(B9422,FCFF!$C$9:$I$9)+FCFF!$B$9+FCFF!$I$9*(1+Inputs!$B$6)/(B9422-Inputs!$B$6)/(1+B9422)^7</f>
        <v>-1424.255444</v>
      </c>
    </row>
    <row r="9423" ht="14.25" customHeight="1">
      <c r="A9423" s="7">
        <v>9410.0</v>
      </c>
      <c r="B9423" s="14">
        <f t="shared" si="1"/>
        <v>0.1189688988</v>
      </c>
      <c r="C9423" s="39">
        <f t="array" ref="C9423">NPV(B9423,FCFF!$C$9:$I$9)+FCFF!$B$9+FCFF!$I$9*(1+Inputs!$B$6)/(B9423-Inputs!$B$6)/(1+B9423)^7</f>
        <v>-1804.14766</v>
      </c>
    </row>
    <row r="9424" ht="14.25" customHeight="1">
      <c r="A9424" s="7">
        <v>9411.0</v>
      </c>
      <c r="B9424" s="14">
        <f t="shared" si="1"/>
        <v>0.1035573785</v>
      </c>
      <c r="C9424" s="39">
        <f t="array" ref="C9424">NPV(B9424,FCFF!$C$9:$I$9)+FCFF!$B$9+FCFF!$I$9*(1+Inputs!$B$6)/(B9424-Inputs!$B$6)/(1+B9424)^7</f>
        <v>-1479.497737</v>
      </c>
    </row>
    <row r="9425" ht="14.25" customHeight="1">
      <c r="A9425" s="7">
        <v>9412.0</v>
      </c>
      <c r="B9425" s="14">
        <f t="shared" si="1"/>
        <v>0.1228369948</v>
      </c>
      <c r="C9425" s="39">
        <f t="array" ref="C9425">NPV(B9425,FCFF!$C$9:$I$9)+FCFF!$B$9+FCFF!$I$9*(1+Inputs!$B$6)/(B9425-Inputs!$B$6)/(1+B9425)^7</f>
        <v>-1868.020069</v>
      </c>
    </row>
    <row r="9426" ht="14.25" customHeight="1">
      <c r="A9426" s="7">
        <v>9413.0</v>
      </c>
      <c r="B9426" s="14">
        <f t="shared" si="1"/>
        <v>0.1207616567</v>
      </c>
      <c r="C9426" s="39">
        <f t="array" ref="C9426">NPV(B9426,FCFF!$C$9:$I$9)+FCFF!$B$9+FCFF!$I$9*(1+Inputs!$B$6)/(B9426-Inputs!$B$6)/(1+B9426)^7</f>
        <v>-1834.469019</v>
      </c>
    </row>
    <row r="9427" ht="14.25" customHeight="1">
      <c r="A9427" s="7">
        <v>9414.0</v>
      </c>
      <c r="B9427" s="14">
        <f t="shared" si="1"/>
        <v>0.126707636</v>
      </c>
      <c r="C9427" s="39">
        <f t="array" ref="C9427">NPV(B9427,FCFF!$C$9:$I$9)+FCFF!$B$9+FCFF!$I$9*(1+Inputs!$B$6)/(B9427-Inputs!$B$6)/(1+B9427)^7</f>
        <v>-1926.496577</v>
      </c>
    </row>
    <row r="9428" ht="14.25" customHeight="1">
      <c r="A9428" s="7">
        <v>9415.0</v>
      </c>
      <c r="B9428" s="14">
        <f t="shared" si="1"/>
        <v>0.1078016828</v>
      </c>
      <c r="C9428" s="39">
        <f t="array" ref="C9428">NPV(B9428,FCFF!$C$9:$I$9)+FCFF!$B$9+FCFF!$I$9*(1+Inputs!$B$6)/(B9428-Inputs!$B$6)/(1+B9428)^7</f>
        <v>-1582.163901</v>
      </c>
    </row>
    <row r="9429" ht="14.25" customHeight="1">
      <c r="A9429" s="7">
        <v>9416.0</v>
      </c>
      <c r="B9429" s="14">
        <f t="shared" si="1"/>
        <v>0.1189825928</v>
      </c>
      <c r="C9429" s="39">
        <f t="array" ref="C9429">NPV(B9429,FCFF!$C$9:$I$9)+FCFF!$B$9+FCFF!$I$9*(1+Inputs!$B$6)/(B9429-Inputs!$B$6)/(1+B9429)^7</f>
        <v>-1804.384169</v>
      </c>
    </row>
    <row r="9430" ht="14.25" customHeight="1">
      <c r="A9430" s="7">
        <v>9417.0</v>
      </c>
      <c r="B9430" s="14">
        <f t="shared" si="1"/>
        <v>0.1172180994</v>
      </c>
      <c r="C9430" s="39">
        <f t="array" ref="C9430">NPV(B9430,FCFF!$C$9:$I$9)+FCFF!$B$9+FCFF!$I$9*(1+Inputs!$B$6)/(B9430-Inputs!$B$6)/(1+B9430)^7</f>
        <v>-1773.263948</v>
      </c>
    </row>
    <row r="9431" ht="14.25" customHeight="1">
      <c r="A9431" s="7">
        <v>9418.0</v>
      </c>
      <c r="B9431" s="14">
        <f t="shared" si="1"/>
        <v>0.09339704287</v>
      </c>
      <c r="C9431" s="39">
        <f t="array" ref="C9431">NPV(B9431,FCFF!$C$9:$I$9)+FCFF!$B$9+FCFF!$I$9*(1+Inputs!$B$6)/(B9431-Inputs!$B$6)/(1+B9431)^7</f>
        <v>-1177.259909</v>
      </c>
    </row>
    <row r="9432" ht="14.25" customHeight="1">
      <c r="A9432" s="7">
        <v>9419.0</v>
      </c>
      <c r="B9432" s="14">
        <f t="shared" si="1"/>
        <v>0.1305418256</v>
      </c>
      <c r="C9432" s="39">
        <f t="array" ref="C9432">NPV(B9432,FCFF!$C$9:$I$9)+FCFF!$B$9+FCFF!$I$9*(1+Inputs!$B$6)/(B9432-Inputs!$B$6)/(1+B9432)^7</f>
        <v>-1979.658922</v>
      </c>
    </row>
    <row r="9433" ht="14.25" customHeight="1">
      <c r="A9433" s="7">
        <v>9420.0</v>
      </c>
      <c r="B9433" s="14">
        <f t="shared" si="1"/>
        <v>0.1139783583</v>
      </c>
      <c r="C9433" s="39">
        <f t="array" ref="C9433">NPV(B9433,FCFF!$C$9:$I$9)+FCFF!$B$9+FCFF!$I$9*(1+Inputs!$B$6)/(B9433-Inputs!$B$6)/(1+B9433)^7</f>
        <v>-1712.543399</v>
      </c>
    </row>
    <row r="9434" ht="14.25" customHeight="1">
      <c r="A9434" s="7">
        <v>9421.0</v>
      </c>
      <c r="B9434" s="14">
        <f t="shared" si="1"/>
        <v>0.1021400414</v>
      </c>
      <c r="C9434" s="39">
        <f t="array" ref="C9434">NPV(B9434,FCFF!$C$9:$I$9)+FCFF!$B$9+FCFF!$I$9*(1+Inputs!$B$6)/(B9434-Inputs!$B$6)/(1+B9434)^7</f>
        <v>-1442.472206</v>
      </c>
    </row>
    <row r="9435" ht="14.25" customHeight="1">
      <c r="A9435" s="7">
        <v>9422.0</v>
      </c>
      <c r="B9435" s="14">
        <f t="shared" si="1"/>
        <v>0.1151441251</v>
      </c>
      <c r="C9435" s="39">
        <f t="array" ref="C9435">NPV(B9435,FCFF!$C$9:$I$9)+FCFF!$B$9+FCFF!$I$9*(1+Inputs!$B$6)/(B9435-Inputs!$B$6)/(1+B9435)^7</f>
        <v>-1734.949921</v>
      </c>
    </row>
    <row r="9436" ht="14.25" customHeight="1">
      <c r="A9436" s="7">
        <v>9423.0</v>
      </c>
      <c r="B9436" s="14">
        <f t="shared" si="1"/>
        <v>0.1078598418</v>
      </c>
      <c r="C9436" s="39">
        <f t="array" ref="C9436">NPV(B9436,FCFF!$C$9:$I$9)+FCFF!$B$9+FCFF!$I$9*(1+Inputs!$B$6)/(B9436-Inputs!$B$6)/(1+B9436)^7</f>
        <v>-1583.491205</v>
      </c>
    </row>
    <row r="9437" ht="14.25" customHeight="1">
      <c r="A9437" s="7">
        <v>9424.0</v>
      </c>
      <c r="B9437" s="14">
        <f t="shared" si="1"/>
        <v>0.09633183667</v>
      </c>
      <c r="C9437" s="39">
        <f t="array" ref="C9437">NPV(B9437,FCFF!$C$9:$I$9)+FCFF!$B$9+FCFF!$I$9*(1+Inputs!$B$6)/(B9437-Inputs!$B$6)/(1+B9437)^7</f>
        <v>-1274.072294</v>
      </c>
    </row>
    <row r="9438" ht="14.25" customHeight="1">
      <c r="A9438" s="7">
        <v>9425.0</v>
      </c>
      <c r="B9438" s="14">
        <f t="shared" si="1"/>
        <v>0.0993293584</v>
      </c>
      <c r="C9438" s="39">
        <f t="array" ref="C9438">NPV(B9438,FCFF!$C$9:$I$9)+FCFF!$B$9+FCFF!$I$9*(1+Inputs!$B$6)/(B9438-Inputs!$B$6)/(1+B9438)^7</f>
        <v>-1364.519815</v>
      </c>
    </row>
    <row r="9439" ht="14.25" customHeight="1">
      <c r="A9439" s="7">
        <v>9426.0</v>
      </c>
      <c r="B9439" s="14">
        <f t="shared" si="1"/>
        <v>0.1225383285</v>
      </c>
      <c r="C9439" s="39">
        <f t="array" ref="C9439">NPV(B9439,FCFF!$C$9:$I$9)+FCFF!$B$9+FCFF!$I$9*(1+Inputs!$B$6)/(B9439-Inputs!$B$6)/(1+B9439)^7</f>
        <v>-1863.290281</v>
      </c>
    </row>
    <row r="9440" ht="14.25" customHeight="1">
      <c r="A9440" s="7">
        <v>9427.0</v>
      </c>
      <c r="B9440" s="14">
        <f t="shared" si="1"/>
        <v>0.1264700345</v>
      </c>
      <c r="C9440" s="39">
        <f t="array" ref="C9440">NPV(B9440,FCFF!$C$9:$I$9)+FCFF!$B$9+FCFF!$I$9*(1+Inputs!$B$6)/(B9440-Inputs!$B$6)/(1+B9440)^7</f>
        <v>-1923.051861</v>
      </c>
    </row>
    <row r="9441" ht="14.25" customHeight="1">
      <c r="A9441" s="7">
        <v>9428.0</v>
      </c>
      <c r="B9441" s="14">
        <f t="shared" si="1"/>
        <v>0.09633235045</v>
      </c>
      <c r="C9441" s="39">
        <f t="array" ref="C9441">NPV(B9441,FCFF!$C$9:$I$9)+FCFF!$B$9+FCFF!$I$9*(1+Inputs!$B$6)/(B9441-Inputs!$B$6)/(1+B9441)^7</f>
        <v>-1274.088497</v>
      </c>
    </row>
    <row r="9442" ht="14.25" customHeight="1">
      <c r="A9442" s="7">
        <v>9429.0</v>
      </c>
      <c r="B9442" s="14">
        <f t="shared" si="1"/>
        <v>0.114686854</v>
      </c>
      <c r="C9442" s="39">
        <f t="array" ref="C9442">NPV(B9442,FCFF!$C$9:$I$9)+FCFF!$B$9+FCFF!$I$9*(1+Inputs!$B$6)/(B9442-Inputs!$B$6)/(1+B9442)^7</f>
        <v>-1726.237794</v>
      </c>
    </row>
    <row r="9443" ht="14.25" customHeight="1">
      <c r="A9443" s="7">
        <v>9430.0</v>
      </c>
      <c r="B9443" s="14">
        <f t="shared" si="1"/>
        <v>0.1153590483</v>
      </c>
      <c r="C9443" s="39">
        <f t="array" ref="C9443">NPV(B9443,FCFF!$C$9:$I$9)+FCFF!$B$9+FCFF!$I$9*(1+Inputs!$B$6)/(B9443-Inputs!$B$6)/(1+B9443)^7</f>
        <v>-1739.011011</v>
      </c>
    </row>
    <row r="9444" ht="14.25" customHeight="1">
      <c r="A9444" s="7">
        <v>9431.0</v>
      </c>
      <c r="B9444" s="14">
        <f t="shared" si="1"/>
        <v>0.09671848878</v>
      </c>
      <c r="C9444" s="39">
        <f t="array" ref="C9444">NPV(B9444,FCFF!$C$9:$I$9)+FCFF!$B$9+FCFF!$I$9*(1+Inputs!$B$6)/(B9444-Inputs!$B$6)/(1+B9444)^7</f>
        <v>-1286.195602</v>
      </c>
    </row>
    <row r="9445" ht="14.25" customHeight="1">
      <c r="A9445" s="7">
        <v>9432.0</v>
      </c>
      <c r="B9445" s="14">
        <f t="shared" si="1"/>
        <v>0.1272757748</v>
      </c>
      <c r="C9445" s="39">
        <f t="array" ref="C9445">NPV(B9445,FCFF!$C$9:$I$9)+FCFF!$B$9+FCFF!$I$9*(1+Inputs!$B$6)/(B9445-Inputs!$B$6)/(1+B9445)^7</f>
        <v>-1934.659948</v>
      </c>
    </row>
    <row r="9446" ht="14.25" customHeight="1">
      <c r="A9446" s="7">
        <v>9433.0</v>
      </c>
      <c r="B9446" s="14">
        <f t="shared" si="1"/>
        <v>0.1177543568</v>
      </c>
      <c r="C9446" s="39">
        <f t="array" ref="C9446">NPV(B9446,FCFF!$C$9:$I$9)+FCFF!$B$9+FCFF!$I$9*(1+Inputs!$B$6)/(B9446-Inputs!$B$6)/(1+B9446)^7</f>
        <v>-1782.861353</v>
      </c>
    </row>
    <row r="9447" ht="14.25" customHeight="1">
      <c r="A9447" s="7">
        <v>9434.0</v>
      </c>
      <c r="B9447" s="14">
        <f t="shared" si="1"/>
        <v>0.1297650121</v>
      </c>
      <c r="C9447" s="39">
        <f t="array" ref="C9447">NPV(B9447,FCFF!$C$9:$I$9)+FCFF!$B$9+FCFF!$I$9*(1+Inputs!$B$6)/(B9447-Inputs!$B$6)/(1+B9447)^7</f>
        <v>-1969.245221</v>
      </c>
    </row>
    <row r="9448" ht="14.25" customHeight="1">
      <c r="A9448" s="7">
        <v>9435.0</v>
      </c>
      <c r="B9448" s="14">
        <f t="shared" si="1"/>
        <v>0.1297933014</v>
      </c>
      <c r="C9448" s="39">
        <f t="array" ref="C9448">NPV(B9448,FCFF!$C$9:$I$9)+FCFF!$B$9+FCFF!$I$9*(1+Inputs!$B$6)/(B9448-Inputs!$B$6)/(1+B9448)^7</f>
        <v>-1969.627546</v>
      </c>
    </row>
    <row r="9449" ht="14.25" customHeight="1">
      <c r="A9449" s="7">
        <v>9436.0</v>
      </c>
      <c r="B9449" s="14">
        <f t="shared" si="1"/>
        <v>0.1282074565</v>
      </c>
      <c r="C9449" s="39">
        <f t="array" ref="C9449">NPV(B9449,FCFF!$C$9:$I$9)+FCFF!$B$9+FCFF!$I$9*(1+Inputs!$B$6)/(B9449-Inputs!$B$6)/(1+B9449)^7</f>
        <v>-1947.826623</v>
      </c>
    </row>
    <row r="9450" ht="14.25" customHeight="1">
      <c r="A9450" s="7">
        <v>9437.0</v>
      </c>
      <c r="B9450" s="14">
        <f t="shared" si="1"/>
        <v>0.1090867817</v>
      </c>
      <c r="C9450" s="39">
        <f t="array" ref="C9450">NPV(B9450,FCFF!$C$9:$I$9)+FCFF!$B$9+FCFF!$I$9*(1+Inputs!$B$6)/(B9450-Inputs!$B$6)/(1+B9450)^7</f>
        <v>-1611.024786</v>
      </c>
    </row>
    <row r="9451" ht="14.25" customHeight="1">
      <c r="A9451" s="7">
        <v>9438.0</v>
      </c>
      <c r="B9451" s="14">
        <f t="shared" si="1"/>
        <v>0.10233688</v>
      </c>
      <c r="C9451" s="39">
        <f t="array" ref="C9451">NPV(B9451,FCFF!$C$9:$I$9)+FCFF!$B$9+FCFF!$I$9*(1+Inputs!$B$6)/(B9451-Inputs!$B$6)/(1+B9451)^7</f>
        <v>-1447.702224</v>
      </c>
    </row>
    <row r="9452" ht="14.25" customHeight="1">
      <c r="A9452" s="7">
        <v>9439.0</v>
      </c>
      <c r="B9452" s="14">
        <f t="shared" si="1"/>
        <v>0.1087609777</v>
      </c>
      <c r="C9452" s="39">
        <f t="array" ref="C9452">NPV(B9452,FCFF!$C$9:$I$9)+FCFF!$B$9+FCFF!$I$9*(1+Inputs!$B$6)/(B9452-Inputs!$B$6)/(1+B9452)^7</f>
        <v>-1603.799534</v>
      </c>
    </row>
    <row r="9453" ht="14.25" customHeight="1">
      <c r="A9453" s="7">
        <v>9440.0</v>
      </c>
      <c r="B9453" s="14">
        <f t="shared" si="1"/>
        <v>0.09343351007</v>
      </c>
      <c r="C9453" s="39">
        <f t="array" ref="C9453">NPV(B9453,FCFF!$C$9:$I$9)+FCFF!$B$9+FCFF!$I$9*(1+Inputs!$B$6)/(B9453-Inputs!$B$6)/(1+B9453)^7</f>
        <v>-1178.517371</v>
      </c>
    </row>
    <row r="9454" ht="14.25" customHeight="1">
      <c r="A9454" s="7">
        <v>9441.0</v>
      </c>
      <c r="B9454" s="14">
        <f t="shared" si="1"/>
        <v>0.125354791</v>
      </c>
      <c r="C9454" s="39">
        <f t="array" ref="C9454">NPV(B9454,FCFF!$C$9:$I$9)+FCFF!$B$9+FCFF!$I$9*(1+Inputs!$B$6)/(B9454-Inputs!$B$6)/(1+B9454)^7</f>
        <v>-1906.636435</v>
      </c>
    </row>
    <row r="9455" ht="14.25" customHeight="1">
      <c r="A9455" s="7">
        <v>9442.0</v>
      </c>
      <c r="B9455" s="14">
        <f t="shared" si="1"/>
        <v>0.1061647213</v>
      </c>
      <c r="C9455" s="39">
        <f t="array" ref="C9455">NPV(B9455,FCFF!$C$9:$I$9)+FCFF!$B$9+FCFF!$I$9*(1+Inputs!$B$6)/(B9455-Inputs!$B$6)/(1+B9455)^7</f>
        <v>-1543.952094</v>
      </c>
    </row>
    <row r="9456" ht="14.25" customHeight="1">
      <c r="A9456" s="7">
        <v>9443.0</v>
      </c>
      <c r="B9456" s="14">
        <f t="shared" si="1"/>
        <v>0.1191773056</v>
      </c>
      <c r="C9456" s="39">
        <f t="array" ref="C9456">NPV(B9456,FCFF!$C$9:$I$9)+FCFF!$B$9+FCFF!$I$9*(1+Inputs!$B$6)/(B9456-Inputs!$B$6)/(1+B9456)^7</f>
        <v>-1807.73876</v>
      </c>
    </row>
    <row r="9457" ht="14.25" customHeight="1">
      <c r="A9457" s="7">
        <v>9444.0</v>
      </c>
      <c r="B9457" s="14">
        <f t="shared" si="1"/>
        <v>0.1279960482</v>
      </c>
      <c r="C9457" s="39">
        <f t="array" ref="C9457">NPV(B9457,FCFF!$C$9:$I$9)+FCFF!$B$9+FCFF!$I$9*(1+Inputs!$B$6)/(B9457-Inputs!$B$6)/(1+B9457)^7</f>
        <v>-1944.862667</v>
      </c>
    </row>
    <row r="9458" ht="14.25" customHeight="1">
      <c r="A9458" s="7">
        <v>9445.0</v>
      </c>
      <c r="B9458" s="14">
        <f t="shared" si="1"/>
        <v>0.09833649406</v>
      </c>
      <c r="C9458" s="39">
        <f t="array" ref="C9458">NPV(B9458,FCFF!$C$9:$I$9)+FCFF!$B$9+FCFF!$I$9*(1+Inputs!$B$6)/(B9458-Inputs!$B$6)/(1+B9458)^7</f>
        <v>-1335.44089</v>
      </c>
    </row>
    <row r="9459" ht="14.25" customHeight="1">
      <c r="A9459" s="7">
        <v>9446.0</v>
      </c>
      <c r="B9459" s="14">
        <f t="shared" si="1"/>
        <v>0.1212423118</v>
      </c>
      <c r="C9459" s="39">
        <f t="array" ref="C9459">NPV(B9459,FCFF!$C$9:$I$9)+FCFF!$B$9+FCFF!$I$9*(1+Inputs!$B$6)/(B9459-Inputs!$B$6)/(1+B9459)^7</f>
        <v>-1842.383956</v>
      </c>
    </row>
    <row r="9460" ht="14.25" customHeight="1">
      <c r="A9460" s="7">
        <v>9447.0</v>
      </c>
      <c r="B9460" s="14">
        <f t="shared" si="1"/>
        <v>0.1274038059</v>
      </c>
      <c r="C9460" s="39">
        <f t="array" ref="C9460">NPV(B9460,FCFF!$C$9:$I$9)+FCFF!$B$9+FCFF!$I$9*(1+Inputs!$B$6)/(B9460-Inputs!$B$6)/(1+B9460)^7</f>
        <v>-1936.485413</v>
      </c>
    </row>
    <row r="9461" ht="14.25" customHeight="1">
      <c r="A9461" s="7">
        <v>9448.0</v>
      </c>
      <c r="B9461" s="14">
        <f t="shared" si="1"/>
        <v>0.1185032184</v>
      </c>
      <c r="C9461" s="39">
        <f t="array" ref="C9461">NPV(B9461,FCFF!$C$9:$I$9)+FCFF!$B$9+FCFF!$I$9*(1+Inputs!$B$6)/(B9461-Inputs!$B$6)/(1+B9461)^7</f>
        <v>-1796.058878</v>
      </c>
    </row>
    <row r="9462" ht="14.25" customHeight="1">
      <c r="A9462" s="7">
        <v>9449.0</v>
      </c>
      <c r="B9462" s="14">
        <f t="shared" si="1"/>
        <v>0.1144644668</v>
      </c>
      <c r="C9462" s="39">
        <f t="array" ref="C9462">NPV(B9462,FCFF!$C$9:$I$9)+FCFF!$B$9+FCFF!$I$9*(1+Inputs!$B$6)/(B9462-Inputs!$B$6)/(1+B9462)^7</f>
        <v>-1721.965138</v>
      </c>
    </row>
    <row r="9463" ht="14.25" customHeight="1">
      <c r="A9463" s="7">
        <v>9450.0</v>
      </c>
      <c r="B9463" s="14">
        <f t="shared" si="1"/>
        <v>0.1247505473</v>
      </c>
      <c r="C9463" s="39">
        <f t="array" ref="C9463">NPV(B9463,FCFF!$C$9:$I$9)+FCFF!$B$9+FCFF!$I$9*(1+Inputs!$B$6)/(B9463-Inputs!$B$6)/(1+B9463)^7</f>
        <v>-1897.569146</v>
      </c>
    </row>
    <row r="9464" ht="14.25" customHeight="1">
      <c r="A9464" s="7">
        <v>9451.0</v>
      </c>
      <c r="B9464" s="14">
        <f t="shared" si="1"/>
        <v>0.1233936607</v>
      </c>
      <c r="C9464" s="39">
        <f t="array" ref="C9464">NPV(B9464,FCFF!$C$9:$I$9)+FCFF!$B$9+FCFF!$I$9*(1+Inputs!$B$6)/(B9464-Inputs!$B$6)/(1+B9464)^7</f>
        <v>-1876.74956</v>
      </c>
    </row>
    <row r="9465" ht="14.25" customHeight="1">
      <c r="A9465" s="7">
        <v>9452.0</v>
      </c>
      <c r="B9465" s="14">
        <f t="shared" si="1"/>
        <v>0.09515022504</v>
      </c>
      <c r="C9465" s="39">
        <f t="array" ref="C9465">NPV(B9465,FCFF!$C$9:$I$9)+FCFF!$B$9+FCFF!$I$9*(1+Inputs!$B$6)/(B9465-Inputs!$B$6)/(1+B9465)^7</f>
        <v>-1236.135149</v>
      </c>
    </row>
    <row r="9466" ht="14.25" customHeight="1">
      <c r="A9466" s="7">
        <v>9453.0</v>
      </c>
      <c r="B9466" s="14">
        <f t="shared" si="1"/>
        <v>0.09835213109</v>
      </c>
      <c r="C9466" s="39">
        <f t="array" ref="C9466">NPV(B9466,FCFF!$C$9:$I$9)+FCFF!$B$9+FCFF!$I$9*(1+Inputs!$B$6)/(B9466-Inputs!$B$6)/(1+B9466)^7</f>
        <v>-1335.905433</v>
      </c>
    </row>
    <row r="9467" ht="14.25" customHeight="1">
      <c r="A9467" s="7">
        <v>9454.0</v>
      </c>
      <c r="B9467" s="14">
        <f t="shared" si="1"/>
        <v>0.126382543</v>
      </c>
      <c r="C9467" s="39">
        <f t="array" ref="C9467">NPV(B9467,FCFF!$C$9:$I$9)+FCFF!$B$9+FCFF!$I$9*(1+Inputs!$B$6)/(B9467-Inputs!$B$6)/(1+B9467)^7</f>
        <v>-1921.778817</v>
      </c>
    </row>
    <row r="9468" ht="14.25" customHeight="1">
      <c r="A9468" s="7">
        <v>9455.0</v>
      </c>
      <c r="B9468" s="14">
        <f t="shared" si="1"/>
        <v>0.1195938772</v>
      </c>
      <c r="C9468" s="39">
        <f t="array" ref="C9468">NPV(B9468,FCFF!$C$9:$I$9)+FCFF!$B$9+FCFF!$I$9*(1+Inputs!$B$6)/(B9468-Inputs!$B$6)/(1+B9468)^7</f>
        <v>-1814.863885</v>
      </c>
    </row>
    <row r="9469" ht="14.25" customHeight="1">
      <c r="A9469" s="7">
        <v>9456.0</v>
      </c>
      <c r="B9469" s="14">
        <f t="shared" si="1"/>
        <v>0.1034628338</v>
      </c>
      <c r="C9469" s="39">
        <f t="array" ref="C9469">NPV(B9469,FCFF!$C$9:$I$9)+FCFF!$B$9+FCFF!$I$9*(1+Inputs!$B$6)/(B9469-Inputs!$B$6)/(1+B9469)^7</f>
        <v>-1477.073032</v>
      </c>
    </row>
    <row r="9470" ht="14.25" customHeight="1">
      <c r="A9470" s="7">
        <v>9457.0</v>
      </c>
      <c r="B9470" s="14">
        <f t="shared" si="1"/>
        <v>0.106731412</v>
      </c>
      <c r="C9470" s="39">
        <f t="array" ref="C9470">NPV(B9470,FCFF!$C$9:$I$9)+FCFF!$B$9+FCFF!$I$9*(1+Inputs!$B$6)/(B9470-Inputs!$B$6)/(1+B9470)^7</f>
        <v>-1557.369493</v>
      </c>
    </row>
    <row r="9471" ht="14.25" customHeight="1">
      <c r="A9471" s="7">
        <v>9458.0</v>
      </c>
      <c r="B9471" s="14">
        <f t="shared" si="1"/>
        <v>0.1096833389</v>
      </c>
      <c r="C9471" s="39">
        <f t="array" ref="C9471">NPV(B9471,FCFF!$C$9:$I$9)+FCFF!$B$9+FCFF!$I$9*(1+Inputs!$B$6)/(B9471-Inputs!$B$6)/(1+B9471)^7</f>
        <v>-1624.096655</v>
      </c>
    </row>
    <row r="9472" ht="14.25" customHeight="1">
      <c r="A9472" s="7">
        <v>9459.0</v>
      </c>
      <c r="B9472" s="14">
        <f t="shared" si="1"/>
        <v>0.118743197</v>
      </c>
      <c r="C9472" s="39">
        <f t="array" ref="C9472">NPV(B9472,FCFF!$C$9:$I$9)+FCFF!$B$9+FCFF!$I$9*(1+Inputs!$B$6)/(B9472-Inputs!$B$6)/(1+B9472)^7</f>
        <v>-1800.238451</v>
      </c>
    </row>
    <row r="9473" ht="14.25" customHeight="1">
      <c r="A9473" s="7">
        <v>9460.0</v>
      </c>
      <c r="B9473" s="14">
        <f t="shared" si="1"/>
        <v>0.1032401663</v>
      </c>
      <c r="C9473" s="39">
        <f t="array" ref="C9473">NPV(B9473,FCFF!$C$9:$I$9)+FCFF!$B$9+FCFF!$I$9*(1+Inputs!$B$6)/(B9473-Inputs!$B$6)/(1+B9473)^7</f>
        <v>-1471.337357</v>
      </c>
    </row>
    <row r="9474" ht="14.25" customHeight="1">
      <c r="A9474" s="7">
        <v>9461.0</v>
      </c>
      <c r="B9474" s="14">
        <f t="shared" si="1"/>
        <v>0.1084913455</v>
      </c>
      <c r="C9474" s="39">
        <f t="array" ref="C9474">NPV(B9474,FCFF!$C$9:$I$9)+FCFF!$B$9+FCFF!$I$9*(1+Inputs!$B$6)/(B9474-Inputs!$B$6)/(1+B9474)^7</f>
        <v>-1597.773282</v>
      </c>
    </row>
    <row r="9475" ht="14.25" customHeight="1">
      <c r="A9475" s="7">
        <v>9462.0</v>
      </c>
      <c r="B9475" s="14">
        <f t="shared" si="1"/>
        <v>0.1124473993</v>
      </c>
      <c r="C9475" s="39">
        <f t="array" ref="C9475">NPV(B9475,FCFF!$C$9:$I$9)+FCFF!$B$9+FCFF!$I$9*(1+Inputs!$B$6)/(B9475-Inputs!$B$6)/(1+B9475)^7</f>
        <v>-1682.11341</v>
      </c>
    </row>
    <row r="9476" ht="14.25" customHeight="1">
      <c r="A9476" s="7">
        <v>9463.0</v>
      </c>
      <c r="B9476" s="14">
        <f t="shared" si="1"/>
        <v>0.1107281259</v>
      </c>
      <c r="C9476" s="39">
        <f t="array" ref="C9476">NPV(B9476,FCFF!$C$9:$I$9)+FCFF!$B$9+FCFF!$I$9*(1+Inputs!$B$6)/(B9476-Inputs!$B$6)/(1+B9476)^7</f>
        <v>-1646.509913</v>
      </c>
    </row>
    <row r="9477" ht="14.25" customHeight="1">
      <c r="A9477" s="7">
        <v>9464.0</v>
      </c>
      <c r="B9477" s="14">
        <f t="shared" si="1"/>
        <v>0.1073688909</v>
      </c>
      <c r="C9477" s="39">
        <f t="array" ref="C9477">NPV(B9477,FCFF!$C$9:$I$9)+FCFF!$B$9+FCFF!$I$9*(1+Inputs!$B$6)/(B9477-Inputs!$B$6)/(1+B9477)^7</f>
        <v>-1572.222364</v>
      </c>
    </row>
    <row r="9478" ht="14.25" customHeight="1">
      <c r="A9478" s="7">
        <v>9465.0</v>
      </c>
      <c r="B9478" s="14">
        <f t="shared" si="1"/>
        <v>0.1020151606</v>
      </c>
      <c r="C9478" s="39">
        <f t="array" ref="C9478">NPV(B9478,FCFF!$C$9:$I$9)+FCFF!$B$9+FCFF!$I$9*(1+Inputs!$B$6)/(B9478-Inputs!$B$6)/(1+B9478)^7</f>
        <v>-1439.139108</v>
      </c>
    </row>
    <row r="9479" ht="14.25" customHeight="1">
      <c r="A9479" s="7">
        <v>9466.0</v>
      </c>
      <c r="B9479" s="14">
        <f t="shared" si="1"/>
        <v>0.1275374594</v>
      </c>
      <c r="C9479" s="39">
        <f t="array" ref="C9479">NPV(B9479,FCFF!$C$9:$I$9)+FCFF!$B$9+FCFF!$I$9*(1+Inputs!$B$6)/(B9479-Inputs!$B$6)/(1+B9479)^7</f>
        <v>-1938.38553</v>
      </c>
    </row>
    <row r="9480" ht="14.25" customHeight="1">
      <c r="A9480" s="7">
        <v>9467.0</v>
      </c>
      <c r="B9480" s="14">
        <f t="shared" si="1"/>
        <v>0.1322922393</v>
      </c>
      <c r="C9480" s="39">
        <f t="array" ref="C9480">NPV(B9480,FCFF!$C$9:$I$9)+FCFF!$B$9+FCFF!$I$9*(1+Inputs!$B$6)/(B9480-Inputs!$B$6)/(1+B9480)^7</f>
        <v>-2002.494693</v>
      </c>
    </row>
    <row r="9481" ht="14.25" customHeight="1">
      <c r="A9481" s="7">
        <v>9468.0</v>
      </c>
      <c r="B9481" s="14">
        <f t="shared" si="1"/>
        <v>0.1046262647</v>
      </c>
      <c r="C9481" s="39">
        <f t="array" ref="C9481">NPV(B9481,FCFF!$C$9:$I$9)+FCFF!$B$9+FCFF!$I$9*(1+Inputs!$B$6)/(B9481-Inputs!$B$6)/(1+B9481)^7</f>
        <v>-1506.476081</v>
      </c>
    </row>
    <row r="9482" ht="14.25" customHeight="1">
      <c r="A9482" s="7">
        <v>9469.0</v>
      </c>
      <c r="B9482" s="14">
        <f t="shared" si="1"/>
        <v>0.1227711478</v>
      </c>
      <c r="C9482" s="39">
        <f t="array" ref="C9482">NPV(B9482,FCFF!$C$9:$I$9)+FCFF!$B$9+FCFF!$I$9*(1+Inputs!$B$6)/(B9482-Inputs!$B$6)/(1+B9482)^7</f>
        <v>-1866.980082</v>
      </c>
    </row>
    <row r="9483" ht="14.25" customHeight="1">
      <c r="A9483" s="7">
        <v>9470.0</v>
      </c>
      <c r="B9483" s="14">
        <f t="shared" si="1"/>
        <v>0.130058534</v>
      </c>
      <c r="C9483" s="39">
        <f t="array" ref="C9483">NPV(B9483,FCFF!$C$9:$I$9)+FCFF!$B$9+FCFF!$I$9*(1+Inputs!$B$6)/(B9483-Inputs!$B$6)/(1+B9483)^7</f>
        <v>-1973.20071</v>
      </c>
    </row>
    <row r="9484" ht="14.25" customHeight="1">
      <c r="A9484" s="7">
        <v>9471.0</v>
      </c>
      <c r="B9484" s="14">
        <f t="shared" si="1"/>
        <v>0.1032767497</v>
      </c>
      <c r="C9484" s="39">
        <f t="array" ref="C9484">NPV(B9484,FCFF!$C$9:$I$9)+FCFF!$B$9+FCFF!$I$9*(1+Inputs!$B$6)/(B9484-Inputs!$B$6)/(1+B9484)^7</f>
        <v>-1472.282136</v>
      </c>
    </row>
    <row r="9485" ht="14.25" customHeight="1">
      <c r="A9485" s="7">
        <v>9472.0</v>
      </c>
      <c r="B9485" s="14">
        <f t="shared" si="1"/>
        <v>0.1182847487</v>
      </c>
      <c r="C9485" s="39">
        <f t="array" ref="C9485">NPV(B9485,FCFF!$C$9:$I$9)+FCFF!$B$9+FCFF!$I$9*(1+Inputs!$B$6)/(B9485-Inputs!$B$6)/(1+B9485)^7</f>
        <v>-1792.233067</v>
      </c>
    </row>
    <row r="9486" ht="14.25" customHeight="1">
      <c r="A9486" s="7">
        <v>9473.0</v>
      </c>
      <c r="B9486" s="14">
        <f t="shared" si="1"/>
        <v>0.1221204624</v>
      </c>
      <c r="C9486" s="39">
        <f t="array" ref="C9486">NPV(B9486,FCFF!$C$9:$I$9)+FCFF!$B$9+FCFF!$I$9*(1+Inputs!$B$6)/(B9486-Inputs!$B$6)/(1+B9486)^7</f>
        <v>-1856.61795</v>
      </c>
    </row>
    <row r="9487" ht="14.25" customHeight="1">
      <c r="A9487" s="7">
        <v>9474.0</v>
      </c>
      <c r="B9487" s="14">
        <f t="shared" si="1"/>
        <v>0.09764125017</v>
      </c>
      <c r="C9487" s="39">
        <f t="array" ref="C9487">NPV(B9487,FCFF!$C$9:$I$9)+FCFF!$B$9+FCFF!$I$9*(1+Inputs!$B$6)/(B9487-Inputs!$B$6)/(1+B9487)^7</f>
        <v>-1314.569263</v>
      </c>
    </row>
    <row r="9488" ht="14.25" customHeight="1">
      <c r="A9488" s="7">
        <v>9475.0</v>
      </c>
      <c r="B9488" s="14">
        <f t="shared" si="1"/>
        <v>0.09920311739</v>
      </c>
      <c r="C9488" s="39">
        <f t="array" ref="C9488">NPV(B9488,FCFF!$C$9:$I$9)+FCFF!$B$9+FCFF!$I$9*(1+Inputs!$B$6)/(B9488-Inputs!$B$6)/(1+B9488)^7</f>
        <v>-1360.868953</v>
      </c>
    </row>
    <row r="9489" ht="14.25" customHeight="1">
      <c r="A9489" s="7">
        <v>9476.0</v>
      </c>
      <c r="B9489" s="14">
        <f t="shared" si="1"/>
        <v>0.1162762679</v>
      </c>
      <c r="C9489" s="39">
        <f t="array" ref="C9489">NPV(B9489,FCFF!$C$9:$I$9)+FCFF!$B$9+FCFF!$I$9*(1+Inputs!$B$6)/(B9489-Inputs!$B$6)/(1+B9489)^7</f>
        <v>-1756.104282</v>
      </c>
    </row>
    <row r="9490" ht="14.25" customHeight="1">
      <c r="A9490" s="7">
        <v>9477.0</v>
      </c>
      <c r="B9490" s="14">
        <f t="shared" si="1"/>
        <v>0.132562793</v>
      </c>
      <c r="C9490" s="39">
        <f t="array" ref="C9490">NPV(B9490,FCFF!$C$9:$I$9)+FCFF!$B$9+FCFF!$I$9*(1+Inputs!$B$6)/(B9490-Inputs!$B$6)/(1+B9490)^7</f>
        <v>-2005.948558</v>
      </c>
    </row>
    <row r="9491" ht="14.25" customHeight="1">
      <c r="A9491" s="7">
        <v>9478.0</v>
      </c>
      <c r="B9491" s="14">
        <f t="shared" si="1"/>
        <v>0.1076589653</v>
      </c>
      <c r="C9491" s="39">
        <f t="array" ref="C9491">NPV(B9491,FCFF!$C$9:$I$9)+FCFF!$B$9+FCFF!$I$9*(1+Inputs!$B$6)/(B9491-Inputs!$B$6)/(1+B9491)^7</f>
        <v>-1578.898147</v>
      </c>
    </row>
    <row r="9492" ht="14.25" customHeight="1">
      <c r="A9492" s="7">
        <v>9479.0</v>
      </c>
      <c r="B9492" s="14">
        <f t="shared" si="1"/>
        <v>0.1323913174</v>
      </c>
      <c r="C9492" s="39">
        <f t="array" ref="C9492">NPV(B9492,FCFF!$C$9:$I$9)+FCFF!$B$9+FCFF!$I$9*(1+Inputs!$B$6)/(B9492-Inputs!$B$6)/(1+B9492)^7</f>
        <v>-2003.761827</v>
      </c>
    </row>
    <row r="9493" ht="14.25" customHeight="1">
      <c r="A9493" s="7">
        <v>9480.0</v>
      </c>
      <c r="B9493" s="14">
        <f t="shared" si="1"/>
        <v>0.1288694714</v>
      </c>
      <c r="C9493" s="39">
        <f t="array" ref="C9493">NPV(B9493,FCFF!$C$9:$I$9)+FCFF!$B$9+FCFF!$I$9*(1+Inputs!$B$6)/(B9493-Inputs!$B$6)/(1+B9493)^7</f>
        <v>-1957.019525</v>
      </c>
    </row>
    <row r="9494" ht="14.25" customHeight="1">
      <c r="A9494" s="7">
        <v>9481.0</v>
      </c>
      <c r="B9494" s="14">
        <f t="shared" si="1"/>
        <v>0.0951486723</v>
      </c>
      <c r="C9494" s="39">
        <f t="array" ref="C9494">NPV(B9494,FCFF!$C$9:$I$9)+FCFF!$B$9+FCFF!$I$9*(1+Inputs!$B$6)/(B9494-Inputs!$B$6)/(1+B9494)^7</f>
        <v>-1236.084396</v>
      </c>
    </row>
    <row r="9495" ht="14.25" customHeight="1">
      <c r="A9495" s="7">
        <v>9482.0</v>
      </c>
      <c r="B9495" s="14">
        <f t="shared" si="1"/>
        <v>0.1085234448</v>
      </c>
      <c r="C9495" s="39">
        <f t="array" ref="C9495">NPV(B9495,FCFF!$C$9:$I$9)+FCFF!$B$9+FCFF!$I$9*(1+Inputs!$B$6)/(B9495-Inputs!$B$6)/(1+B9495)^7</f>
        <v>-1598.492931</v>
      </c>
    </row>
    <row r="9496" ht="14.25" customHeight="1">
      <c r="A9496" s="7">
        <v>9483.0</v>
      </c>
      <c r="B9496" s="14">
        <f t="shared" si="1"/>
        <v>0.1124401721</v>
      </c>
      <c r="C9496" s="39">
        <f t="array" ref="C9496">NPV(B9496,FCFF!$C$9:$I$9)+FCFF!$B$9+FCFF!$I$9*(1+Inputs!$B$6)/(B9496-Inputs!$B$6)/(1+B9496)^7</f>
        <v>-1681.96697</v>
      </c>
    </row>
    <row r="9497" ht="14.25" customHeight="1">
      <c r="A9497" s="7">
        <v>9484.0</v>
      </c>
      <c r="B9497" s="14">
        <f t="shared" si="1"/>
        <v>0.1262586948</v>
      </c>
      <c r="C9497" s="39">
        <f t="array" ref="C9497">NPV(B9497,FCFF!$C$9:$I$9)+FCFF!$B$9+FCFF!$I$9*(1+Inputs!$B$6)/(B9497-Inputs!$B$6)/(1+B9497)^7</f>
        <v>-1919.972507</v>
      </c>
    </row>
    <row r="9498" ht="14.25" customHeight="1">
      <c r="A9498" s="7">
        <v>9485.0</v>
      </c>
      <c r="B9498" s="14">
        <f t="shared" si="1"/>
        <v>0.1315449815</v>
      </c>
      <c r="C9498" s="39">
        <f t="array" ref="C9498">NPV(B9498,FCFF!$C$9:$I$9)+FCFF!$B$9+FCFF!$I$9*(1+Inputs!$B$6)/(B9498-Inputs!$B$6)/(1+B9498)^7</f>
        <v>-1992.8509</v>
      </c>
    </row>
    <row r="9499" ht="14.25" customHeight="1">
      <c r="A9499" s="7">
        <v>9486.0</v>
      </c>
      <c r="B9499" s="14">
        <f t="shared" si="1"/>
        <v>0.131774187</v>
      </c>
      <c r="C9499" s="39">
        <f t="array" ref="C9499">NPV(B9499,FCFF!$C$9:$I$9)+FCFF!$B$9+FCFF!$I$9*(1+Inputs!$B$6)/(B9499-Inputs!$B$6)/(1+B9499)^7</f>
        <v>-1995.825345</v>
      </c>
    </row>
    <row r="9500" ht="14.25" customHeight="1">
      <c r="A9500" s="7">
        <v>9487.0</v>
      </c>
      <c r="B9500" s="14">
        <f t="shared" si="1"/>
        <v>0.1217789799</v>
      </c>
      <c r="C9500" s="39">
        <f t="array" ref="C9500">NPV(B9500,FCFF!$C$9:$I$9)+FCFF!$B$9+FCFF!$I$9*(1+Inputs!$B$6)/(B9500-Inputs!$B$6)/(1+B9500)^7</f>
        <v>-1851.117253</v>
      </c>
    </row>
    <row r="9501" ht="14.25" customHeight="1">
      <c r="A9501" s="7">
        <v>9488.0</v>
      </c>
      <c r="B9501" s="14">
        <f t="shared" si="1"/>
        <v>0.1211585926</v>
      </c>
      <c r="C9501" s="39">
        <f t="array" ref="C9501">NPV(B9501,FCFF!$C$9:$I$9)+FCFF!$B$9+FCFF!$I$9*(1+Inputs!$B$6)/(B9501-Inputs!$B$6)/(1+B9501)^7</f>
        <v>-1841.011724</v>
      </c>
    </row>
    <row r="9502" ht="14.25" customHeight="1">
      <c r="A9502" s="7">
        <v>9489.0</v>
      </c>
      <c r="B9502" s="14">
        <f t="shared" si="1"/>
        <v>0.09624806227</v>
      </c>
      <c r="C9502" s="39">
        <f t="array" ref="C9502">NPV(B9502,FCFF!$C$9:$I$9)+FCFF!$B$9+FCFF!$I$9*(1+Inputs!$B$6)/(B9502-Inputs!$B$6)/(1+B9502)^7</f>
        <v>-1271.426988</v>
      </c>
    </row>
    <row r="9503" ht="14.25" customHeight="1">
      <c r="A9503" s="7">
        <v>9490.0</v>
      </c>
      <c r="B9503" s="14">
        <f t="shared" si="1"/>
        <v>0.09749679822</v>
      </c>
      <c r="C9503" s="39">
        <f t="array" ref="C9503">NPV(B9503,FCFF!$C$9:$I$9)+FCFF!$B$9+FCFF!$I$9*(1+Inputs!$B$6)/(B9503-Inputs!$B$6)/(1+B9503)^7</f>
        <v>-1310.178743</v>
      </c>
    </row>
    <row r="9504" ht="14.25" customHeight="1">
      <c r="A9504" s="7">
        <v>9491.0</v>
      </c>
      <c r="B9504" s="14">
        <f t="shared" si="1"/>
        <v>0.1131324877</v>
      </c>
      <c r="C9504" s="39">
        <f t="array" ref="C9504">NPV(B9504,FCFF!$C$9:$I$9)+FCFF!$B$9+FCFF!$I$9*(1+Inputs!$B$6)/(B9504-Inputs!$B$6)/(1+B9504)^7</f>
        <v>-1695.874756</v>
      </c>
    </row>
    <row r="9505" ht="14.25" customHeight="1">
      <c r="A9505" s="7">
        <v>9492.0</v>
      </c>
      <c r="B9505" s="14">
        <f t="shared" si="1"/>
        <v>0.1104437721</v>
      </c>
      <c r="C9505" s="39">
        <f t="array" ref="C9505">NPV(B9505,FCFF!$C$9:$I$9)+FCFF!$B$9+FCFF!$I$9*(1+Inputs!$B$6)/(B9505-Inputs!$B$6)/(1+B9505)^7</f>
        <v>-1640.469411</v>
      </c>
    </row>
    <row r="9506" ht="14.25" customHeight="1">
      <c r="A9506" s="7">
        <v>9493.0</v>
      </c>
      <c r="B9506" s="14">
        <f t="shared" si="1"/>
        <v>0.1036965983</v>
      </c>
      <c r="C9506" s="39">
        <f t="array" ref="C9506">NPV(B9506,FCFF!$C$9:$I$9)+FCFF!$B$9+FCFF!$I$9*(1+Inputs!$B$6)/(B9506-Inputs!$B$6)/(1+B9506)^7</f>
        <v>-1483.056682</v>
      </c>
    </row>
    <row r="9507" ht="14.25" customHeight="1">
      <c r="A9507" s="7">
        <v>9494.0</v>
      </c>
      <c r="B9507" s="14">
        <f t="shared" si="1"/>
        <v>0.1276761228</v>
      </c>
      <c r="C9507" s="39">
        <f t="array" ref="C9507">NPV(B9507,FCFF!$C$9:$I$9)+FCFF!$B$9+FCFF!$I$9*(1+Inputs!$B$6)/(B9507-Inputs!$B$6)/(1+B9507)^7</f>
        <v>-1940.350944</v>
      </c>
    </row>
    <row r="9508" ht="14.25" customHeight="1">
      <c r="A9508" s="7">
        <v>9495.0</v>
      </c>
      <c r="B9508" s="14">
        <f t="shared" si="1"/>
        <v>0.0931240462</v>
      </c>
      <c r="C9508" s="39">
        <f t="array" ref="C9508">NPV(B9508,FCFF!$C$9:$I$9)+FCFF!$B$9+FCFF!$I$9*(1+Inputs!$B$6)/(B9508-Inputs!$B$6)/(1+B9508)^7</f>
        <v>-1167.800816</v>
      </c>
    </row>
    <row r="9509" ht="14.25" customHeight="1">
      <c r="A9509" s="7">
        <v>9496.0</v>
      </c>
      <c r="B9509" s="14">
        <f t="shared" si="1"/>
        <v>0.0950680309</v>
      </c>
      <c r="C9509" s="39">
        <f t="array" ref="C9509">NPV(B9509,FCFF!$C$9:$I$9)+FCFF!$B$9+FCFF!$I$9*(1+Inputs!$B$6)/(B9509-Inputs!$B$6)/(1+B9509)^7</f>
        <v>-1233.445227</v>
      </c>
    </row>
    <row r="9510" ht="14.25" customHeight="1">
      <c r="A9510" s="7">
        <v>9497.0</v>
      </c>
      <c r="B9510" s="14">
        <f t="shared" si="1"/>
        <v>0.1105443103</v>
      </c>
      <c r="C9510" s="39">
        <f t="array" ref="C9510">NPV(B9510,FCFF!$C$9:$I$9)+FCFF!$B$9+FCFF!$I$9*(1+Inputs!$B$6)/(B9510-Inputs!$B$6)/(1+B9510)^7</f>
        <v>-1642.610175</v>
      </c>
    </row>
    <row r="9511" ht="14.25" customHeight="1">
      <c r="A9511" s="7">
        <v>9498.0</v>
      </c>
      <c r="B9511" s="14">
        <f t="shared" si="1"/>
        <v>0.1004101688</v>
      </c>
      <c r="C9511" s="39">
        <f t="array" ref="C9511">NPV(B9511,FCFF!$C$9:$I$9)+FCFF!$B$9+FCFF!$I$9*(1+Inputs!$B$6)/(B9511-Inputs!$B$6)/(1+B9511)^7</f>
        <v>-1395.237824</v>
      </c>
    </row>
    <row r="9512" ht="14.25" customHeight="1">
      <c r="A9512" s="7">
        <v>9499.0</v>
      </c>
      <c r="B9512" s="14">
        <f t="shared" si="1"/>
        <v>0.1198746269</v>
      </c>
      <c r="C9512" s="39">
        <f t="array" ref="C9512">NPV(B9512,FCFF!$C$9:$I$9)+FCFF!$B$9+FCFF!$I$9*(1+Inputs!$B$6)/(B9512-Inputs!$B$6)/(1+B9512)^7</f>
        <v>-1819.626489</v>
      </c>
    </row>
    <row r="9513" ht="14.25" customHeight="1">
      <c r="A9513" s="7">
        <v>9500.0</v>
      </c>
      <c r="B9513" s="14">
        <f t="shared" si="1"/>
        <v>0.1189431394</v>
      </c>
      <c r="C9513" s="39">
        <f t="array" ref="C9513">NPV(B9513,FCFF!$C$9:$I$9)+FCFF!$B$9+FCFF!$I$9*(1+Inputs!$B$6)/(B9513-Inputs!$B$6)/(1+B9513)^7</f>
        <v>-1803.70256</v>
      </c>
    </row>
    <row r="9514" ht="14.25" customHeight="1">
      <c r="A9514" s="7">
        <v>9501.0</v>
      </c>
      <c r="B9514" s="14">
        <f t="shared" si="1"/>
        <v>0.1051102599</v>
      </c>
      <c r="C9514" s="39">
        <f t="array" ref="C9514">NPV(B9514,FCFF!$C$9:$I$9)+FCFF!$B$9+FCFF!$I$9*(1+Inputs!$B$6)/(B9514-Inputs!$B$6)/(1+B9514)^7</f>
        <v>-1518.434862</v>
      </c>
    </row>
    <row r="9515" ht="14.25" customHeight="1">
      <c r="A9515" s="7">
        <v>9502.0</v>
      </c>
      <c r="B9515" s="14">
        <f t="shared" si="1"/>
        <v>0.1324811505</v>
      </c>
      <c r="C9515" s="39">
        <f t="array" ref="C9515">NPV(B9515,FCFF!$C$9:$I$9)+FCFF!$B$9+FCFF!$I$9*(1+Inputs!$B$6)/(B9515-Inputs!$B$6)/(1+B9515)^7</f>
        <v>-2004.908415</v>
      </c>
    </row>
    <row r="9516" ht="14.25" customHeight="1">
      <c r="A9516" s="7">
        <v>9503.0</v>
      </c>
      <c r="B9516" s="14">
        <f t="shared" si="1"/>
        <v>0.1323381767</v>
      </c>
      <c r="C9516" s="39">
        <f t="array" ref="C9516">NPV(B9516,FCFF!$C$9:$I$9)+FCFF!$B$9+FCFF!$I$9*(1+Inputs!$B$6)/(B9516-Inputs!$B$6)/(1+B9516)^7</f>
        <v>-2003.08253</v>
      </c>
    </row>
    <row r="9517" ht="14.25" customHeight="1">
      <c r="A9517" s="7">
        <v>9504.0</v>
      </c>
      <c r="B9517" s="14">
        <f t="shared" si="1"/>
        <v>0.1251524026</v>
      </c>
      <c r="C9517" s="39">
        <f t="array" ref="C9517">NPV(B9517,FCFF!$C$9:$I$9)+FCFF!$B$9+FCFF!$I$9*(1+Inputs!$B$6)/(B9517-Inputs!$B$6)/(1+B9517)^7</f>
        <v>-1903.613143</v>
      </c>
    </row>
    <row r="9518" ht="14.25" customHeight="1">
      <c r="A9518" s="7">
        <v>9505.0</v>
      </c>
      <c r="B9518" s="14">
        <f t="shared" si="1"/>
        <v>0.09403241433</v>
      </c>
      <c r="C9518" s="39">
        <f t="array" ref="C9518">NPV(B9518,FCFF!$C$9:$I$9)+FCFF!$B$9+FCFF!$I$9*(1+Inputs!$B$6)/(B9518-Inputs!$B$6)/(1+B9518)^7</f>
        <v>-1198.966019</v>
      </c>
    </row>
    <row r="9519" ht="14.25" customHeight="1">
      <c r="A9519" s="7">
        <v>9506.0</v>
      </c>
      <c r="B9519" s="14">
        <f t="shared" si="1"/>
        <v>0.1286003094</v>
      </c>
      <c r="C9519" s="39">
        <f t="array" ref="C9519">NPV(B9519,FCFF!$C$9:$I$9)+FCFF!$B$9+FCFF!$I$9*(1+Inputs!$B$6)/(B9519-Inputs!$B$6)/(1+B9519)^7</f>
        <v>-1953.297978</v>
      </c>
    </row>
    <row r="9520" ht="14.25" customHeight="1">
      <c r="A9520" s="7">
        <v>9507.0</v>
      </c>
      <c r="B9520" s="14">
        <f t="shared" si="1"/>
        <v>0.1052465922</v>
      </c>
      <c r="C9520" s="39">
        <f t="array" ref="C9520">NPV(B9520,FCFF!$C$9:$I$9)+FCFF!$B$9+FCFF!$I$9*(1+Inputs!$B$6)/(B9520-Inputs!$B$6)/(1+B9520)^7</f>
        <v>-1521.775113</v>
      </c>
    </row>
    <row r="9521" ht="14.25" customHeight="1">
      <c r="A9521" s="7">
        <v>9508.0</v>
      </c>
      <c r="B9521" s="14">
        <f t="shared" si="1"/>
        <v>0.1218195725</v>
      </c>
      <c r="C9521" s="39">
        <f t="array" ref="C9521">NPV(B9521,FCFF!$C$9:$I$9)+FCFF!$B$9+FCFF!$I$9*(1+Inputs!$B$6)/(B9521-Inputs!$B$6)/(1+B9521)^7</f>
        <v>-1851.77341</v>
      </c>
    </row>
    <row r="9522" ht="14.25" customHeight="1">
      <c r="A9522" s="7">
        <v>9509.0</v>
      </c>
      <c r="B9522" s="14">
        <f t="shared" si="1"/>
        <v>0.1204079106</v>
      </c>
      <c r="C9522" s="39">
        <f t="array" ref="C9522">NPV(B9522,FCFF!$C$9:$I$9)+FCFF!$B$9+FCFF!$I$9*(1+Inputs!$B$6)/(B9522-Inputs!$B$6)/(1+B9522)^7</f>
        <v>-1828.586839</v>
      </c>
    </row>
    <row r="9523" ht="14.25" customHeight="1">
      <c r="A9523" s="7">
        <v>9510.0</v>
      </c>
      <c r="B9523" s="14">
        <f t="shared" si="1"/>
        <v>0.1227134694</v>
      </c>
      <c r="C9523" s="39">
        <f t="array" ref="C9523">NPV(B9523,FCFF!$C$9:$I$9)+FCFF!$B$9+FCFF!$I$9*(1+Inputs!$B$6)/(B9523-Inputs!$B$6)/(1+B9523)^7</f>
        <v>-1866.067815</v>
      </c>
    </row>
    <row r="9524" ht="14.25" customHeight="1">
      <c r="A9524" s="7">
        <v>9511.0</v>
      </c>
      <c r="B9524" s="14">
        <f t="shared" si="1"/>
        <v>0.1259204353</v>
      </c>
      <c r="C9524" s="39">
        <f t="array" ref="C9524">NPV(B9524,FCFF!$C$9:$I$9)+FCFF!$B$9+FCFF!$I$9*(1+Inputs!$B$6)/(B9524-Inputs!$B$6)/(1+B9524)^7</f>
        <v>-1915.013484</v>
      </c>
    </row>
    <row r="9525" ht="14.25" customHeight="1">
      <c r="A9525" s="7">
        <v>9512.0</v>
      </c>
      <c r="B9525" s="14">
        <f t="shared" si="1"/>
        <v>0.1201489664</v>
      </c>
      <c r="C9525" s="39">
        <f t="array" ref="C9525">NPV(B9525,FCFF!$C$9:$I$9)+FCFF!$B$9+FCFF!$I$9*(1+Inputs!$B$6)/(B9525-Inputs!$B$6)/(1+B9525)^7</f>
        <v>-1824.250025</v>
      </c>
    </row>
    <row r="9526" ht="14.25" customHeight="1">
      <c r="A9526" s="7">
        <v>9513.0</v>
      </c>
      <c r="B9526" s="14">
        <f t="shared" si="1"/>
        <v>0.1182112816</v>
      </c>
      <c r="C9526" s="39">
        <f t="array" ref="C9526">NPV(B9526,FCFF!$C$9:$I$9)+FCFF!$B$9+FCFF!$I$9*(1+Inputs!$B$6)/(B9526-Inputs!$B$6)/(1+B9526)^7</f>
        <v>-1790.942032</v>
      </c>
    </row>
    <row r="9527" ht="14.25" customHeight="1">
      <c r="A9527" s="7">
        <v>9514.0</v>
      </c>
      <c r="B9527" s="14">
        <f t="shared" si="1"/>
        <v>0.100074611</v>
      </c>
      <c r="C9527" s="39">
        <f t="array" ref="C9527">NPV(B9527,FCFF!$C$9:$I$9)+FCFF!$B$9+FCFF!$I$9*(1+Inputs!$B$6)/(B9527-Inputs!$B$6)/(1+B9527)^7</f>
        <v>-1385.802913</v>
      </c>
    </row>
    <row r="9528" ht="14.25" customHeight="1">
      <c r="A9528" s="7">
        <v>9515.0</v>
      </c>
      <c r="B9528" s="14">
        <f t="shared" si="1"/>
        <v>0.1178342819</v>
      </c>
      <c r="C9528" s="39">
        <f t="array" ref="C9528">NPV(B9528,FCFF!$C$9:$I$9)+FCFF!$B$9+FCFF!$I$9*(1+Inputs!$B$6)/(B9528-Inputs!$B$6)/(1+B9528)^7</f>
        <v>-1784.281214</v>
      </c>
    </row>
    <row r="9529" ht="14.25" customHeight="1">
      <c r="A9529" s="7">
        <v>9516.0</v>
      </c>
      <c r="B9529" s="14">
        <f t="shared" si="1"/>
        <v>0.1135979785</v>
      </c>
      <c r="C9529" s="39">
        <f t="array" ref="C9529">NPV(B9529,FCFF!$C$9:$I$9)+FCFF!$B$9+FCFF!$I$9*(1+Inputs!$B$6)/(B9529-Inputs!$B$6)/(1+B9529)^7</f>
        <v>-1705.091162</v>
      </c>
    </row>
    <row r="9530" ht="14.25" customHeight="1">
      <c r="A9530" s="7">
        <v>9517.0</v>
      </c>
      <c r="B9530" s="14">
        <f t="shared" si="1"/>
        <v>0.104539718</v>
      </c>
      <c r="C9530" s="39">
        <f t="array" ref="C9530">NPV(B9530,FCFF!$C$9:$I$9)+FCFF!$B$9+FCFF!$I$9*(1+Inputs!$B$6)/(B9530-Inputs!$B$6)/(1+B9530)^7</f>
        <v>-1504.320967</v>
      </c>
    </row>
    <row r="9531" ht="14.25" customHeight="1">
      <c r="A9531" s="7">
        <v>9518.0</v>
      </c>
      <c r="B9531" s="14">
        <f t="shared" si="1"/>
        <v>0.1283650392</v>
      </c>
      <c r="C9531" s="39">
        <f t="array" ref="C9531">NPV(B9531,FCFF!$C$9:$I$9)+FCFF!$B$9+FCFF!$I$9*(1+Inputs!$B$6)/(B9531-Inputs!$B$6)/(1+B9531)^7</f>
        <v>-1950.026989</v>
      </c>
    </row>
    <row r="9532" ht="14.25" customHeight="1">
      <c r="A9532" s="7">
        <v>9519.0</v>
      </c>
      <c r="B9532" s="14">
        <f t="shared" si="1"/>
        <v>0.1307084584</v>
      </c>
      <c r="C9532" s="39">
        <f t="array" ref="C9532">NPV(B9532,FCFF!$C$9:$I$9)+FCFF!$B$9+FCFF!$I$9*(1+Inputs!$B$6)/(B9532-Inputs!$B$6)/(1+B9532)^7</f>
        <v>-1981.870025</v>
      </c>
    </row>
    <row r="9533" ht="14.25" customHeight="1">
      <c r="A9533" s="7">
        <v>9520.0</v>
      </c>
      <c r="B9533" s="14">
        <f t="shared" si="1"/>
        <v>0.1298384782</v>
      </c>
      <c r="C9533" s="39">
        <f t="array" ref="C9533">NPV(B9533,FCFF!$C$9:$I$9)+FCFF!$B$9+FCFF!$I$9*(1+Inputs!$B$6)/(B9533-Inputs!$B$6)/(1+B9533)^7</f>
        <v>-1970.237614</v>
      </c>
    </row>
    <row r="9534" ht="14.25" customHeight="1">
      <c r="A9534" s="7">
        <v>9521.0</v>
      </c>
      <c r="B9534" s="14">
        <f t="shared" si="1"/>
        <v>0.1142422465</v>
      </c>
      <c r="C9534" s="39">
        <f t="array" ref="C9534">NPV(B9534,FCFF!$C$9:$I$9)+FCFF!$B$9+FCFF!$I$9*(1+Inputs!$B$6)/(B9534-Inputs!$B$6)/(1+B9534)^7</f>
        <v>-1717.672154</v>
      </c>
    </row>
    <row r="9535" ht="14.25" customHeight="1">
      <c r="A9535" s="7">
        <v>9522.0</v>
      </c>
      <c r="B9535" s="14">
        <f t="shared" si="1"/>
        <v>0.1019560595</v>
      </c>
      <c r="C9535" s="39">
        <f t="array" ref="C9535">NPV(B9535,FCFF!$C$9:$I$9)+FCFF!$B$9+FCFF!$I$9*(1+Inputs!$B$6)/(B9535-Inputs!$B$6)/(1+B9535)^7</f>
        <v>-1437.557606</v>
      </c>
    </row>
    <row r="9536" ht="14.25" customHeight="1">
      <c r="A9536" s="7">
        <v>9523.0</v>
      </c>
      <c r="B9536" s="14">
        <f t="shared" si="1"/>
        <v>0.09803168298</v>
      </c>
      <c r="C9536" s="39">
        <f t="array" ref="C9536">NPV(B9536,FCFF!$C$9:$I$9)+FCFF!$B$9+FCFF!$I$9*(1+Inputs!$B$6)/(B9536-Inputs!$B$6)/(1+B9536)^7</f>
        <v>-1326.342862</v>
      </c>
    </row>
    <row r="9537" ht="14.25" customHeight="1">
      <c r="A9537" s="7">
        <v>9524.0</v>
      </c>
      <c r="B9537" s="14">
        <f t="shared" si="1"/>
        <v>0.1061089073</v>
      </c>
      <c r="C9537" s="39">
        <f t="array" ref="C9537">NPV(B9537,FCFF!$C$9:$I$9)+FCFF!$B$9+FCFF!$I$9*(1+Inputs!$B$6)/(B9537-Inputs!$B$6)/(1+B9537)^7</f>
        <v>-1542.619541</v>
      </c>
    </row>
    <row r="9538" ht="14.25" customHeight="1">
      <c r="A9538" s="7">
        <v>9525.0</v>
      </c>
      <c r="B9538" s="14">
        <f t="shared" si="1"/>
        <v>0.1107475237</v>
      </c>
      <c r="C9538" s="39">
        <f t="array" ref="C9538">NPV(B9538,FCFF!$C$9:$I$9)+FCFF!$B$9+FCFF!$I$9*(1+Inputs!$B$6)/(B9538-Inputs!$B$6)/(1+B9538)^7</f>
        <v>-1646.920375</v>
      </c>
    </row>
    <row r="9539" ht="14.25" customHeight="1">
      <c r="A9539" s="7">
        <v>9526.0</v>
      </c>
      <c r="B9539" s="14">
        <f t="shared" si="1"/>
        <v>0.09548336044</v>
      </c>
      <c r="C9539" s="39">
        <f t="array" ref="C9539">NPV(B9539,FCFF!$C$9:$I$9)+FCFF!$B$9+FCFF!$I$9*(1+Inputs!$B$6)/(B9539-Inputs!$B$6)/(1+B9539)^7</f>
        <v>-1246.968766</v>
      </c>
    </row>
    <row r="9540" ht="14.25" customHeight="1">
      <c r="A9540" s="7">
        <v>9527.0</v>
      </c>
      <c r="B9540" s="14">
        <f t="shared" si="1"/>
        <v>0.1303019849</v>
      </c>
      <c r="C9540" s="39">
        <f t="array" ref="C9540">NPV(B9540,FCFF!$C$9:$I$9)+FCFF!$B$9+FCFF!$I$9*(1+Inputs!$B$6)/(B9540-Inputs!$B$6)/(1+B9540)^7</f>
        <v>-1976.462386</v>
      </c>
    </row>
    <row r="9541" ht="14.25" customHeight="1">
      <c r="A9541" s="7">
        <v>9528.0</v>
      </c>
      <c r="B9541" s="14">
        <f t="shared" si="1"/>
        <v>0.09375417995</v>
      </c>
      <c r="C9541" s="39">
        <f t="array" ref="C9541">NPV(B9541,FCFF!$C$9:$I$9)+FCFF!$B$9+FCFF!$I$9*(1+Inputs!$B$6)/(B9541-Inputs!$B$6)/(1+B9541)^7</f>
        <v>-1189.513435</v>
      </c>
    </row>
    <row r="9542" ht="14.25" customHeight="1">
      <c r="A9542" s="7">
        <v>9529.0</v>
      </c>
      <c r="B9542" s="14">
        <f t="shared" si="1"/>
        <v>0.10241276</v>
      </c>
      <c r="C9542" s="39">
        <f t="array" ref="C9542">NPV(B9542,FCFF!$C$9:$I$9)+FCFF!$B$9+FCFF!$I$9*(1+Inputs!$B$6)/(B9542-Inputs!$B$6)/(1+B9542)^7</f>
        <v>-1449.710672</v>
      </c>
    </row>
    <row r="9543" ht="14.25" customHeight="1">
      <c r="A9543" s="7">
        <v>9530.0</v>
      </c>
      <c r="B9543" s="14">
        <f t="shared" si="1"/>
        <v>0.1112216459</v>
      </c>
      <c r="C9543" s="39">
        <f t="array" ref="C9543">NPV(B9543,FCFF!$C$9:$I$9)+FCFF!$B$9+FCFF!$I$9*(1+Inputs!$B$6)/(B9543-Inputs!$B$6)/(1+B9543)^7</f>
        <v>-1656.889834</v>
      </c>
    </row>
    <row r="9544" ht="14.25" customHeight="1">
      <c r="A9544" s="7">
        <v>9531.0</v>
      </c>
      <c r="B9544" s="14">
        <f t="shared" si="1"/>
        <v>0.1259060524</v>
      </c>
      <c r="C9544" s="39">
        <f t="array" ref="C9544">NPV(B9544,FCFF!$C$9:$I$9)+FCFF!$B$9+FCFF!$I$9*(1+Inputs!$B$6)/(B9544-Inputs!$B$6)/(1+B9544)^7</f>
        <v>-1914.801791</v>
      </c>
    </row>
    <row r="9545" ht="14.25" customHeight="1">
      <c r="A9545" s="7">
        <v>9532.0</v>
      </c>
      <c r="B9545" s="14">
        <f t="shared" si="1"/>
        <v>0.1291958362</v>
      </c>
      <c r="C9545" s="39">
        <f t="array" ref="C9545">NPV(B9545,FCFF!$C$9:$I$9)+FCFF!$B$9+FCFF!$I$9*(1+Inputs!$B$6)/(B9545-Inputs!$B$6)/(1+B9545)^7</f>
        <v>-1961.502671</v>
      </c>
    </row>
    <row r="9546" ht="14.25" customHeight="1">
      <c r="A9546" s="7">
        <v>9533.0</v>
      </c>
      <c r="B9546" s="14">
        <f t="shared" si="1"/>
        <v>0.09547408745</v>
      </c>
      <c r="C9546" s="39">
        <f t="array" ref="C9546">NPV(B9546,FCFF!$C$9:$I$9)+FCFF!$B$9+FCFF!$I$9*(1+Inputs!$B$6)/(B9546-Inputs!$B$6)/(1+B9546)^7</f>
        <v>-1246.66869</v>
      </c>
    </row>
    <row r="9547" ht="14.25" customHeight="1">
      <c r="A9547" s="7">
        <v>9534.0</v>
      </c>
      <c r="B9547" s="14">
        <f t="shared" si="1"/>
        <v>0.1293183308</v>
      </c>
      <c r="C9547" s="39">
        <f t="array" ref="C9547">NPV(B9547,FCFF!$C$9:$I$9)+FCFF!$B$9+FCFF!$I$9*(1+Inputs!$B$6)/(B9547-Inputs!$B$6)/(1+B9547)^7</f>
        <v>-1963.177097</v>
      </c>
    </row>
    <row r="9548" ht="14.25" customHeight="1">
      <c r="A9548" s="7">
        <v>9535.0</v>
      </c>
      <c r="B9548" s="14">
        <f t="shared" si="1"/>
        <v>0.1014399992</v>
      </c>
      <c r="C9548" s="39">
        <f t="array" ref="C9548">NPV(B9548,FCFF!$C$9:$I$9)+FCFF!$B$9+FCFF!$I$9*(1+Inputs!$B$6)/(B9548-Inputs!$B$6)/(1+B9548)^7</f>
        <v>-1423.635766</v>
      </c>
    </row>
    <row r="9549" ht="14.25" customHeight="1">
      <c r="A9549" s="7">
        <v>9536.0</v>
      </c>
      <c r="B9549" s="14">
        <f t="shared" si="1"/>
        <v>0.09627018397</v>
      </c>
      <c r="C9549" s="39">
        <f t="array" ref="C9549">NPV(B9549,FCFF!$C$9:$I$9)+FCFF!$B$9+FCFF!$I$9*(1+Inputs!$B$6)/(B9549-Inputs!$B$6)/(1+B9549)^7</f>
        <v>-1272.126163</v>
      </c>
    </row>
    <row r="9550" ht="14.25" customHeight="1">
      <c r="A9550" s="7">
        <v>9537.0</v>
      </c>
      <c r="B9550" s="14">
        <f t="shared" si="1"/>
        <v>0.12268651</v>
      </c>
      <c r="C9550" s="39">
        <f t="array" ref="C9550">NPV(B9550,FCFF!$C$9:$I$9)+FCFF!$B$9+FCFF!$I$9*(1+Inputs!$B$6)/(B9550-Inputs!$B$6)/(1+B9550)^7</f>
        <v>-1865.640997</v>
      </c>
    </row>
    <row r="9551" ht="14.25" customHeight="1">
      <c r="A9551" s="7">
        <v>9538.0</v>
      </c>
      <c r="B9551" s="14">
        <f t="shared" si="1"/>
        <v>0.1107654828</v>
      </c>
      <c r="C9551" s="39">
        <f t="array" ref="C9551">NPV(B9551,FCFF!$C$9:$I$9)+FCFF!$B$9+FCFF!$I$9*(1+Inputs!$B$6)/(B9551-Inputs!$B$6)/(1+B9551)^7</f>
        <v>-1647.300213</v>
      </c>
    </row>
    <row r="9552" ht="14.25" customHeight="1">
      <c r="A9552" s="7">
        <v>9539.0</v>
      </c>
      <c r="B9552" s="14">
        <f t="shared" si="1"/>
        <v>0.1294073336</v>
      </c>
      <c r="C9552" s="39">
        <f t="array" ref="C9552">NPV(B9552,FCFF!$C$9:$I$9)+FCFF!$B$9+FCFF!$I$9*(1+Inputs!$B$6)/(B9552-Inputs!$B$6)/(1+B9552)^7</f>
        <v>-1964.390908</v>
      </c>
    </row>
    <row r="9553" ht="14.25" customHeight="1">
      <c r="A9553" s="7">
        <v>9540.0</v>
      </c>
      <c r="B9553" s="14">
        <f t="shared" si="1"/>
        <v>0.1288174751</v>
      </c>
      <c r="C9553" s="39">
        <f t="array" ref="C9553">NPV(B9553,FCFF!$C$9:$I$9)+FCFF!$B$9+FCFF!$I$9*(1+Inputs!$B$6)/(B9553-Inputs!$B$6)/(1+B9553)^7</f>
        <v>-1956.302311</v>
      </c>
    </row>
    <row r="9554" ht="14.25" customHeight="1">
      <c r="A9554" s="7">
        <v>9541.0</v>
      </c>
      <c r="B9554" s="14">
        <f t="shared" si="1"/>
        <v>0.1209993894</v>
      </c>
      <c r="C9554" s="39">
        <f t="array" ref="C9554">NPV(B9554,FCFF!$C$9:$I$9)+FCFF!$B$9+FCFF!$I$9*(1+Inputs!$B$6)/(B9554-Inputs!$B$6)/(1+B9554)^7</f>
        <v>-1838.39485</v>
      </c>
    </row>
    <row r="9555" ht="14.25" customHeight="1">
      <c r="A9555" s="7">
        <v>9542.0</v>
      </c>
      <c r="B9555" s="14">
        <f t="shared" si="1"/>
        <v>0.1200594364</v>
      </c>
      <c r="C9555" s="39">
        <f t="array" ref="C9555">NPV(B9555,FCFF!$C$9:$I$9)+FCFF!$B$9+FCFF!$I$9*(1+Inputs!$B$6)/(B9555-Inputs!$B$6)/(1+B9555)^7</f>
        <v>-1822.744425</v>
      </c>
    </row>
    <row r="9556" ht="14.25" customHeight="1">
      <c r="A9556" s="7">
        <v>9543.0</v>
      </c>
      <c r="B9556" s="14">
        <f t="shared" si="1"/>
        <v>0.123612738</v>
      </c>
      <c r="C9556" s="39">
        <f t="array" ref="C9556">NPV(B9556,FCFF!$C$9:$I$9)+FCFF!$B$9+FCFF!$I$9*(1+Inputs!$B$6)/(B9556-Inputs!$B$6)/(1+B9556)^7</f>
        <v>-1880.154693</v>
      </c>
    </row>
    <row r="9557" ht="14.25" customHeight="1">
      <c r="A9557" s="7">
        <v>9544.0</v>
      </c>
      <c r="B9557" s="14">
        <f t="shared" si="1"/>
        <v>0.1226005099</v>
      </c>
      <c r="C9557" s="39">
        <f t="array" ref="C9557">NPV(B9557,FCFF!$C$9:$I$9)+FCFF!$B$9+FCFF!$I$9*(1+Inputs!$B$6)/(B9557-Inputs!$B$6)/(1+B9557)^7</f>
        <v>-1864.277688</v>
      </c>
    </row>
    <row r="9558" ht="14.25" customHeight="1">
      <c r="A9558" s="7">
        <v>9545.0</v>
      </c>
      <c r="B9558" s="14">
        <f t="shared" si="1"/>
        <v>0.1321212118</v>
      </c>
      <c r="C9558" s="39">
        <f t="array" ref="C9558">NPV(B9558,FCFF!$C$9:$I$9)+FCFF!$B$9+FCFF!$I$9*(1+Inputs!$B$6)/(B9558-Inputs!$B$6)/(1+B9558)^7</f>
        <v>-2000.301064</v>
      </c>
    </row>
    <row r="9559" ht="14.25" customHeight="1">
      <c r="A9559" s="7">
        <v>9546.0</v>
      </c>
      <c r="B9559" s="14">
        <f t="shared" si="1"/>
        <v>0.1078178836</v>
      </c>
      <c r="C9559" s="39">
        <f t="array" ref="C9559">NPV(B9559,FCFF!$C$9:$I$9)+FCFF!$B$9+FCFF!$I$9*(1+Inputs!$B$6)/(B9559-Inputs!$B$6)/(1+B9559)^7</f>
        <v>-1582.533839</v>
      </c>
    </row>
    <row r="9560" ht="14.25" customHeight="1">
      <c r="A9560" s="7">
        <v>9547.0</v>
      </c>
      <c r="B9560" s="14">
        <f t="shared" si="1"/>
        <v>0.1312030681</v>
      </c>
      <c r="C9560" s="39">
        <f t="array" ref="C9560">NPV(B9560,FCFF!$C$9:$I$9)+FCFF!$B$9+FCFF!$I$9*(1+Inputs!$B$6)/(B9560-Inputs!$B$6)/(1+B9560)^7</f>
        <v>-1988.38654</v>
      </c>
    </row>
    <row r="9561" ht="14.25" customHeight="1">
      <c r="A9561" s="7">
        <v>9548.0</v>
      </c>
      <c r="B9561" s="14">
        <f t="shared" si="1"/>
        <v>0.1020763312</v>
      </c>
      <c r="C9561" s="39">
        <f t="array" ref="C9561">NPV(B9561,FCFF!$C$9:$I$9)+FCFF!$B$9+FCFF!$I$9*(1+Inputs!$B$6)/(B9561-Inputs!$B$6)/(1+B9561)^7</f>
        <v>-1440.773226</v>
      </c>
    </row>
    <row r="9562" ht="14.25" customHeight="1">
      <c r="A9562" s="7">
        <v>9549.0</v>
      </c>
      <c r="B9562" s="14">
        <f t="shared" si="1"/>
        <v>0.1265852287</v>
      </c>
      <c r="C9562" s="39">
        <f t="array" ref="C9562">NPV(B9562,FCFF!$C$9:$I$9)+FCFF!$B$9+FCFF!$I$9*(1+Inputs!$B$6)/(B9562-Inputs!$B$6)/(1+B9562)^7</f>
        <v>-1924.72421</v>
      </c>
    </row>
    <row r="9563" ht="14.25" customHeight="1">
      <c r="A9563" s="7">
        <v>9550.0</v>
      </c>
      <c r="B9563" s="14">
        <f t="shared" si="1"/>
        <v>0.123194521</v>
      </c>
      <c r="C9563" s="39">
        <f t="array" ref="C9563">NPV(B9563,FCFF!$C$9:$I$9)+FCFF!$B$9+FCFF!$I$9*(1+Inputs!$B$6)/(B9563-Inputs!$B$6)/(1+B9563)^7</f>
        <v>-1873.639485</v>
      </c>
    </row>
    <row r="9564" ht="14.25" customHeight="1">
      <c r="A9564" s="7">
        <v>9551.0</v>
      </c>
      <c r="B9564" s="14">
        <f t="shared" si="1"/>
        <v>0.115189813</v>
      </c>
      <c r="C9564" s="39">
        <f t="array" ref="C9564">NPV(B9564,FCFF!$C$9:$I$9)+FCFF!$B$9+FCFF!$I$9*(1+Inputs!$B$6)/(B9564-Inputs!$B$6)/(1+B9564)^7</f>
        <v>-1735.815014</v>
      </c>
    </row>
    <row r="9565" ht="14.25" customHeight="1">
      <c r="A9565" s="7">
        <v>9552.0</v>
      </c>
      <c r="B9565" s="14">
        <f t="shared" si="1"/>
        <v>0.1202400052</v>
      </c>
      <c r="C9565" s="39">
        <f t="array" ref="C9565">NPV(B9565,FCFF!$C$9:$I$9)+FCFF!$B$9+FCFF!$I$9*(1+Inputs!$B$6)/(B9565-Inputs!$B$6)/(1+B9565)^7</f>
        <v>-1825.777756</v>
      </c>
    </row>
    <row r="9566" ht="14.25" customHeight="1">
      <c r="A9566" s="7">
        <v>9553.0</v>
      </c>
      <c r="B9566" s="14">
        <f t="shared" si="1"/>
        <v>0.1049353296</v>
      </c>
      <c r="C9566" s="39">
        <f t="array" ref="C9566">NPV(B9566,FCFF!$C$9:$I$9)+FCFF!$B$9+FCFF!$I$9*(1+Inputs!$B$6)/(B9566-Inputs!$B$6)/(1+B9566)^7</f>
        <v>-1514.130775</v>
      </c>
    </row>
    <row r="9567" ht="14.25" customHeight="1">
      <c r="A9567" s="7">
        <v>9554.0</v>
      </c>
      <c r="B9567" s="14">
        <f t="shared" si="1"/>
        <v>0.1317516402</v>
      </c>
      <c r="C9567" s="39">
        <f t="array" ref="C9567">NPV(B9567,FCFF!$C$9:$I$9)+FCFF!$B$9+FCFF!$I$9*(1+Inputs!$B$6)/(B9567-Inputs!$B$6)/(1+B9567)^7</f>
        <v>-1995.533399</v>
      </c>
    </row>
    <row r="9568" ht="14.25" customHeight="1">
      <c r="A9568" s="7">
        <v>9555.0</v>
      </c>
      <c r="B9568" s="14">
        <f t="shared" si="1"/>
        <v>0.1224200402</v>
      </c>
      <c r="C9568" s="39">
        <f t="array" ref="C9568">NPV(B9568,FCFF!$C$9:$I$9)+FCFF!$B$9+FCFF!$I$9*(1+Inputs!$B$6)/(B9568-Inputs!$B$6)/(1+B9568)^7</f>
        <v>-1861.408018</v>
      </c>
    </row>
    <row r="9569" ht="14.25" customHeight="1">
      <c r="A9569" s="7">
        <v>9556.0</v>
      </c>
      <c r="B9569" s="14">
        <f t="shared" si="1"/>
        <v>0.09870480774</v>
      </c>
      <c r="C9569" s="39">
        <f t="array" ref="C9569">NPV(B9569,FCFF!$C$9:$I$9)+FCFF!$B$9+FCFF!$I$9*(1+Inputs!$B$6)/(B9569-Inputs!$B$6)/(1+B9569)^7</f>
        <v>-1346.326412</v>
      </c>
    </row>
    <row r="9570" ht="14.25" customHeight="1">
      <c r="A9570" s="7">
        <v>9557.0</v>
      </c>
      <c r="B9570" s="14">
        <f t="shared" si="1"/>
        <v>0.1289093748</v>
      </c>
      <c r="C9570" s="39">
        <f t="array" ref="C9570">NPV(B9570,FCFF!$C$9:$I$9)+FCFF!$B$9+FCFF!$I$9*(1+Inputs!$B$6)/(B9570-Inputs!$B$6)/(1+B9570)^7</f>
        <v>-1957.569381</v>
      </c>
    </row>
    <row r="9571" ht="14.25" customHeight="1">
      <c r="A9571" s="7">
        <v>9558.0</v>
      </c>
      <c r="B9571" s="14">
        <f t="shared" si="1"/>
        <v>0.1165213956</v>
      </c>
      <c r="C9571" s="39">
        <f t="array" ref="C9571">NPV(B9571,FCFF!$C$9:$I$9)+FCFF!$B$9+FCFF!$I$9*(1+Inputs!$B$6)/(B9571-Inputs!$B$6)/(1+B9571)^7</f>
        <v>-1760.608146</v>
      </c>
    </row>
    <row r="9572" ht="14.25" customHeight="1">
      <c r="A9572" s="7">
        <v>9559.0</v>
      </c>
      <c r="B9572" s="14">
        <f t="shared" si="1"/>
        <v>0.1093456942</v>
      </c>
      <c r="C9572" s="39">
        <f t="array" ref="C9572">NPV(B9572,FCFF!$C$9:$I$9)+FCFF!$B$9+FCFF!$I$9*(1+Inputs!$B$6)/(B9572-Inputs!$B$6)/(1+B9572)^7</f>
        <v>-1616.723016</v>
      </c>
    </row>
    <row r="9573" ht="14.25" customHeight="1">
      <c r="A9573" s="7">
        <v>9560.0</v>
      </c>
      <c r="B9573" s="14">
        <f t="shared" si="1"/>
        <v>0.1003784176</v>
      </c>
      <c r="C9573" s="39">
        <f t="array" ref="C9573">NPV(B9573,FCFF!$C$9:$I$9)+FCFF!$B$9+FCFF!$I$9*(1+Inputs!$B$6)/(B9573-Inputs!$B$6)/(1+B9573)^7</f>
        <v>-1394.348954</v>
      </c>
    </row>
    <row r="9574" ht="14.25" customHeight="1">
      <c r="A9574" s="7">
        <v>9561.0</v>
      </c>
      <c r="B9574" s="14">
        <f t="shared" si="1"/>
        <v>0.1010049685</v>
      </c>
      <c r="C9574" s="39">
        <f t="array" ref="C9574">NPV(B9574,FCFF!$C$9:$I$9)+FCFF!$B$9+FCFF!$I$9*(1+Inputs!$B$6)/(B9574-Inputs!$B$6)/(1+B9574)^7</f>
        <v>-1411.741034</v>
      </c>
    </row>
    <row r="9575" ht="14.25" customHeight="1">
      <c r="A9575" s="7">
        <v>9562.0</v>
      </c>
      <c r="B9575" s="14">
        <f t="shared" si="1"/>
        <v>0.09830676127</v>
      </c>
      <c r="C9575" s="39">
        <f t="array" ref="C9575">NPV(B9575,FCFF!$C$9:$I$9)+FCFF!$B$9+FCFF!$I$9*(1+Inputs!$B$6)/(B9575-Inputs!$B$6)/(1+B9575)^7</f>
        <v>-1334.557003</v>
      </c>
    </row>
    <row r="9576" ht="14.25" customHeight="1">
      <c r="A9576" s="7">
        <v>9563.0</v>
      </c>
      <c r="B9576" s="14">
        <f t="shared" si="1"/>
        <v>0.1015739077</v>
      </c>
      <c r="C9576" s="39">
        <f t="array" ref="C9576">NPV(B9576,FCFF!$C$9:$I$9)+FCFF!$B$9+FCFF!$I$9*(1+Inputs!$B$6)/(B9576-Inputs!$B$6)/(1+B9576)^7</f>
        <v>-1427.267735</v>
      </c>
    </row>
    <row r="9577" ht="14.25" customHeight="1">
      <c r="A9577" s="7">
        <v>9564.0</v>
      </c>
      <c r="B9577" s="14">
        <f t="shared" si="1"/>
        <v>0.1285400629</v>
      </c>
      <c r="C9577" s="39">
        <f t="array" ref="C9577">NPV(B9577,FCFF!$C$9:$I$9)+FCFF!$B$9+FCFF!$I$9*(1+Inputs!$B$6)/(B9577-Inputs!$B$6)/(1+B9577)^7</f>
        <v>-1952.461971</v>
      </c>
    </row>
    <row r="9578" ht="14.25" customHeight="1">
      <c r="A9578" s="7">
        <v>9565.0</v>
      </c>
      <c r="B9578" s="14">
        <f t="shared" si="1"/>
        <v>0.1225705181</v>
      </c>
      <c r="C9578" s="39">
        <f t="array" ref="C9578">NPV(B9578,FCFF!$C$9:$I$9)+FCFF!$B$9+FCFF!$I$9*(1+Inputs!$B$6)/(B9578-Inputs!$B$6)/(1+B9578)^7</f>
        <v>-1863.801611</v>
      </c>
    </row>
    <row r="9579" ht="14.25" customHeight="1">
      <c r="A9579" s="7">
        <v>9566.0</v>
      </c>
      <c r="B9579" s="14">
        <f t="shared" si="1"/>
        <v>0.1258435196</v>
      </c>
      <c r="C9579" s="39">
        <f t="array" ref="C9579">NPV(B9579,FCFF!$C$9:$I$9)+FCFF!$B$9+FCFF!$I$9*(1+Inputs!$B$6)/(B9579-Inputs!$B$6)/(1+B9579)^7</f>
        <v>-1913.880618</v>
      </c>
    </row>
    <row r="9580" ht="14.25" customHeight="1">
      <c r="A9580" s="7">
        <v>9567.0</v>
      </c>
      <c r="B9580" s="14">
        <f t="shared" si="1"/>
        <v>0.1130638037</v>
      </c>
      <c r="C9580" s="39">
        <f t="array" ref="C9580">NPV(B9580,FCFF!$C$9:$I$9)+FCFF!$B$9+FCFF!$I$9*(1+Inputs!$B$6)/(B9580-Inputs!$B$6)/(1+B9580)^7</f>
        <v>-1694.505751</v>
      </c>
    </row>
    <row r="9581" ht="14.25" customHeight="1">
      <c r="A9581" s="7">
        <v>9568.0</v>
      </c>
      <c r="B9581" s="14">
        <f t="shared" si="1"/>
        <v>0.1038188582</v>
      </c>
      <c r="C9581" s="39">
        <f t="array" ref="C9581">NPV(B9581,FCFF!$C$9:$I$9)+FCFF!$B$9+FCFF!$I$9*(1+Inputs!$B$6)/(B9581-Inputs!$B$6)/(1+B9581)^7</f>
        <v>-1486.170818</v>
      </c>
    </row>
    <row r="9582" ht="14.25" customHeight="1">
      <c r="A9582" s="7">
        <v>9569.0</v>
      </c>
      <c r="B9582" s="14">
        <f t="shared" si="1"/>
        <v>0.1185721971</v>
      </c>
      <c r="C9582" s="39">
        <f t="array" ref="C9582">NPV(B9582,FCFF!$C$9:$I$9)+FCFF!$B$9+FCFF!$I$9*(1+Inputs!$B$6)/(B9582-Inputs!$B$6)/(1+B9582)^7</f>
        <v>-1797.262689</v>
      </c>
    </row>
    <row r="9583" ht="14.25" customHeight="1">
      <c r="A9583" s="7">
        <v>9570.0</v>
      </c>
      <c r="B9583" s="14">
        <f t="shared" si="1"/>
        <v>0.1172649256</v>
      </c>
      <c r="C9583" s="39">
        <f t="array" ref="C9583">NPV(B9583,FCFF!$C$9:$I$9)+FCFF!$B$9+FCFF!$I$9*(1+Inputs!$B$6)/(B9583-Inputs!$B$6)/(1+B9583)^7</f>
        <v>-1774.106942</v>
      </c>
    </row>
    <row r="9584" ht="14.25" customHeight="1">
      <c r="A9584" s="7">
        <v>9571.0</v>
      </c>
      <c r="B9584" s="14">
        <f t="shared" si="1"/>
        <v>0.1069680795</v>
      </c>
      <c r="C9584" s="39">
        <f t="array" ref="C9584">NPV(B9584,FCFF!$C$9:$I$9)+FCFF!$B$9+FCFF!$I$9*(1+Inputs!$B$6)/(B9584-Inputs!$B$6)/(1+B9584)^7</f>
        <v>-1562.913134</v>
      </c>
    </row>
    <row r="9585" ht="14.25" customHeight="1">
      <c r="A9585" s="7">
        <v>9572.0</v>
      </c>
      <c r="B9585" s="14">
        <f t="shared" si="1"/>
        <v>0.104518889</v>
      </c>
      <c r="C9585" s="39">
        <f t="array" ref="C9585">NPV(B9585,FCFF!$C$9:$I$9)+FCFF!$B$9+FCFF!$I$9*(1+Inputs!$B$6)/(B9585-Inputs!$B$6)/(1+B9585)^7</f>
        <v>-1503.801537</v>
      </c>
    </row>
    <row r="9586" ht="14.25" customHeight="1">
      <c r="A9586" s="7">
        <v>9573.0</v>
      </c>
      <c r="B9586" s="14">
        <f t="shared" si="1"/>
        <v>0.1214452725</v>
      </c>
      <c r="C9586" s="39">
        <f t="array" ref="C9586">NPV(B9586,FCFF!$C$9:$I$9)+FCFF!$B$9+FCFF!$I$9*(1+Inputs!$B$6)/(B9586-Inputs!$B$6)/(1+B9586)^7</f>
        <v>-1845.699581</v>
      </c>
    </row>
    <row r="9587" ht="14.25" customHeight="1">
      <c r="A9587" s="7">
        <v>9574.0</v>
      </c>
      <c r="B9587" s="14">
        <f t="shared" si="1"/>
        <v>0.1213810231</v>
      </c>
      <c r="C9587" s="39">
        <f t="array" ref="C9587">NPV(B9587,FCFF!$C$9:$I$9)+FCFF!$B$9+FCFF!$I$9*(1+Inputs!$B$6)/(B9587-Inputs!$B$6)/(1+B9587)^7</f>
        <v>-1844.651676</v>
      </c>
    </row>
    <row r="9588" ht="14.25" customHeight="1">
      <c r="A9588" s="7">
        <v>9575.0</v>
      </c>
      <c r="B9588" s="14">
        <f t="shared" si="1"/>
        <v>0.1225004794</v>
      </c>
      <c r="C9588" s="39">
        <f t="array" ref="C9588">NPV(B9588,FCFF!$C$9:$I$9)+FCFF!$B$9+FCFF!$I$9*(1+Inputs!$B$6)/(B9588-Inputs!$B$6)/(1+B9588)^7</f>
        <v>-1862.688565</v>
      </c>
    </row>
    <row r="9589" ht="14.25" customHeight="1">
      <c r="A9589" s="7">
        <v>9576.0</v>
      </c>
      <c r="B9589" s="14">
        <f t="shared" si="1"/>
        <v>0.1059319126</v>
      </c>
      <c r="C9589" s="39">
        <f t="array" ref="C9589">NPV(B9589,FCFF!$C$9:$I$9)+FCFF!$B$9+FCFF!$I$9*(1+Inputs!$B$6)/(B9589-Inputs!$B$6)/(1+B9589)^7</f>
        <v>-1538.380561</v>
      </c>
    </row>
    <row r="9590" ht="14.25" customHeight="1">
      <c r="A9590" s="7">
        <v>9577.0</v>
      </c>
      <c r="B9590" s="14">
        <f t="shared" si="1"/>
        <v>0.1169460447</v>
      </c>
      <c r="C9590" s="39">
        <f t="array" ref="C9590">NPV(B9590,FCFF!$C$9:$I$9)+FCFF!$B$9+FCFF!$I$9*(1+Inputs!$B$6)/(B9590-Inputs!$B$6)/(1+B9590)^7</f>
        <v>-1768.347365</v>
      </c>
    </row>
    <row r="9591" ht="14.25" customHeight="1">
      <c r="A9591" s="7">
        <v>9578.0</v>
      </c>
      <c r="B9591" s="14">
        <f t="shared" si="1"/>
        <v>0.110604876</v>
      </c>
      <c r="C9591" s="39">
        <f t="array" ref="C9591">NPV(B9591,FCFF!$C$9:$I$9)+FCFF!$B$9+FCFF!$I$9*(1+Inputs!$B$6)/(B9591-Inputs!$B$6)/(1+B9591)^7</f>
        <v>-1643.897138</v>
      </c>
    </row>
    <row r="9592" ht="14.25" customHeight="1">
      <c r="A9592" s="7">
        <v>9579.0</v>
      </c>
      <c r="B9592" s="14">
        <f t="shared" si="1"/>
        <v>0.120843071</v>
      </c>
      <c r="C9592" s="39">
        <f t="array" ref="C9592">NPV(B9592,FCFF!$C$9:$I$9)+FCFF!$B$9+FCFF!$I$9*(1+Inputs!$B$6)/(B9592-Inputs!$B$6)/(1+B9592)^7</f>
        <v>-1835.815921</v>
      </c>
    </row>
    <row r="9593" ht="14.25" customHeight="1">
      <c r="A9593" s="7">
        <v>9580.0</v>
      </c>
      <c r="B9593" s="14">
        <f t="shared" si="1"/>
        <v>0.1207238634</v>
      </c>
      <c r="C9593" s="39">
        <f t="array" ref="C9593">NPV(B9593,FCFF!$C$9:$I$9)+FCFF!$B$9+FCFF!$I$9*(1+Inputs!$B$6)/(B9593-Inputs!$B$6)/(1+B9593)^7</f>
        <v>-1833.842903</v>
      </c>
    </row>
    <row r="9594" ht="14.25" customHeight="1">
      <c r="A9594" s="7">
        <v>9581.0</v>
      </c>
      <c r="B9594" s="14">
        <f t="shared" si="1"/>
        <v>0.1116784802</v>
      </c>
      <c r="C9594" s="39">
        <f t="array" ref="C9594">NPV(B9594,FCFF!$C$9:$I$9)+FCFF!$B$9+FCFF!$I$9*(1+Inputs!$B$6)/(B9594-Inputs!$B$6)/(1+B9594)^7</f>
        <v>-1666.382386</v>
      </c>
    </row>
    <row r="9595" ht="14.25" customHeight="1">
      <c r="A9595" s="7">
        <v>9582.0</v>
      </c>
      <c r="B9595" s="14">
        <f t="shared" si="1"/>
        <v>0.09692830483</v>
      </c>
      <c r="C9595" s="39">
        <f t="array" ref="C9595">NPV(B9595,FCFF!$C$9:$I$9)+FCFF!$B$9+FCFF!$I$9*(1+Inputs!$B$6)/(B9595-Inputs!$B$6)/(1+B9595)^7</f>
        <v>-1292.715802</v>
      </c>
    </row>
    <row r="9596" ht="14.25" customHeight="1">
      <c r="A9596" s="7">
        <v>9583.0</v>
      </c>
      <c r="B9596" s="14">
        <f t="shared" si="1"/>
        <v>0.1179900475</v>
      </c>
      <c r="C9596" s="39">
        <f t="array" ref="C9596">NPV(B9596,FCFF!$C$9:$I$9)+FCFF!$B$9+FCFF!$I$9*(1+Inputs!$B$6)/(B9596-Inputs!$B$6)/(1+B9596)^7</f>
        <v>-1787.040566</v>
      </c>
    </row>
    <row r="9597" ht="14.25" customHeight="1">
      <c r="A9597" s="7">
        <v>9584.0</v>
      </c>
      <c r="B9597" s="14">
        <f t="shared" si="1"/>
        <v>0.1051766437</v>
      </c>
      <c r="C9597" s="39">
        <f t="array" ref="C9597">NPV(B9597,FCFF!$C$9:$I$9)+FCFF!$B$9+FCFF!$I$9*(1+Inputs!$B$6)/(B9597-Inputs!$B$6)/(1+B9597)^7</f>
        <v>-1520.062864</v>
      </c>
    </row>
    <row r="9598" ht="14.25" customHeight="1">
      <c r="A9598" s="7">
        <v>9585.0</v>
      </c>
      <c r="B9598" s="14">
        <f t="shared" si="1"/>
        <v>0.124977421</v>
      </c>
      <c r="C9598" s="39">
        <f t="array" ref="C9598">NPV(B9598,FCFF!$C$9:$I$9)+FCFF!$B$9+FCFF!$I$9*(1+Inputs!$B$6)/(B9598-Inputs!$B$6)/(1+B9598)^7</f>
        <v>-1900.988117</v>
      </c>
    </row>
    <row r="9599" ht="14.25" customHeight="1">
      <c r="A9599" s="7">
        <v>9586.0</v>
      </c>
      <c r="B9599" s="14">
        <f t="shared" si="1"/>
        <v>0.09817003503</v>
      </c>
      <c r="C9599" s="39">
        <f t="array" ref="C9599">NPV(B9599,FCFF!$C$9:$I$9)+FCFF!$B$9+FCFF!$I$9*(1+Inputs!$B$6)/(B9599-Inputs!$B$6)/(1+B9599)^7</f>
        <v>-1330.482506</v>
      </c>
    </row>
    <row r="9600" ht="14.25" customHeight="1">
      <c r="A9600" s="7">
        <v>9587.0</v>
      </c>
      <c r="B9600" s="14">
        <f t="shared" si="1"/>
        <v>0.09355760766</v>
      </c>
      <c r="C9600" s="39">
        <f t="array" ref="C9600">NPV(B9600,FCFF!$C$9:$I$9)+FCFF!$B$9+FCFF!$I$9*(1+Inputs!$B$6)/(B9600-Inputs!$B$6)/(1+B9600)^7</f>
        <v>-1182.785812</v>
      </c>
    </row>
    <row r="9601" ht="14.25" customHeight="1">
      <c r="A9601" s="7">
        <v>9588.0</v>
      </c>
      <c r="B9601" s="14">
        <f t="shared" si="1"/>
        <v>0.09501202093</v>
      </c>
      <c r="C9601" s="39">
        <f t="array" ref="C9601">NPV(B9601,FCFF!$C$9:$I$9)+FCFF!$B$9+FCFF!$I$9*(1+Inputs!$B$6)/(B9601-Inputs!$B$6)/(1+B9601)^7</f>
        <v>-1231.608349</v>
      </c>
    </row>
    <row r="9602" ht="14.25" customHeight="1">
      <c r="A9602" s="7">
        <v>9589.0</v>
      </c>
      <c r="B9602" s="14">
        <f t="shared" si="1"/>
        <v>0.09708806179</v>
      </c>
      <c r="C9602" s="39">
        <f t="array" ref="C9602">NPV(B9602,FCFF!$C$9:$I$9)+FCFF!$B$9+FCFF!$I$9*(1+Inputs!$B$6)/(B9602-Inputs!$B$6)/(1+B9602)^7</f>
        <v>-1297.653073</v>
      </c>
    </row>
    <row r="9603" ht="14.25" customHeight="1">
      <c r="A9603" s="7">
        <v>9590.0</v>
      </c>
      <c r="B9603" s="14">
        <f t="shared" si="1"/>
        <v>0.1137894643</v>
      </c>
      <c r="C9603" s="39">
        <f t="array" ref="C9603">NPV(B9603,FCFF!$C$9:$I$9)+FCFF!$B$9+FCFF!$I$9*(1+Inputs!$B$6)/(B9603-Inputs!$B$6)/(1+B9603)^7</f>
        <v>-1708.851488</v>
      </c>
    </row>
    <row r="9604" ht="14.25" customHeight="1">
      <c r="A9604" s="7">
        <v>9591.0</v>
      </c>
      <c r="B9604" s="14">
        <f t="shared" si="1"/>
        <v>0.1119722584</v>
      </c>
      <c r="C9604" s="39">
        <f t="array" ref="C9604">NPV(B9604,FCFF!$C$9:$I$9)+FCFF!$B$9+FCFF!$I$9*(1+Inputs!$B$6)/(B9604-Inputs!$B$6)/(1+B9604)^7</f>
        <v>-1672.428846</v>
      </c>
    </row>
    <row r="9605" ht="14.25" customHeight="1">
      <c r="A9605" s="7">
        <v>9592.0</v>
      </c>
      <c r="B9605" s="14">
        <f t="shared" si="1"/>
        <v>0.1297197392</v>
      </c>
      <c r="C9605" s="39">
        <f t="array" ref="C9605">NPV(B9605,FCFF!$C$9:$I$9)+FCFF!$B$9+FCFF!$I$9*(1+Inputs!$B$6)/(B9605-Inputs!$B$6)/(1+B9605)^7</f>
        <v>-1968.632877</v>
      </c>
    </row>
    <row r="9606" ht="14.25" customHeight="1">
      <c r="A9606" s="7">
        <v>9593.0</v>
      </c>
      <c r="B9606" s="14">
        <f t="shared" si="1"/>
        <v>0.1210892155</v>
      </c>
      <c r="C9606" s="39">
        <f t="array" ref="C9606">NPV(B9606,FCFF!$C$9:$I$9)+FCFF!$B$9+FCFF!$I$9*(1+Inputs!$B$6)/(B9606-Inputs!$B$6)/(1+B9606)^7</f>
        <v>-1839.872544</v>
      </c>
    </row>
    <row r="9607" ht="14.25" customHeight="1">
      <c r="A9607" s="7">
        <v>9594.0</v>
      </c>
      <c r="B9607" s="14">
        <f t="shared" si="1"/>
        <v>0.1178795721</v>
      </c>
      <c r="C9607" s="39">
        <f t="array" ref="C9607">NPV(B9607,FCFF!$C$9:$I$9)+FCFF!$B$9+FCFF!$I$9*(1+Inputs!$B$6)/(B9607-Inputs!$B$6)/(1+B9607)^7</f>
        <v>-1785.084582</v>
      </c>
    </row>
    <row r="9608" ht="14.25" customHeight="1">
      <c r="A9608" s="7">
        <v>9595.0</v>
      </c>
      <c r="B9608" s="14">
        <f t="shared" si="1"/>
        <v>0.1060827096</v>
      </c>
      <c r="C9608" s="39">
        <f t="array" ref="C9608">NPV(B9608,FCFF!$C$9:$I$9)+FCFF!$B$9+FCFF!$I$9*(1+Inputs!$B$6)/(B9608-Inputs!$B$6)/(1+B9608)^7</f>
        <v>-1541.993384</v>
      </c>
    </row>
    <row r="9609" ht="14.25" customHeight="1">
      <c r="A9609" s="7">
        <v>9596.0</v>
      </c>
      <c r="B9609" s="14">
        <f t="shared" si="1"/>
        <v>0.09575728819</v>
      </c>
      <c r="C9609" s="39">
        <f t="array" ref="C9609">NPV(B9609,FCFF!$C$9:$I$9)+FCFF!$B$9+FCFF!$I$9*(1+Inputs!$B$6)/(B9609-Inputs!$B$6)/(1+B9609)^7</f>
        <v>-1255.795159</v>
      </c>
    </row>
    <row r="9610" ht="14.25" customHeight="1">
      <c r="A9610" s="7">
        <v>9597.0</v>
      </c>
      <c r="B9610" s="14">
        <f t="shared" si="1"/>
        <v>0.107765675</v>
      </c>
      <c r="C9610" s="39">
        <f t="array" ref="C9610">NPV(B9610,FCFF!$C$9:$I$9)+FCFF!$B$9+FCFF!$I$9*(1+Inputs!$B$6)/(B9610-Inputs!$B$6)/(1+B9610)^7</f>
        <v>-1581.341106</v>
      </c>
    </row>
    <row r="9611" ht="14.25" customHeight="1">
      <c r="A9611" s="7">
        <v>9598.0</v>
      </c>
      <c r="B9611" s="14">
        <f t="shared" si="1"/>
        <v>0.1015228196</v>
      </c>
      <c r="C9611" s="39">
        <f t="array" ref="C9611">NPV(B9611,FCFF!$C$9:$I$9)+FCFF!$B$9+FCFF!$I$9*(1+Inputs!$B$6)/(B9611-Inputs!$B$6)/(1+B9611)^7</f>
        <v>-1425.883706</v>
      </c>
    </row>
    <row r="9612" ht="14.25" customHeight="1">
      <c r="A9612" s="7">
        <v>9599.0</v>
      </c>
      <c r="B9612" s="14">
        <f t="shared" si="1"/>
        <v>0.09312333861</v>
      </c>
      <c r="C9612" s="39">
        <f t="array" ref="C9612">NPV(B9612,FCFF!$C$9:$I$9)+FCFF!$B$9+FCFF!$I$9*(1+Inputs!$B$6)/(B9612-Inputs!$B$6)/(1+B9612)^7</f>
        <v>-1167.776194</v>
      </c>
    </row>
    <row r="9613" ht="14.25" customHeight="1">
      <c r="A9613" s="7">
        <v>9600.0</v>
      </c>
      <c r="B9613" s="14">
        <f t="shared" si="1"/>
        <v>0.1066840556</v>
      </c>
      <c r="C9613" s="39">
        <f t="array" ref="C9613">NPV(B9613,FCFF!$C$9:$I$9)+FCFF!$B$9+FCFF!$I$9*(1+Inputs!$B$6)/(B9613-Inputs!$B$6)/(1+B9613)^7</f>
        <v>-1556.256018</v>
      </c>
    </row>
    <row r="9614" ht="14.25" customHeight="1">
      <c r="A9614" s="7">
        <v>9601.0</v>
      </c>
      <c r="B9614" s="14">
        <f t="shared" si="1"/>
        <v>0.1006428214</v>
      </c>
      <c r="C9614" s="39">
        <f t="array" ref="C9614">NPV(B9614,FCFF!$C$9:$I$9)+FCFF!$B$9+FCFF!$I$9*(1+Inputs!$B$6)/(B9614-Inputs!$B$6)/(1+B9614)^7</f>
        <v>-1401.72633</v>
      </c>
    </row>
    <row r="9615" ht="14.25" customHeight="1">
      <c r="A9615" s="7">
        <v>9602.0</v>
      </c>
      <c r="B9615" s="14">
        <f t="shared" si="1"/>
        <v>0.1175141758</v>
      </c>
      <c r="C9615" s="39">
        <f t="array" ref="C9615">NPV(B9615,FCFF!$C$9:$I$9)+FCFF!$B$9+FCFF!$I$9*(1+Inputs!$B$6)/(B9615-Inputs!$B$6)/(1+B9615)^7</f>
        <v>-1778.578133</v>
      </c>
    </row>
    <row r="9616" ht="14.25" customHeight="1">
      <c r="A9616" s="7">
        <v>9603.0</v>
      </c>
      <c r="B9616" s="14">
        <f t="shared" si="1"/>
        <v>0.09909001727</v>
      </c>
      <c r="C9616" s="39">
        <f t="array" ref="C9616">NPV(B9616,FCFF!$C$9:$I$9)+FCFF!$B$9+FCFF!$I$9*(1+Inputs!$B$6)/(B9616-Inputs!$B$6)/(1+B9616)^7</f>
        <v>-1357.586742</v>
      </c>
    </row>
    <row r="9617" ht="14.25" customHeight="1">
      <c r="A9617" s="7">
        <v>9604.0</v>
      </c>
      <c r="B9617" s="14">
        <f t="shared" si="1"/>
        <v>0.1222379454</v>
      </c>
      <c r="C9617" s="39">
        <f t="array" ref="C9617">NPV(B9617,FCFF!$C$9:$I$9)+FCFF!$B$9+FCFF!$I$9*(1+Inputs!$B$6)/(B9617-Inputs!$B$6)/(1+B9617)^7</f>
        <v>-1858.500381</v>
      </c>
    </row>
    <row r="9618" ht="14.25" customHeight="1">
      <c r="A9618" s="7">
        <v>9605.0</v>
      </c>
      <c r="B9618" s="14">
        <f t="shared" si="1"/>
        <v>0.1326544156</v>
      </c>
      <c r="C9618" s="39">
        <f t="array" ref="C9618">NPV(B9618,FCFF!$C$9:$I$9)+FCFF!$B$9+FCFF!$I$9*(1+Inputs!$B$6)/(B9618-Inputs!$B$6)/(1+B9618)^7</f>
        <v>-2007.1137</v>
      </c>
    </row>
    <row r="9619" ht="14.25" customHeight="1">
      <c r="A9619" s="7">
        <v>9606.0</v>
      </c>
      <c r="B9619" s="14">
        <f t="shared" si="1"/>
        <v>0.09752574936</v>
      </c>
      <c r="C9619" s="39">
        <f t="array" ref="C9619">NPV(B9619,FCFF!$C$9:$I$9)+FCFF!$B$9+FCFF!$I$9*(1+Inputs!$B$6)/(B9619-Inputs!$B$6)/(1+B9619)^7</f>
        <v>-1311.060198</v>
      </c>
    </row>
    <row r="9620" ht="14.25" customHeight="1">
      <c r="A9620" s="7">
        <v>9607.0</v>
      </c>
      <c r="B9620" s="14">
        <f t="shared" si="1"/>
        <v>0.1199719027</v>
      </c>
      <c r="C9620" s="39">
        <f t="array" ref="C9620">NPV(B9620,FCFF!$C$9:$I$9)+FCFF!$B$9+FCFF!$I$9*(1+Inputs!$B$6)/(B9620-Inputs!$B$6)/(1+B9620)^7</f>
        <v>-1821.269328</v>
      </c>
    </row>
    <row r="9621" ht="14.25" customHeight="1">
      <c r="A9621" s="7">
        <v>9608.0</v>
      </c>
      <c r="B9621" s="14">
        <f t="shared" si="1"/>
        <v>0.1085578043</v>
      </c>
      <c r="C9621" s="39">
        <f t="array" ref="C9621">NPV(B9621,FCFF!$C$9:$I$9)+FCFF!$B$9+FCFF!$I$9*(1+Inputs!$B$6)/(B9621-Inputs!$B$6)/(1+B9621)^7</f>
        <v>-1599.262582</v>
      </c>
    </row>
    <row r="9622" ht="14.25" customHeight="1">
      <c r="A9622" s="7">
        <v>9609.0</v>
      </c>
      <c r="B9622" s="14">
        <f t="shared" si="1"/>
        <v>0.1164223352</v>
      </c>
      <c r="C9622" s="39">
        <f t="array" ref="C9622">NPV(B9622,FCFF!$C$9:$I$9)+FCFF!$B$9+FCFF!$I$9*(1+Inputs!$B$6)/(B9622-Inputs!$B$6)/(1+B9622)^7</f>
        <v>-1758.791283</v>
      </c>
    </row>
    <row r="9623" ht="14.25" customHeight="1">
      <c r="A9623" s="7">
        <v>9610.0</v>
      </c>
      <c r="B9623" s="14">
        <f t="shared" si="1"/>
        <v>0.1251077857</v>
      </c>
      <c r="C9623" s="39">
        <f t="array" ref="C9623">NPV(B9623,FCFF!$C$9:$I$9)+FCFF!$B$9+FCFF!$I$9*(1+Inputs!$B$6)/(B9623-Inputs!$B$6)/(1+B9623)^7</f>
        <v>-1902.944796</v>
      </c>
    </row>
    <row r="9624" ht="14.25" customHeight="1">
      <c r="A9624" s="7">
        <v>9611.0</v>
      </c>
      <c r="B9624" s="14">
        <f t="shared" si="1"/>
        <v>0.1269156062</v>
      </c>
      <c r="C9624" s="39">
        <f t="array" ref="C9624">NPV(B9624,FCFF!$C$9:$I$9)+FCFF!$B$9+FCFF!$I$9*(1+Inputs!$B$6)/(B9624-Inputs!$B$6)/(1+B9624)^7</f>
        <v>-1929.496785</v>
      </c>
    </row>
    <row r="9625" ht="14.25" customHeight="1">
      <c r="A9625" s="7">
        <v>9612.0</v>
      </c>
      <c r="B9625" s="14">
        <f t="shared" si="1"/>
        <v>0.1182003571</v>
      </c>
      <c r="C9625" s="39">
        <f t="array" ref="C9625">NPV(B9625,FCFF!$C$9:$I$9)+FCFF!$B$9+FCFF!$I$9*(1+Inputs!$B$6)/(B9625-Inputs!$B$6)/(1+B9625)^7</f>
        <v>-1790.749862</v>
      </c>
    </row>
    <row r="9626" ht="14.25" customHeight="1">
      <c r="A9626" s="7">
        <v>9613.0</v>
      </c>
      <c r="B9626" s="14">
        <f t="shared" si="1"/>
        <v>0.1068848287</v>
      </c>
      <c r="C9626" s="39">
        <f t="array" ref="C9626">NPV(B9626,FCFF!$C$9:$I$9)+FCFF!$B$9+FCFF!$I$9*(1+Inputs!$B$6)/(B9626-Inputs!$B$6)/(1+B9626)^7</f>
        <v>-1560.967074</v>
      </c>
    </row>
    <row r="9627" ht="14.25" customHeight="1">
      <c r="A9627" s="7">
        <v>9614.0</v>
      </c>
      <c r="B9627" s="14">
        <f t="shared" si="1"/>
        <v>0.09749112561</v>
      </c>
      <c r="C9627" s="39">
        <f t="array" ref="C9627">NPV(B9627,FCFF!$C$9:$I$9)+FCFF!$B$9+FCFF!$I$9*(1+Inputs!$B$6)/(B9627-Inputs!$B$6)/(1+B9627)^7</f>
        <v>-1310.005944</v>
      </c>
    </row>
    <row r="9628" ht="14.25" customHeight="1">
      <c r="A9628" s="7">
        <v>9615.0</v>
      </c>
      <c r="B9628" s="14">
        <f t="shared" si="1"/>
        <v>0.1072809794</v>
      </c>
      <c r="C9628" s="39">
        <f t="array" ref="C9628">NPV(B9628,FCFF!$C$9:$I$9)+FCFF!$B$9+FCFF!$I$9*(1+Inputs!$B$6)/(B9628-Inputs!$B$6)/(1+B9628)^7</f>
        <v>-1570.189011</v>
      </c>
    </row>
    <row r="9629" ht="14.25" customHeight="1">
      <c r="A9629" s="7">
        <v>9616.0</v>
      </c>
      <c r="B9629" s="14">
        <f t="shared" si="1"/>
        <v>0.101295636</v>
      </c>
      <c r="C9629" s="39">
        <f t="array" ref="C9629">NPV(B9629,FCFF!$C$9:$I$9)+FCFF!$B$9+FCFF!$I$9*(1+Inputs!$B$6)/(B9629-Inputs!$B$6)/(1+B9629)^7</f>
        <v>-1419.704797</v>
      </c>
    </row>
    <row r="9630" ht="14.25" customHeight="1">
      <c r="A9630" s="7">
        <v>9617.0</v>
      </c>
      <c r="B9630" s="14">
        <f t="shared" si="1"/>
        <v>0.12801768</v>
      </c>
      <c r="C9630" s="39">
        <f t="array" ref="C9630">NPV(B9630,FCFF!$C$9:$I$9)+FCFF!$B$9+FCFF!$I$9*(1+Inputs!$B$6)/(B9630-Inputs!$B$6)/(1+B9630)^7</f>
        <v>-1945.16658</v>
      </c>
    </row>
    <row r="9631" ht="14.25" customHeight="1">
      <c r="A9631" s="7">
        <v>9618.0</v>
      </c>
      <c r="B9631" s="14">
        <f t="shared" si="1"/>
        <v>0.09497653065</v>
      </c>
      <c r="C9631" s="39">
        <f t="array" ref="C9631">NPV(B9631,FCFF!$C$9:$I$9)+FCFF!$B$9+FCFF!$I$9*(1+Inputs!$B$6)/(B9631-Inputs!$B$6)/(1+B9631)^7</f>
        <v>-1230.442798</v>
      </c>
    </row>
    <row r="9632" ht="14.25" customHeight="1">
      <c r="A9632" s="7">
        <v>9619.0</v>
      </c>
      <c r="B9632" s="14">
        <f t="shared" si="1"/>
        <v>0.104680539</v>
      </c>
      <c r="C9632" s="39">
        <f t="array" ref="C9632">NPV(B9632,FCFF!$C$9:$I$9)+FCFF!$B$9+FCFF!$I$9*(1+Inputs!$B$6)/(B9632-Inputs!$B$6)/(1+B9632)^7</f>
        <v>-1507.824983</v>
      </c>
    </row>
    <row r="9633" ht="14.25" customHeight="1">
      <c r="A9633" s="7">
        <v>9620.0</v>
      </c>
      <c r="B9633" s="14">
        <f t="shared" si="1"/>
        <v>0.1281302142</v>
      </c>
      <c r="C9633" s="39">
        <f t="array" ref="C9633">NPV(B9633,FCFF!$C$9:$I$9)+FCFF!$B$9+FCFF!$I$9*(1+Inputs!$B$6)/(B9633-Inputs!$B$6)/(1+B9633)^7</f>
        <v>-1946.74528</v>
      </c>
    </row>
    <row r="9634" ht="14.25" customHeight="1">
      <c r="A9634" s="7">
        <v>9621.0</v>
      </c>
      <c r="B9634" s="14">
        <f t="shared" si="1"/>
        <v>0.09465046252</v>
      </c>
      <c r="C9634" s="39">
        <f t="array" ref="C9634">NPV(B9634,FCFF!$C$9:$I$9)+FCFF!$B$9+FCFF!$I$9*(1+Inputs!$B$6)/(B9634-Inputs!$B$6)/(1+B9634)^7</f>
        <v>-1219.674799</v>
      </c>
    </row>
    <row r="9635" ht="14.25" customHeight="1">
      <c r="A9635" s="7">
        <v>9622.0</v>
      </c>
      <c r="B9635" s="14">
        <f t="shared" si="1"/>
        <v>0.09876657117</v>
      </c>
      <c r="C9635" s="39">
        <f t="array" ref="C9635">NPV(B9635,FCFF!$C$9:$I$9)+FCFF!$B$9+FCFF!$I$9*(1+Inputs!$B$6)/(B9635-Inputs!$B$6)/(1+B9635)^7</f>
        <v>-1348.140383</v>
      </c>
    </row>
    <row r="9636" ht="14.25" customHeight="1">
      <c r="A9636" s="7">
        <v>9623.0</v>
      </c>
      <c r="B9636" s="14">
        <f t="shared" si="1"/>
        <v>0.09847740514</v>
      </c>
      <c r="C9636" s="39">
        <f t="array" ref="C9636">NPV(B9636,FCFF!$C$9:$I$9)+FCFF!$B$9+FCFF!$I$9*(1+Inputs!$B$6)/(B9636-Inputs!$B$6)/(1+B9636)^7</f>
        <v>-1339.619386</v>
      </c>
    </row>
    <row r="9637" ht="14.25" customHeight="1">
      <c r="A9637" s="7">
        <v>9624.0</v>
      </c>
      <c r="B9637" s="14">
        <f t="shared" si="1"/>
        <v>0.1286428627</v>
      </c>
      <c r="C9637" s="39">
        <f t="array" ref="C9637">NPV(B9637,FCFF!$C$9:$I$9)+FCFF!$B$9+FCFF!$I$9*(1+Inputs!$B$6)/(B9637-Inputs!$B$6)/(1+B9637)^7</f>
        <v>-1953.8878</v>
      </c>
    </row>
    <row r="9638" ht="14.25" customHeight="1">
      <c r="A9638" s="7">
        <v>9625.0</v>
      </c>
      <c r="B9638" s="14">
        <f t="shared" si="1"/>
        <v>0.1058879113</v>
      </c>
      <c r="C9638" s="39">
        <f t="array" ref="C9638">NPV(B9638,FCFF!$C$9:$I$9)+FCFF!$B$9+FCFF!$I$9*(1+Inputs!$B$6)/(B9638-Inputs!$B$6)/(1+B9638)^7</f>
        <v>-1537.323602</v>
      </c>
    </row>
    <row r="9639" ht="14.25" customHeight="1">
      <c r="A9639" s="7">
        <v>9626.0</v>
      </c>
      <c r="B9639" s="14">
        <f t="shared" si="1"/>
        <v>0.1164161251</v>
      </c>
      <c r="C9639" s="39">
        <f t="array" ref="C9639">NPV(B9639,FCFF!$C$9:$I$9)+FCFF!$B$9+FCFF!$I$9*(1+Inputs!$B$6)/(B9639-Inputs!$B$6)/(1+B9639)^7</f>
        <v>-1758.677239</v>
      </c>
    </row>
    <row r="9640" ht="14.25" customHeight="1">
      <c r="A9640" s="7">
        <v>9627.0</v>
      </c>
      <c r="B9640" s="14">
        <f t="shared" si="1"/>
        <v>0.106849404</v>
      </c>
      <c r="C9640" s="39">
        <f t="array" ref="C9640">NPV(B9640,FCFF!$C$9:$I$9)+FCFF!$B$9+FCFF!$I$9*(1+Inputs!$B$6)/(B9640-Inputs!$B$6)/(1+B9640)^7</f>
        <v>-1560.13768</v>
      </c>
    </row>
    <row r="9641" ht="14.25" customHeight="1">
      <c r="A9641" s="7">
        <v>9628.0</v>
      </c>
      <c r="B9641" s="14">
        <f t="shared" si="1"/>
        <v>0.1157625559</v>
      </c>
      <c r="C9641" s="39">
        <f t="array" ref="C9641">NPV(B9641,FCFF!$C$9:$I$9)+FCFF!$B$9+FCFF!$I$9*(1+Inputs!$B$6)/(B9641-Inputs!$B$6)/(1+B9641)^7</f>
        <v>-1746.577962</v>
      </c>
    </row>
    <row r="9642" ht="14.25" customHeight="1">
      <c r="A9642" s="7">
        <v>9629.0</v>
      </c>
      <c r="B9642" s="14">
        <f t="shared" si="1"/>
        <v>0.09840422533</v>
      </c>
      <c r="C9642" s="39">
        <f t="array" ref="C9642">NPV(B9642,FCFF!$C$9:$I$9)+FCFF!$B$9+FCFF!$I$9*(1+Inputs!$B$6)/(B9642-Inputs!$B$6)/(1+B9642)^7</f>
        <v>-1337.451508</v>
      </c>
    </row>
    <row r="9643" ht="14.25" customHeight="1">
      <c r="A9643" s="7">
        <v>9630.0</v>
      </c>
      <c r="B9643" s="14">
        <f t="shared" si="1"/>
        <v>0.1286478032</v>
      </c>
      <c r="C9643" s="39">
        <f t="array" ref="C9643">NPV(B9643,FCFF!$C$9:$I$9)+FCFF!$B$9+FCFF!$I$9*(1+Inputs!$B$6)/(B9643-Inputs!$B$6)/(1+B9643)^7</f>
        <v>-1953.956244</v>
      </c>
    </row>
    <row r="9644" ht="14.25" customHeight="1">
      <c r="A9644" s="7">
        <v>9631.0</v>
      </c>
      <c r="B9644" s="14">
        <f t="shared" si="1"/>
        <v>0.1074098221</v>
      </c>
      <c r="C9644" s="39">
        <f t="array" ref="C9644">NPV(B9644,FCFF!$C$9:$I$9)+FCFF!$B$9+FCFF!$I$9*(1+Inputs!$B$6)/(B9644-Inputs!$B$6)/(1+B9644)^7</f>
        <v>-1573.167467</v>
      </c>
    </row>
    <row r="9645" ht="14.25" customHeight="1">
      <c r="A9645" s="7">
        <v>9632.0</v>
      </c>
      <c r="B9645" s="14">
        <f t="shared" si="1"/>
        <v>0.1172140828</v>
      </c>
      <c r="C9645" s="39">
        <f t="array" ref="C9645">NPV(B9645,FCFF!$C$9:$I$9)+FCFF!$B$9+FCFF!$I$9*(1+Inputs!$B$6)/(B9645-Inputs!$B$6)/(1+B9645)^7</f>
        <v>-1773.191595</v>
      </c>
    </row>
    <row r="9646" ht="14.25" customHeight="1">
      <c r="A9646" s="7">
        <v>9633.0</v>
      </c>
      <c r="B9646" s="14">
        <f t="shared" si="1"/>
        <v>0.1258859376</v>
      </c>
      <c r="C9646" s="39">
        <f t="array" ref="C9646">NPV(B9646,FCFF!$C$9:$I$9)+FCFF!$B$9+FCFF!$I$9*(1+Inputs!$B$6)/(B9646-Inputs!$B$6)/(1+B9646)^7</f>
        <v>-1914.50562</v>
      </c>
    </row>
    <row r="9647" ht="14.25" customHeight="1">
      <c r="A9647" s="7">
        <v>9634.0</v>
      </c>
      <c r="B9647" s="14">
        <f t="shared" si="1"/>
        <v>0.1220989697</v>
      </c>
      <c r="C9647" s="39">
        <f t="array" ref="C9647">NPV(B9647,FCFF!$C$9:$I$9)+FCFF!$B$9+FCFF!$I$9*(1+Inputs!$B$6)/(B9647-Inputs!$B$6)/(1+B9647)^7</f>
        <v>-1856.273019</v>
      </c>
    </row>
    <row r="9648" ht="14.25" customHeight="1">
      <c r="A9648" s="7">
        <v>9635.0</v>
      </c>
      <c r="B9648" s="14">
        <f t="shared" si="1"/>
        <v>0.1255080961</v>
      </c>
      <c r="C9648" s="39">
        <f t="array" ref="C9648">NPV(B9648,FCFF!$C$9:$I$9)+FCFF!$B$9+FCFF!$I$9*(1+Inputs!$B$6)/(B9648-Inputs!$B$6)/(1+B9648)^7</f>
        <v>-1908.917367</v>
      </c>
    </row>
    <row r="9649" ht="14.25" customHeight="1">
      <c r="A9649" s="7">
        <v>9636.0</v>
      </c>
      <c r="B9649" s="14">
        <f t="shared" si="1"/>
        <v>0.09436180473</v>
      </c>
      <c r="C9649" s="39">
        <f t="array" ref="C9649">NPV(B9649,FCFF!$C$9:$I$9)+FCFF!$B$9+FCFF!$I$9*(1+Inputs!$B$6)/(B9649-Inputs!$B$6)/(1+B9649)^7</f>
        <v>-1210.051891</v>
      </c>
    </row>
    <row r="9650" ht="14.25" customHeight="1">
      <c r="A9650" s="7">
        <v>9637.0</v>
      </c>
      <c r="B9650" s="14">
        <f t="shared" si="1"/>
        <v>0.09515679616</v>
      </c>
      <c r="C9650" s="39">
        <f t="array" ref="C9650">NPV(B9650,FCFF!$C$9:$I$9)+FCFF!$B$9+FCFF!$I$9*(1+Inputs!$B$6)/(B9650-Inputs!$B$6)/(1+B9650)^7</f>
        <v>-1236.349908</v>
      </c>
    </row>
    <row r="9651" ht="14.25" customHeight="1">
      <c r="A9651" s="7">
        <v>9638.0</v>
      </c>
      <c r="B9651" s="14">
        <f t="shared" si="1"/>
        <v>0.09963730742</v>
      </c>
      <c r="C9651" s="39">
        <f t="array" ref="C9651">NPV(B9651,FCFF!$C$9:$I$9)+FCFF!$B$9+FCFF!$I$9*(1+Inputs!$B$6)/(B9651-Inputs!$B$6)/(1+B9651)^7</f>
        <v>-1373.369834</v>
      </c>
    </row>
    <row r="9652" ht="14.25" customHeight="1">
      <c r="A9652" s="7">
        <v>9639.0</v>
      </c>
      <c r="B9652" s="14">
        <f t="shared" si="1"/>
        <v>0.1027165478</v>
      </c>
      <c r="C9652" s="39">
        <f t="array" ref="C9652">NPV(B9652,FCFF!$C$9:$I$9)+FCFF!$B$9+FCFF!$I$9*(1+Inputs!$B$6)/(B9652-Inputs!$B$6)/(1+B9652)^7</f>
        <v>-1457.709026</v>
      </c>
    </row>
    <row r="9653" ht="14.25" customHeight="1">
      <c r="A9653" s="7">
        <v>9640.0</v>
      </c>
      <c r="B9653" s="14">
        <f t="shared" si="1"/>
        <v>0.09685744414</v>
      </c>
      <c r="C9653" s="39">
        <f t="array" ref="C9653">NPV(B9653,FCFF!$C$9:$I$9)+FCFF!$B$9+FCFF!$I$9*(1+Inputs!$B$6)/(B9653-Inputs!$B$6)/(1+B9653)^7</f>
        <v>-1290.518318</v>
      </c>
    </row>
    <row r="9654" ht="14.25" customHeight="1">
      <c r="A9654" s="7">
        <v>9641.0</v>
      </c>
      <c r="B9654" s="14">
        <f t="shared" si="1"/>
        <v>0.120025927</v>
      </c>
      <c r="C9654" s="39">
        <f t="array" ref="C9654">NPV(B9654,FCFF!$C$9:$I$9)+FCFF!$B$9+FCFF!$I$9*(1+Inputs!$B$6)/(B9654-Inputs!$B$6)/(1+B9654)^7</f>
        <v>-1822.180092</v>
      </c>
    </row>
    <row r="9655" ht="14.25" customHeight="1">
      <c r="A9655" s="7">
        <v>9642.0</v>
      </c>
      <c r="B9655" s="14">
        <f t="shared" si="1"/>
        <v>0.1232022127</v>
      </c>
      <c r="C9655" s="39">
        <f t="array" ref="C9655">NPV(B9655,FCFF!$C$9:$I$9)+FCFF!$B$9+FCFF!$I$9*(1+Inputs!$B$6)/(B9655-Inputs!$B$6)/(1+B9655)^7</f>
        <v>-1873.759874</v>
      </c>
    </row>
    <row r="9656" ht="14.25" customHeight="1">
      <c r="A9656" s="7">
        <v>9643.0</v>
      </c>
      <c r="B9656" s="14">
        <f t="shared" si="1"/>
        <v>0.1266420813</v>
      </c>
      <c r="C9656" s="39">
        <f t="array" ref="C9656">NPV(B9656,FCFF!$C$9:$I$9)+FCFF!$B$9+FCFF!$I$9*(1+Inputs!$B$6)/(B9656-Inputs!$B$6)/(1+B9656)^7</f>
        <v>-1925.547994</v>
      </c>
    </row>
    <row r="9657" ht="14.25" customHeight="1">
      <c r="A9657" s="7">
        <v>9644.0</v>
      </c>
      <c r="B9657" s="14">
        <f t="shared" si="1"/>
        <v>0.1083030735</v>
      </c>
      <c r="C9657" s="39">
        <f t="array" ref="C9657">NPV(B9657,FCFF!$C$9:$I$9)+FCFF!$B$9+FCFF!$I$9*(1+Inputs!$B$6)/(B9657-Inputs!$B$6)/(1+B9657)^7</f>
        <v>-1593.540103</v>
      </c>
    </row>
    <row r="9658" ht="14.25" customHeight="1">
      <c r="A9658" s="7">
        <v>9645.0</v>
      </c>
      <c r="B9658" s="14">
        <f t="shared" si="1"/>
        <v>0.1106583343</v>
      </c>
      <c r="C9658" s="39">
        <f t="array" ref="C9658">NPV(B9658,FCFF!$C$9:$I$9)+FCFF!$B$9+FCFF!$I$9*(1+Inputs!$B$6)/(B9658-Inputs!$B$6)/(1+B9658)^7</f>
        <v>-1645.031415</v>
      </c>
    </row>
    <row r="9659" ht="14.25" customHeight="1">
      <c r="A9659" s="7">
        <v>9646.0</v>
      </c>
      <c r="B9659" s="14">
        <f t="shared" si="1"/>
        <v>0.1036995976</v>
      </c>
      <c r="C9659" s="39">
        <f t="array" ref="C9659">NPV(B9659,FCFF!$C$9:$I$9)+FCFF!$B$9+FCFF!$I$9*(1+Inputs!$B$6)/(B9659-Inputs!$B$6)/(1+B9659)^7</f>
        <v>-1483.133204</v>
      </c>
    </row>
    <row r="9660" ht="14.25" customHeight="1">
      <c r="A9660" s="7">
        <v>9647.0</v>
      </c>
      <c r="B9660" s="14">
        <f t="shared" si="1"/>
        <v>0.1180845571</v>
      </c>
      <c r="C9660" s="39">
        <f t="array" ref="C9660">NPV(B9660,FCFF!$C$9:$I$9)+FCFF!$B$9+FCFF!$I$9*(1+Inputs!$B$6)/(B9660-Inputs!$B$6)/(1+B9660)^7</f>
        <v>-1788.709771</v>
      </c>
    </row>
    <row r="9661" ht="14.25" customHeight="1">
      <c r="A9661" s="7">
        <v>9648.0</v>
      </c>
      <c r="B9661" s="14">
        <f t="shared" si="1"/>
        <v>0.1208358063</v>
      </c>
      <c r="C9661" s="39">
        <f t="array" ref="C9661">NPV(B9661,FCFF!$C$9:$I$9)+FCFF!$B$9+FCFF!$I$9*(1+Inputs!$B$6)/(B9661-Inputs!$B$6)/(1+B9661)^7</f>
        <v>-1835.695838</v>
      </c>
    </row>
    <row r="9662" ht="14.25" customHeight="1">
      <c r="A9662" s="7">
        <v>9649.0</v>
      </c>
      <c r="B9662" s="14">
        <f t="shared" si="1"/>
        <v>0.1192746367</v>
      </c>
      <c r="C9662" s="39">
        <f t="array" ref="C9662">NPV(B9662,FCFF!$C$9:$I$9)+FCFF!$B$9+FCFF!$I$9*(1+Inputs!$B$6)/(B9662-Inputs!$B$6)/(1+B9662)^7</f>
        <v>-1809.409825</v>
      </c>
    </row>
    <row r="9663" ht="14.25" customHeight="1">
      <c r="A9663" s="7">
        <v>9650.0</v>
      </c>
      <c r="B9663" s="14">
        <f t="shared" si="1"/>
        <v>0.1282980145</v>
      </c>
      <c r="C9663" s="39">
        <f t="array" ref="C9663">NPV(B9663,FCFF!$C$9:$I$9)+FCFF!$B$9+FCFF!$I$9*(1+Inputs!$B$6)/(B9663-Inputs!$B$6)/(1+B9663)^7</f>
        <v>-1949.092038</v>
      </c>
    </row>
    <row r="9664" ht="14.25" customHeight="1">
      <c r="A9664" s="7">
        <v>9651.0</v>
      </c>
      <c r="B9664" s="14">
        <f t="shared" si="1"/>
        <v>0.1326964056</v>
      </c>
      <c r="C9664" s="39">
        <f t="array" ref="C9664">NPV(B9664,FCFF!$C$9:$I$9)+FCFF!$B$9+FCFF!$I$9*(1+Inputs!$B$6)/(B9664-Inputs!$B$6)/(1+B9664)^7</f>
        <v>-2007.646918</v>
      </c>
    </row>
    <row r="9665" ht="14.25" customHeight="1">
      <c r="A9665" s="7">
        <v>9652.0</v>
      </c>
      <c r="B9665" s="14">
        <f t="shared" si="1"/>
        <v>0.09548599222</v>
      </c>
      <c r="C9665" s="39">
        <f t="array" ref="C9665">NPV(B9665,FCFF!$C$9:$I$9)+FCFF!$B$9+FCFF!$I$9*(1+Inputs!$B$6)/(B9665-Inputs!$B$6)/(1+B9665)^7</f>
        <v>-1247.053916</v>
      </c>
    </row>
    <row r="9666" ht="14.25" customHeight="1">
      <c r="A9666" s="7">
        <v>9653.0</v>
      </c>
      <c r="B9666" s="14">
        <f t="shared" si="1"/>
        <v>0.1122447349</v>
      </c>
      <c r="C9666" s="39">
        <f t="array" ref="C9666">NPV(B9666,FCFF!$C$9:$I$9)+FCFF!$B$9+FCFF!$I$9*(1+Inputs!$B$6)/(B9666-Inputs!$B$6)/(1+B9666)^7</f>
        <v>-1677.996812</v>
      </c>
    </row>
    <row r="9667" ht="14.25" customHeight="1">
      <c r="A9667" s="7">
        <v>9654.0</v>
      </c>
      <c r="B9667" s="14">
        <f t="shared" si="1"/>
        <v>0.1275442998</v>
      </c>
      <c r="C9667" s="39">
        <f t="array" ref="C9667">NPV(B9667,FCFF!$C$9:$I$9)+FCFF!$B$9+FCFF!$I$9*(1+Inputs!$B$6)/(B9667-Inputs!$B$6)/(1+B9667)^7</f>
        <v>-1938.482627</v>
      </c>
    </row>
    <row r="9668" ht="14.25" customHeight="1">
      <c r="A9668" s="7">
        <v>9655.0</v>
      </c>
      <c r="B9668" s="14">
        <f t="shared" si="1"/>
        <v>0.1216808184</v>
      </c>
      <c r="C9668" s="39">
        <f t="array" ref="C9668">NPV(B9668,FCFF!$C$9:$I$9)+FCFF!$B$9+FCFF!$I$9*(1+Inputs!$B$6)/(B9668-Inputs!$B$6)/(1+B9668)^7</f>
        <v>-1849.527973</v>
      </c>
    </row>
    <row r="9669" ht="14.25" customHeight="1">
      <c r="A9669" s="7">
        <v>9656.0</v>
      </c>
      <c r="B9669" s="14">
        <f t="shared" si="1"/>
        <v>0.100356041</v>
      </c>
      <c r="C9669" s="39">
        <f t="array" ref="C9669">NPV(B9669,FCFF!$C$9:$I$9)+FCFF!$B$9+FCFF!$I$9*(1+Inputs!$B$6)/(B9669-Inputs!$B$6)/(1+B9669)^7</f>
        <v>-1393.722039</v>
      </c>
    </row>
    <row r="9670" ht="14.25" customHeight="1">
      <c r="A9670" s="7">
        <v>9657.0</v>
      </c>
      <c r="B9670" s="14">
        <f t="shared" si="1"/>
        <v>0.1141479125</v>
      </c>
      <c r="C9670" s="39">
        <f t="array" ref="C9670">NPV(B9670,FCFF!$C$9:$I$9)+FCFF!$B$9+FCFF!$I$9*(1+Inputs!$B$6)/(B9670-Inputs!$B$6)/(1+B9670)^7</f>
        <v>-1715.842595</v>
      </c>
    </row>
    <row r="9671" ht="14.25" customHeight="1">
      <c r="A9671" s="7">
        <v>9658.0</v>
      </c>
      <c r="B9671" s="14">
        <f t="shared" si="1"/>
        <v>0.1130372731</v>
      </c>
      <c r="C9671" s="39">
        <f t="array" ref="C9671">NPV(B9671,FCFF!$C$9:$I$9)+FCFF!$B$9+FCFF!$I$9*(1+Inputs!$B$6)/(B9671-Inputs!$B$6)/(1+B9671)^7</f>
        <v>-1693.976313</v>
      </c>
    </row>
    <row r="9672" ht="14.25" customHeight="1">
      <c r="A9672" s="7">
        <v>9659.0</v>
      </c>
      <c r="B9672" s="14">
        <f t="shared" si="1"/>
        <v>0.1096986842</v>
      </c>
      <c r="C9672" s="39">
        <f t="array" ref="C9672">NPV(B9672,FCFF!$C$9:$I$9)+FCFF!$B$9+FCFF!$I$9*(1+Inputs!$B$6)/(B9672-Inputs!$B$6)/(1+B9672)^7</f>
        <v>-1624.430243</v>
      </c>
    </row>
    <row r="9673" ht="14.25" customHeight="1">
      <c r="A9673" s="7">
        <v>9660.0</v>
      </c>
      <c r="B9673" s="14">
        <f t="shared" si="1"/>
        <v>0.1101123005</v>
      </c>
      <c r="C9673" s="39">
        <f t="array" ref="C9673">NPV(B9673,FCFF!$C$9:$I$9)+FCFF!$B$9+FCFF!$I$9*(1+Inputs!$B$6)/(B9673-Inputs!$B$6)/(1+B9673)^7</f>
        <v>-1633.372026</v>
      </c>
    </row>
    <row r="9674" ht="14.25" customHeight="1">
      <c r="A9674" s="7">
        <v>9661.0</v>
      </c>
      <c r="B9674" s="14">
        <f t="shared" si="1"/>
        <v>0.1111296978</v>
      </c>
      <c r="C9674" s="39">
        <f t="array" ref="C9674">NPV(B9674,FCFF!$C$9:$I$9)+FCFF!$B$9+FCFF!$I$9*(1+Inputs!$B$6)/(B9674-Inputs!$B$6)/(1+B9674)^7</f>
        <v>-1654.965852</v>
      </c>
    </row>
    <row r="9675" ht="14.25" customHeight="1">
      <c r="A9675" s="7">
        <v>9662.0</v>
      </c>
      <c r="B9675" s="14">
        <f t="shared" si="1"/>
        <v>0.1009683255</v>
      </c>
      <c r="C9675" s="39">
        <f t="array" ref="C9675">NPV(B9675,FCFF!$C$9:$I$9)+FCFF!$B$9+FCFF!$I$9*(1+Inputs!$B$6)/(B9675-Inputs!$B$6)/(1+B9675)^7</f>
        <v>-1410.732408</v>
      </c>
    </row>
    <row r="9676" ht="14.25" customHeight="1">
      <c r="A9676" s="7">
        <v>9663.0</v>
      </c>
      <c r="B9676" s="14">
        <f t="shared" si="1"/>
        <v>0.1280372575</v>
      </c>
      <c r="C9676" s="39">
        <f t="array" ref="C9676">NPV(B9676,FCFF!$C$9:$I$9)+FCFF!$B$9+FCFF!$I$9*(1+Inputs!$B$6)/(B9676-Inputs!$B$6)/(1+B9676)^7</f>
        <v>-1945.441507</v>
      </c>
    </row>
    <row r="9677" ht="14.25" customHeight="1">
      <c r="A9677" s="7">
        <v>9664.0</v>
      </c>
      <c r="B9677" s="14">
        <f t="shared" si="1"/>
        <v>0.09797773551</v>
      </c>
      <c r="C9677" s="39">
        <f t="array" ref="C9677">NPV(B9677,FCFF!$C$9:$I$9)+FCFF!$B$9+FCFF!$I$9*(1+Inputs!$B$6)/(B9677-Inputs!$B$6)/(1+B9677)^7</f>
        <v>-1324.724122</v>
      </c>
    </row>
    <row r="9678" ht="14.25" customHeight="1">
      <c r="A9678" s="7">
        <v>9665.0</v>
      </c>
      <c r="B9678" s="14">
        <f t="shared" si="1"/>
        <v>0.1088936243</v>
      </c>
      <c r="C9678" s="39">
        <f t="array" ref="C9678">NPV(B9678,FCFF!$C$9:$I$9)+FCFF!$B$9+FCFF!$I$9*(1+Inputs!$B$6)/(B9678-Inputs!$B$6)/(1+B9678)^7</f>
        <v>-1606.748611</v>
      </c>
    </row>
    <row r="9679" ht="14.25" customHeight="1">
      <c r="A9679" s="7">
        <v>9666.0</v>
      </c>
      <c r="B9679" s="14">
        <f t="shared" si="1"/>
        <v>0.09765805098</v>
      </c>
      <c r="C9679" s="39">
        <f t="array" ref="C9679">NPV(B9679,FCFF!$C$9:$I$9)+FCFF!$B$9+FCFF!$I$9*(1+Inputs!$B$6)/(B9679-Inputs!$B$6)/(1+B9679)^7</f>
        <v>-1315.078695</v>
      </c>
    </row>
    <row r="9680" ht="14.25" customHeight="1">
      <c r="A9680" s="7">
        <v>9667.0</v>
      </c>
      <c r="B9680" s="14">
        <f t="shared" si="1"/>
        <v>0.1272263359</v>
      </c>
      <c r="C9680" s="39">
        <f t="array" ref="C9680">NPV(B9680,FCFF!$C$9:$I$9)+FCFF!$B$9+FCFF!$I$9*(1+Inputs!$B$6)/(B9680-Inputs!$B$6)/(1+B9680)^7</f>
        <v>-1933.953662</v>
      </c>
    </row>
    <row r="9681" ht="14.25" customHeight="1">
      <c r="A9681" s="7">
        <v>9668.0</v>
      </c>
      <c r="B9681" s="14">
        <f t="shared" si="1"/>
        <v>0.1153584666</v>
      </c>
      <c r="C9681" s="39">
        <f t="array" ref="C9681">NPV(B9681,FCFF!$C$9:$I$9)+FCFF!$B$9+FCFF!$I$9*(1+Inputs!$B$6)/(B9681-Inputs!$B$6)/(1+B9681)^7</f>
        <v>-1739.00005</v>
      </c>
    </row>
    <row r="9682" ht="14.25" customHeight="1">
      <c r="A9682" s="7">
        <v>9669.0</v>
      </c>
      <c r="B9682" s="14">
        <f t="shared" si="1"/>
        <v>0.114923831</v>
      </c>
      <c r="C9682" s="39">
        <f t="array" ref="C9682">NPV(B9682,FCFF!$C$9:$I$9)+FCFF!$B$9+FCFF!$I$9*(1+Inputs!$B$6)/(B9682-Inputs!$B$6)/(1+B9682)^7</f>
        <v>-1730.765027</v>
      </c>
    </row>
    <row r="9683" ht="14.25" customHeight="1">
      <c r="A9683" s="7">
        <v>9670.0</v>
      </c>
      <c r="B9683" s="14">
        <f t="shared" si="1"/>
        <v>0.120288375</v>
      </c>
      <c r="C9683" s="39">
        <f t="array" ref="C9683">NPV(B9683,FCFF!$C$9:$I$9)+FCFF!$B$9+FCFF!$I$9*(1+Inputs!$B$6)/(B9683-Inputs!$B$6)/(1+B9683)^7</f>
        <v>-1826.588125</v>
      </c>
    </row>
    <row r="9684" ht="14.25" customHeight="1">
      <c r="A9684" s="7">
        <v>9671.0</v>
      </c>
      <c r="B9684" s="14">
        <f t="shared" si="1"/>
        <v>0.1256705719</v>
      </c>
      <c r="C9684" s="39">
        <f t="array" ref="C9684">NPV(B9684,FCFF!$C$9:$I$9)+FCFF!$B$9+FCFF!$I$9*(1+Inputs!$B$6)/(B9684-Inputs!$B$6)/(1+B9684)^7</f>
        <v>-1911.326184</v>
      </c>
    </row>
    <row r="9685" ht="14.25" customHeight="1">
      <c r="A9685" s="7">
        <v>9672.0</v>
      </c>
      <c r="B9685" s="14">
        <f t="shared" si="1"/>
        <v>0.1144325344</v>
      </c>
      <c r="C9685" s="39">
        <f t="array" ref="C9685">NPV(B9685,FCFF!$C$9:$I$9)+FCFF!$B$9+FCFF!$I$9*(1+Inputs!$B$6)/(B9685-Inputs!$B$6)/(1+B9685)^7</f>
        <v>-1721.349699</v>
      </c>
    </row>
    <row r="9686" ht="14.25" customHeight="1">
      <c r="A9686" s="7">
        <v>9673.0</v>
      </c>
      <c r="B9686" s="14">
        <f t="shared" si="1"/>
        <v>0.1150422668</v>
      </c>
      <c r="C9686" s="39">
        <f t="array" ref="C9686">NPV(B9686,FCFF!$C$9:$I$9)+FCFF!$B$9+FCFF!$I$9*(1+Inputs!$B$6)/(B9686-Inputs!$B$6)/(1+B9686)^7</f>
        <v>-1733.017752</v>
      </c>
    </row>
    <row r="9687" ht="14.25" customHeight="1">
      <c r="A9687" s="7">
        <v>9674.0</v>
      </c>
      <c r="B9687" s="14">
        <f t="shared" si="1"/>
        <v>0.1193499683</v>
      </c>
      <c r="C9687" s="39">
        <f t="array" ref="C9687">NPV(B9687,FCFF!$C$9:$I$9)+FCFF!$B$9+FCFF!$I$9*(1+Inputs!$B$6)/(B9687-Inputs!$B$6)/(1+B9687)^7</f>
        <v>-1810.70054</v>
      </c>
    </row>
    <row r="9688" ht="14.25" customHeight="1">
      <c r="A9688" s="7">
        <v>9675.0</v>
      </c>
      <c r="B9688" s="14">
        <f t="shared" si="1"/>
        <v>0.1094993033</v>
      </c>
      <c r="C9688" s="39">
        <f t="array" ref="C9688">NPV(B9688,FCFF!$C$9:$I$9)+FCFF!$B$9+FCFF!$I$9*(1+Inputs!$B$6)/(B9688-Inputs!$B$6)/(1+B9688)^7</f>
        <v>-1620.085612</v>
      </c>
    </row>
    <row r="9689" ht="14.25" customHeight="1">
      <c r="A9689" s="7">
        <v>9676.0</v>
      </c>
      <c r="B9689" s="14">
        <f t="shared" si="1"/>
        <v>0.1254745701</v>
      </c>
      <c r="C9689" s="39">
        <f t="array" ref="C9689">NPV(B9689,FCFF!$C$9:$I$9)+FCFF!$B$9+FCFF!$I$9*(1+Inputs!$B$6)/(B9689-Inputs!$B$6)/(1+B9689)^7</f>
        <v>-1908.419226</v>
      </c>
    </row>
    <row r="9690" ht="14.25" customHeight="1">
      <c r="A9690" s="7">
        <v>9677.0</v>
      </c>
      <c r="B9690" s="14">
        <f t="shared" si="1"/>
        <v>0.1011620687</v>
      </c>
      <c r="C9690" s="39">
        <f t="array" ref="C9690">NPV(B9690,FCFF!$C$9:$I$9)+FCFF!$B$9+FCFF!$I$9*(1+Inputs!$B$6)/(B9690-Inputs!$B$6)/(1+B9690)^7</f>
        <v>-1416.053451</v>
      </c>
    </row>
    <row r="9691" ht="14.25" customHeight="1">
      <c r="A9691" s="7">
        <v>9678.0</v>
      </c>
      <c r="B9691" s="14">
        <f t="shared" si="1"/>
        <v>0.09889502085</v>
      </c>
      <c r="C9691" s="39">
        <f t="array" ref="C9691">NPV(B9691,FCFF!$C$9:$I$9)+FCFF!$B$9+FCFF!$I$9*(1+Inputs!$B$6)/(B9691-Inputs!$B$6)/(1+B9691)^7</f>
        <v>-1351.902458</v>
      </c>
    </row>
    <row r="9692" ht="14.25" customHeight="1">
      <c r="A9692" s="7">
        <v>9679.0</v>
      </c>
      <c r="B9692" s="14">
        <f t="shared" si="1"/>
        <v>0.1237181672</v>
      </c>
      <c r="C9692" s="39">
        <f t="array" ref="C9692">NPV(B9692,FCFF!$C$9:$I$9)+FCFF!$B$9+FCFF!$I$9*(1+Inputs!$B$6)/(B9692-Inputs!$B$6)/(1+B9692)^7</f>
        <v>-1881.787326</v>
      </c>
    </row>
    <row r="9693" ht="14.25" customHeight="1">
      <c r="A9693" s="7">
        <v>9680.0</v>
      </c>
      <c r="B9693" s="14">
        <f t="shared" si="1"/>
        <v>0.09338537523</v>
      </c>
      <c r="C9693" s="39">
        <f t="array" ref="C9693">NPV(B9693,FCFF!$C$9:$I$9)+FCFF!$B$9+FCFF!$I$9*(1+Inputs!$B$6)/(B9693-Inputs!$B$6)/(1+B9693)^7</f>
        <v>-1176.857283</v>
      </c>
    </row>
    <row r="9694" ht="14.25" customHeight="1">
      <c r="A9694" s="7">
        <v>9681.0</v>
      </c>
      <c r="B9694" s="14">
        <f t="shared" si="1"/>
        <v>0.1201064961</v>
      </c>
      <c r="C9694" s="39">
        <f t="array" ref="C9694">NPV(B9694,FCFF!$C$9:$I$9)+FCFF!$B$9+FCFF!$I$9*(1+Inputs!$B$6)/(B9694-Inputs!$B$6)/(1+B9694)^7</f>
        <v>-1823.53621</v>
      </c>
    </row>
    <row r="9695" ht="14.25" customHeight="1">
      <c r="A9695" s="7">
        <v>9682.0</v>
      </c>
      <c r="B9695" s="14">
        <f t="shared" si="1"/>
        <v>0.09650579117</v>
      </c>
      <c r="C9695" s="39">
        <f t="array" ref="C9695">NPV(B9695,FCFF!$C$9:$I$9)+FCFF!$B$9+FCFF!$I$9*(1+Inputs!$B$6)/(B9695-Inputs!$B$6)/(1+B9695)^7</f>
        <v>-1279.543957</v>
      </c>
    </row>
    <row r="9696" ht="14.25" customHeight="1">
      <c r="A9696" s="7">
        <v>9683.0</v>
      </c>
      <c r="B9696" s="14">
        <f t="shared" si="1"/>
        <v>0.1058795086</v>
      </c>
      <c r="C9696" s="39">
        <f t="array" ref="C9696">NPV(B9696,FCFF!$C$9:$I$9)+FCFF!$B$9+FCFF!$I$9*(1+Inputs!$B$6)/(B9696-Inputs!$B$6)/(1+B9696)^7</f>
        <v>-1537.121619</v>
      </c>
    </row>
    <row r="9697" ht="14.25" customHeight="1">
      <c r="A9697" s="7">
        <v>9684.0</v>
      </c>
      <c r="B9697" s="14">
        <f t="shared" si="1"/>
        <v>0.1268407047</v>
      </c>
      <c r="C9697" s="39">
        <f t="array" ref="C9697">NPV(B9697,FCFF!$C$9:$I$9)+FCFF!$B$9+FCFF!$I$9*(1+Inputs!$B$6)/(B9697-Inputs!$B$6)/(1+B9697)^7</f>
        <v>-1928.417844</v>
      </c>
    </row>
    <row r="9698" ht="14.25" customHeight="1">
      <c r="A9698" s="7">
        <v>9685.0</v>
      </c>
      <c r="B9698" s="14">
        <f t="shared" si="1"/>
        <v>0.1126206307</v>
      </c>
      <c r="C9698" s="39">
        <f t="array" ref="C9698">NPV(B9698,FCFF!$C$9:$I$9)+FCFF!$B$9+FCFF!$I$9*(1+Inputs!$B$6)/(B9698-Inputs!$B$6)/(1+B9698)^7</f>
        <v>-1685.61552</v>
      </c>
    </row>
    <row r="9699" ht="14.25" customHeight="1">
      <c r="A9699" s="7">
        <v>9686.0</v>
      </c>
      <c r="B9699" s="14">
        <f t="shared" si="1"/>
        <v>0.1069596248</v>
      </c>
      <c r="C9699" s="39">
        <f t="array" ref="C9699">NPV(B9699,FCFF!$C$9:$I$9)+FCFF!$B$9+FCFF!$I$9*(1+Inputs!$B$6)/(B9699-Inputs!$B$6)/(1+B9699)^7</f>
        <v>-1562.715694</v>
      </c>
    </row>
    <row r="9700" ht="14.25" customHeight="1">
      <c r="A9700" s="7">
        <v>9687.0</v>
      </c>
      <c r="B9700" s="14">
        <f t="shared" si="1"/>
        <v>0.1108714517</v>
      </c>
      <c r="C9700" s="39">
        <f t="array" ref="C9700">NPV(B9700,FCFF!$C$9:$I$9)+FCFF!$B$9+FCFF!$I$9*(1+Inputs!$B$6)/(B9700-Inputs!$B$6)/(1+B9700)^7</f>
        <v>-1649.537914</v>
      </c>
    </row>
    <row r="9701" ht="14.25" customHeight="1">
      <c r="A9701" s="7">
        <v>9688.0</v>
      </c>
      <c r="B9701" s="14">
        <f t="shared" si="1"/>
        <v>0.1186688778</v>
      </c>
      <c r="C9701" s="39">
        <f t="array" ref="C9701">NPV(B9701,FCFF!$C$9:$I$9)+FCFF!$B$9+FCFF!$I$9*(1+Inputs!$B$6)/(B9701-Inputs!$B$6)/(1+B9701)^7</f>
        <v>-1798.946628</v>
      </c>
    </row>
    <row r="9702" ht="14.25" customHeight="1">
      <c r="A9702" s="7">
        <v>9689.0</v>
      </c>
      <c r="B9702" s="14">
        <f t="shared" si="1"/>
        <v>0.1172108317</v>
      </c>
      <c r="C9702" s="39">
        <f t="array" ref="C9702">NPV(B9702,FCFF!$C$9:$I$9)+FCFF!$B$9+FCFF!$I$9*(1+Inputs!$B$6)/(B9702-Inputs!$B$6)/(1+B9702)^7</f>
        <v>-1773.133026</v>
      </c>
    </row>
    <row r="9703" ht="14.25" customHeight="1">
      <c r="A9703" s="7">
        <v>9690.0</v>
      </c>
      <c r="B9703" s="14">
        <f t="shared" si="1"/>
        <v>0.1118914882</v>
      </c>
      <c r="C9703" s="39">
        <f t="array" ref="C9703">NPV(B9703,FCFF!$C$9:$I$9)+FCFF!$B$9+FCFF!$I$9*(1+Inputs!$B$6)/(B9703-Inputs!$B$6)/(1+B9703)^7</f>
        <v>-1670.770941</v>
      </c>
    </row>
    <row r="9704" ht="14.25" customHeight="1">
      <c r="A9704" s="7">
        <v>9691.0</v>
      </c>
      <c r="B9704" s="14">
        <f t="shared" si="1"/>
        <v>0.09905830188</v>
      </c>
      <c r="C9704" s="39">
        <f t="array" ref="C9704">NPV(B9704,FCFF!$C$9:$I$9)+FCFF!$B$9+FCFF!$I$9*(1+Inputs!$B$6)/(B9704-Inputs!$B$6)/(1+B9704)^7</f>
        <v>-1356.66441</v>
      </c>
    </row>
    <row r="9705" ht="14.25" customHeight="1">
      <c r="A9705" s="7">
        <v>9692.0</v>
      </c>
      <c r="B9705" s="14">
        <f t="shared" si="1"/>
        <v>0.09751215492</v>
      </c>
      <c r="C9705" s="39">
        <f t="array" ref="C9705">NPV(B9705,FCFF!$C$9:$I$9)+FCFF!$B$9+FCFF!$I$9*(1+Inputs!$B$6)/(B9705-Inputs!$B$6)/(1+B9705)^7</f>
        <v>-1310.646392</v>
      </c>
    </row>
    <row r="9706" ht="14.25" customHeight="1">
      <c r="A9706" s="7">
        <v>9693.0</v>
      </c>
      <c r="B9706" s="14">
        <f t="shared" si="1"/>
        <v>0.1052047901</v>
      </c>
      <c r="C9706" s="39">
        <f t="array" ref="C9706">NPV(B9706,FCFF!$C$9:$I$9)+FCFF!$B$9+FCFF!$I$9*(1+Inputs!$B$6)/(B9706-Inputs!$B$6)/(1+B9706)^7</f>
        <v>-1520.752241</v>
      </c>
    </row>
    <row r="9707" ht="14.25" customHeight="1">
      <c r="A9707" s="7">
        <v>9694.0</v>
      </c>
      <c r="B9707" s="14">
        <f t="shared" si="1"/>
        <v>0.1123253372</v>
      </c>
      <c r="C9707" s="39">
        <f t="array" ref="C9707">NPV(B9707,FCFF!$C$9:$I$9)+FCFF!$B$9+FCFF!$I$9*(1+Inputs!$B$6)/(B9707-Inputs!$B$6)/(1+B9707)^7</f>
        <v>-1679.636558</v>
      </c>
    </row>
    <row r="9708" ht="14.25" customHeight="1">
      <c r="A9708" s="7">
        <v>9695.0</v>
      </c>
      <c r="B9708" s="14">
        <f t="shared" si="1"/>
        <v>0.129887745</v>
      </c>
      <c r="C9708" s="39">
        <f t="array" ref="C9708">NPV(B9708,FCFF!$C$9:$I$9)+FCFF!$B$9+FCFF!$I$9*(1+Inputs!$B$6)/(B9708-Inputs!$B$6)/(1+B9708)^7</f>
        <v>-1970.902233</v>
      </c>
    </row>
    <row r="9709" ht="14.25" customHeight="1">
      <c r="A9709" s="7">
        <v>9696.0</v>
      </c>
      <c r="B9709" s="14">
        <f t="shared" si="1"/>
        <v>0.108522113</v>
      </c>
      <c r="C9709" s="39">
        <f t="array" ref="C9709">NPV(B9709,FCFF!$C$9:$I$9)+FCFF!$B$9+FCFF!$I$9*(1+Inputs!$B$6)/(B9709-Inputs!$B$6)/(1+B9709)^7</f>
        <v>-1598.463085</v>
      </c>
    </row>
    <row r="9710" ht="14.25" customHeight="1">
      <c r="A9710" s="7">
        <v>9697.0</v>
      </c>
      <c r="B9710" s="14">
        <f t="shared" si="1"/>
        <v>0.131432795</v>
      </c>
      <c r="C9710" s="39">
        <f t="array" ref="C9710">NPV(B9710,FCFF!$C$9:$I$9)+FCFF!$B$9+FCFF!$I$9*(1+Inputs!$B$6)/(B9710-Inputs!$B$6)/(1+B9710)^7</f>
        <v>-1991.389694</v>
      </c>
    </row>
    <row r="9711" ht="14.25" customHeight="1">
      <c r="A9711" s="7">
        <v>9698.0</v>
      </c>
      <c r="B9711" s="14">
        <f t="shared" si="1"/>
        <v>0.1317659862</v>
      </c>
      <c r="C9711" s="39">
        <f t="array" ref="C9711">NPV(B9711,FCFF!$C$9:$I$9)+FCFF!$B$9+FCFF!$I$9*(1+Inputs!$B$6)/(B9711-Inputs!$B$6)/(1+B9711)^7</f>
        <v>-1995.719173</v>
      </c>
    </row>
    <row r="9712" ht="14.25" customHeight="1">
      <c r="A9712" s="7">
        <v>9699.0</v>
      </c>
      <c r="B9712" s="14">
        <f t="shared" si="1"/>
        <v>0.09921314749</v>
      </c>
      <c r="C9712" s="39">
        <f t="array" ref="C9712">NPV(B9712,FCFF!$C$9:$I$9)+FCFF!$B$9+FCFF!$I$9*(1+Inputs!$B$6)/(B9712-Inputs!$B$6)/(1+B9712)^7</f>
        <v>-1361.159511</v>
      </c>
    </row>
    <row r="9713" ht="14.25" customHeight="1">
      <c r="A9713" s="7">
        <v>9700.0</v>
      </c>
      <c r="B9713" s="14">
        <f t="shared" si="1"/>
        <v>0.09478458534</v>
      </c>
      <c r="C9713" s="39">
        <f t="array" ref="C9713">NPV(B9713,FCFF!$C$9:$I$9)+FCFF!$B$9+FCFF!$I$9*(1+Inputs!$B$6)/(B9713-Inputs!$B$6)/(1+B9713)^7</f>
        <v>-1224.117066</v>
      </c>
    </row>
    <row r="9714" ht="14.25" customHeight="1">
      <c r="A9714" s="7">
        <v>9701.0</v>
      </c>
      <c r="B9714" s="14">
        <f t="shared" si="1"/>
        <v>0.1091886844</v>
      </c>
      <c r="C9714" s="39">
        <f t="array" ref="C9714">NPV(B9714,FCFF!$C$9:$I$9)+FCFF!$B$9+FCFF!$I$9*(1+Inputs!$B$6)/(B9714-Inputs!$B$6)/(1+B9714)^7</f>
        <v>-1613.272076</v>
      </c>
    </row>
    <row r="9715" ht="14.25" customHeight="1">
      <c r="A9715" s="7">
        <v>9702.0</v>
      </c>
      <c r="B9715" s="14">
        <f t="shared" si="1"/>
        <v>0.1246134274</v>
      </c>
      <c r="C9715" s="39">
        <f t="array" ref="C9715">NPV(B9715,FCFF!$C$9:$I$9)+FCFF!$B$9+FCFF!$I$9*(1+Inputs!$B$6)/(B9715-Inputs!$B$6)/(1+B9715)^7</f>
        <v>-1895.494241</v>
      </c>
    </row>
    <row r="9716" ht="14.25" customHeight="1">
      <c r="A9716" s="7">
        <v>9703.0</v>
      </c>
      <c r="B9716" s="14">
        <f t="shared" si="1"/>
        <v>0.1209620524</v>
      </c>
      <c r="C9716" s="39">
        <f t="array" ref="C9716">NPV(B9716,FCFF!$C$9:$I$9)+FCFF!$B$9+FCFF!$I$9*(1+Inputs!$B$6)/(B9716-Inputs!$B$6)/(1+B9716)^7</f>
        <v>-1837.779722</v>
      </c>
    </row>
    <row r="9717" ht="14.25" customHeight="1">
      <c r="A9717" s="7">
        <v>9704.0</v>
      </c>
      <c r="B9717" s="14">
        <f t="shared" si="1"/>
        <v>0.1213650308</v>
      </c>
      <c r="C9717" s="39">
        <f t="array" ref="C9717">NPV(B9717,FCFF!$C$9:$I$9)+FCFF!$B$9+FCFF!$I$9*(1+Inputs!$B$6)/(B9717-Inputs!$B$6)/(1+B9717)^7</f>
        <v>-1844.3906</v>
      </c>
    </row>
    <row r="9718" ht="14.25" customHeight="1">
      <c r="A9718" s="7">
        <v>9705.0</v>
      </c>
      <c r="B9718" s="14">
        <f t="shared" si="1"/>
        <v>0.1086367131</v>
      </c>
      <c r="C9718" s="39">
        <f t="array" ref="C9718">NPV(B9718,FCFF!$C$9:$I$9)+FCFF!$B$9+FCFF!$I$9*(1+Inputs!$B$6)/(B9718-Inputs!$B$6)/(1+B9718)^7</f>
        <v>-1601.027516</v>
      </c>
    </row>
    <row r="9719" ht="14.25" customHeight="1">
      <c r="A9719" s="7">
        <v>9706.0</v>
      </c>
      <c r="B9719" s="14">
        <f t="shared" si="1"/>
        <v>0.1079818878</v>
      </c>
      <c r="C9719" s="39">
        <f t="array" ref="C9719">NPV(B9719,FCFF!$C$9:$I$9)+FCFF!$B$9+FCFF!$I$9*(1+Inputs!$B$6)/(B9719-Inputs!$B$6)/(1+B9719)^7</f>
        <v>-1586.269929</v>
      </c>
    </row>
    <row r="9720" ht="14.25" customHeight="1">
      <c r="A9720" s="7">
        <v>9707.0</v>
      </c>
      <c r="B9720" s="14">
        <f t="shared" si="1"/>
        <v>0.1224147941</v>
      </c>
      <c r="C9720" s="39">
        <f t="array" ref="C9720">NPV(B9720,FCFF!$C$9:$I$9)+FCFF!$B$9+FCFF!$I$9*(1+Inputs!$B$6)/(B9720-Inputs!$B$6)/(1+B9720)^7</f>
        <v>-1861.324419</v>
      </c>
    </row>
    <row r="9721" ht="14.25" customHeight="1">
      <c r="A9721" s="7">
        <v>9708.0</v>
      </c>
      <c r="B9721" s="14">
        <f t="shared" si="1"/>
        <v>0.1103105087</v>
      </c>
      <c r="C9721" s="39">
        <f t="array" ref="C9721">NPV(B9721,FCFF!$C$9:$I$9)+FCFF!$B$9+FCFF!$I$9*(1+Inputs!$B$6)/(B9721-Inputs!$B$6)/(1+B9721)^7</f>
        <v>-1637.623287</v>
      </c>
    </row>
    <row r="9722" ht="14.25" customHeight="1">
      <c r="A9722" s="7">
        <v>9709.0</v>
      </c>
      <c r="B9722" s="14">
        <f t="shared" si="1"/>
        <v>0.1145884335</v>
      </c>
      <c r="C9722" s="39">
        <f t="array" ref="C9722">NPV(B9722,FCFF!$C$9:$I$9)+FCFF!$B$9+FCFF!$I$9*(1+Inputs!$B$6)/(B9722-Inputs!$B$6)/(1+B9722)^7</f>
        <v>-1724.349766</v>
      </c>
    </row>
    <row r="9723" ht="14.25" customHeight="1">
      <c r="A9723" s="7">
        <v>9710.0</v>
      </c>
      <c r="B9723" s="14">
        <f t="shared" si="1"/>
        <v>0.1145761981</v>
      </c>
      <c r="C9723" s="39">
        <f t="array" ref="C9723">NPV(B9723,FCFF!$C$9:$I$9)+FCFF!$B$9+FCFF!$I$9*(1+Inputs!$B$6)/(B9723-Inputs!$B$6)/(1+B9723)^7</f>
        <v>-1724.11473</v>
      </c>
    </row>
    <row r="9724" ht="14.25" customHeight="1">
      <c r="A9724" s="7">
        <v>9711.0</v>
      </c>
      <c r="B9724" s="14">
        <f t="shared" si="1"/>
        <v>0.1172399519</v>
      </c>
      <c r="C9724" s="39">
        <f t="array" ref="C9724">NPV(B9724,FCFF!$C$9:$I$9)+FCFF!$B$9+FCFF!$I$9*(1+Inputs!$B$6)/(B9724-Inputs!$B$6)/(1+B9724)^7</f>
        <v>-1773.657469</v>
      </c>
    </row>
    <row r="9725" ht="14.25" customHeight="1">
      <c r="A9725" s="7">
        <v>9712.0</v>
      </c>
      <c r="B9725" s="14">
        <f t="shared" si="1"/>
        <v>0.1176397728</v>
      </c>
      <c r="C9725" s="39">
        <f t="array" ref="C9725">NPV(B9725,FCFF!$C$9:$I$9)+FCFF!$B$9+FCFF!$I$9*(1+Inputs!$B$6)/(B9725-Inputs!$B$6)/(1+B9725)^7</f>
        <v>-1780.821025</v>
      </c>
    </row>
    <row r="9726" ht="14.25" customHeight="1">
      <c r="A9726" s="7">
        <v>9713.0</v>
      </c>
      <c r="B9726" s="14">
        <f t="shared" si="1"/>
        <v>0.1025814578</v>
      </c>
      <c r="C9726" s="39">
        <f t="array" ref="C9726">NPV(B9726,FCFF!$C$9:$I$9)+FCFF!$B$9+FCFF!$I$9*(1+Inputs!$B$6)/(B9726-Inputs!$B$6)/(1+B9726)^7</f>
        <v>-1454.160651</v>
      </c>
    </row>
    <row r="9727" ht="14.25" customHeight="1">
      <c r="A9727" s="7">
        <v>9714.0</v>
      </c>
      <c r="B9727" s="14">
        <f t="shared" si="1"/>
        <v>0.1000983912</v>
      </c>
      <c r="C9727" s="39">
        <f t="array" ref="C9727">NPV(B9727,FCFF!$C$9:$I$9)+FCFF!$B$9+FCFF!$I$9*(1+Inputs!$B$6)/(B9727-Inputs!$B$6)/(1+B9727)^7</f>
        <v>-1386.474538</v>
      </c>
    </row>
    <row r="9728" ht="14.25" customHeight="1">
      <c r="A9728" s="7">
        <v>9715.0</v>
      </c>
      <c r="B9728" s="14">
        <f t="shared" si="1"/>
        <v>0.1015661898</v>
      </c>
      <c r="C9728" s="39">
        <f t="array" ref="C9728">NPV(B9728,FCFF!$C$9:$I$9)+FCFF!$B$9+FCFF!$I$9*(1+Inputs!$B$6)/(B9728-Inputs!$B$6)/(1+B9728)^7</f>
        <v>-1427.058778</v>
      </c>
    </row>
    <row r="9729" ht="14.25" customHeight="1">
      <c r="A9729" s="7">
        <v>9716.0</v>
      </c>
      <c r="B9729" s="14">
        <f t="shared" si="1"/>
        <v>0.1222982632</v>
      </c>
      <c r="C9729" s="39">
        <f t="array" ref="C9729">NPV(B9729,FCFF!$C$9:$I$9)+FCFF!$B$9+FCFF!$I$9*(1+Inputs!$B$6)/(B9729-Inputs!$B$6)/(1+B9729)^7</f>
        <v>-1859.464871</v>
      </c>
    </row>
    <row r="9730" ht="14.25" customHeight="1">
      <c r="A9730" s="7">
        <v>9717.0</v>
      </c>
      <c r="B9730" s="14">
        <f t="shared" si="1"/>
        <v>0.1014498055</v>
      </c>
      <c r="C9730" s="39">
        <f t="array" ref="C9730">NPV(B9730,FCFF!$C$9:$I$9)+FCFF!$B$9+FCFF!$I$9*(1+Inputs!$B$6)/(B9730-Inputs!$B$6)/(1+B9730)^7</f>
        <v>-1423.902208</v>
      </c>
    </row>
    <row r="9731" ht="14.25" customHeight="1">
      <c r="A9731" s="7">
        <v>9718.0</v>
      </c>
      <c r="B9731" s="14">
        <f t="shared" si="1"/>
        <v>0.1307277262</v>
      </c>
      <c r="C9731" s="39">
        <f t="array" ref="C9731">NPV(B9731,FCFF!$C$9:$I$9)+FCFF!$B$9+FCFF!$I$9*(1+Inputs!$B$6)/(B9731-Inputs!$B$6)/(1+B9731)^7</f>
        <v>-1982.125182</v>
      </c>
    </row>
    <row r="9732" ht="14.25" customHeight="1">
      <c r="A9732" s="7">
        <v>9719.0</v>
      </c>
      <c r="B9732" s="14">
        <f t="shared" si="1"/>
        <v>0.1057528382</v>
      </c>
      <c r="C9732" s="39">
        <f t="array" ref="C9732">NPV(B9732,FCFF!$C$9:$I$9)+FCFF!$B$9+FCFF!$I$9*(1+Inputs!$B$6)/(B9732-Inputs!$B$6)/(1+B9732)^7</f>
        <v>-1534.071167</v>
      </c>
    </row>
    <row r="9733" ht="14.25" customHeight="1">
      <c r="A9733" s="7">
        <v>9720.0</v>
      </c>
      <c r="B9733" s="14">
        <f t="shared" si="1"/>
        <v>0.1122501367</v>
      </c>
      <c r="C9733" s="39">
        <f t="array" ref="C9733">NPV(B9733,FCFF!$C$9:$I$9)+FCFF!$B$9+FCFF!$I$9*(1+Inputs!$B$6)/(B9733-Inputs!$B$6)/(1+B9733)^7</f>
        <v>-1678.106808</v>
      </c>
    </row>
    <row r="9734" ht="14.25" customHeight="1">
      <c r="A9734" s="7">
        <v>9721.0</v>
      </c>
      <c r="B9734" s="14">
        <f t="shared" si="1"/>
        <v>0.126083352</v>
      </c>
      <c r="C9734" s="39">
        <f t="array" ref="C9734">NPV(B9734,FCFF!$C$9:$I$9)+FCFF!$B$9+FCFF!$I$9*(1+Inputs!$B$6)/(B9734-Inputs!$B$6)/(1+B9734)^7</f>
        <v>-1917.406594</v>
      </c>
    </row>
    <row r="9735" ht="14.25" customHeight="1">
      <c r="A9735" s="7">
        <v>9722.0</v>
      </c>
      <c r="B9735" s="14">
        <f t="shared" si="1"/>
        <v>0.1045376735</v>
      </c>
      <c r="C9735" s="39">
        <f t="array" ref="C9735">NPV(B9735,FCFF!$C$9:$I$9)+FCFF!$B$9+FCFF!$I$9*(1+Inputs!$B$6)/(B9735-Inputs!$B$6)/(1+B9735)^7</f>
        <v>-1504.269994</v>
      </c>
    </row>
    <row r="9736" ht="14.25" customHeight="1">
      <c r="A9736" s="7">
        <v>9723.0</v>
      </c>
      <c r="B9736" s="14">
        <f t="shared" si="1"/>
        <v>0.1081543766</v>
      </c>
      <c r="C9736" s="39">
        <f t="array" ref="C9736">NPV(B9736,FCFF!$C$9:$I$9)+FCFF!$B$9+FCFF!$I$9*(1+Inputs!$B$6)/(B9736-Inputs!$B$6)/(1+B9736)^7</f>
        <v>-1590.181922</v>
      </c>
    </row>
    <row r="9737" ht="14.25" customHeight="1">
      <c r="A9737" s="7">
        <v>9724.0</v>
      </c>
      <c r="B9737" s="14">
        <f t="shared" si="1"/>
        <v>0.1043247648</v>
      </c>
      <c r="C9737" s="39">
        <f t="array" ref="C9737">NPV(B9737,FCFF!$C$9:$I$9)+FCFF!$B$9+FCFF!$I$9*(1+Inputs!$B$6)/(B9737-Inputs!$B$6)/(1+B9737)^7</f>
        <v>-1498.946261</v>
      </c>
    </row>
    <row r="9738" ht="14.25" customHeight="1">
      <c r="A9738" s="7">
        <v>9725.0</v>
      </c>
      <c r="B9738" s="14">
        <f t="shared" si="1"/>
        <v>0.1258316834</v>
      </c>
      <c r="C9738" s="39">
        <f t="array" ref="C9738">NPV(B9738,FCFF!$C$9:$I$9)+FCFF!$B$9+FCFF!$I$9*(1+Inputs!$B$6)/(B9738-Inputs!$B$6)/(1+B9738)^7</f>
        <v>-1913.706113</v>
      </c>
    </row>
    <row r="9739" ht="14.25" customHeight="1">
      <c r="A9739" s="7">
        <v>9726.0</v>
      </c>
      <c r="B9739" s="14">
        <f t="shared" si="1"/>
        <v>0.1252836959</v>
      </c>
      <c r="C9739" s="39">
        <f t="array" ref="C9739">NPV(B9739,FCFF!$C$9:$I$9)+FCFF!$B$9+FCFF!$I$9*(1+Inputs!$B$6)/(B9739-Inputs!$B$6)/(1+B9739)^7</f>
        <v>-1905.57598</v>
      </c>
    </row>
    <row r="9740" ht="14.25" customHeight="1">
      <c r="A9740" s="7">
        <v>9727.0</v>
      </c>
      <c r="B9740" s="14">
        <f t="shared" si="1"/>
        <v>0.1170567943</v>
      </c>
      <c r="C9740" s="39">
        <f t="array" ref="C9740">NPV(B9740,FCFF!$C$9:$I$9)+FCFF!$B$9+FCFF!$I$9*(1+Inputs!$B$6)/(B9740-Inputs!$B$6)/(1+B9740)^7</f>
        <v>-1770.352733</v>
      </c>
    </row>
    <row r="9741" ht="14.25" customHeight="1">
      <c r="A9741" s="7">
        <v>9728.0</v>
      </c>
      <c r="B9741" s="14">
        <f t="shared" si="1"/>
        <v>0.102130427</v>
      </c>
      <c r="C9741" s="39">
        <f t="array" ref="C9741">NPV(B9741,FCFF!$C$9:$I$9)+FCFF!$B$9+FCFF!$I$9*(1+Inputs!$B$6)/(B9741-Inputs!$B$6)/(1+B9741)^7</f>
        <v>-1442.216011</v>
      </c>
    </row>
    <row r="9742" ht="14.25" customHeight="1">
      <c r="A9742" s="7">
        <v>9729.0</v>
      </c>
      <c r="B9742" s="14">
        <f t="shared" si="1"/>
        <v>0.1220155114</v>
      </c>
      <c r="C9742" s="39">
        <f t="array" ref="C9742">NPV(B9742,FCFF!$C$9:$I$9)+FCFF!$B$9+FCFF!$I$9*(1+Inputs!$B$6)/(B9742-Inputs!$B$6)/(1+B9742)^7</f>
        <v>-1854.931994</v>
      </c>
    </row>
    <row r="9743" ht="14.25" customHeight="1">
      <c r="A9743" s="7">
        <v>9730.0</v>
      </c>
      <c r="B9743" s="14">
        <f t="shared" si="1"/>
        <v>0.1278159752</v>
      </c>
      <c r="C9743" s="39">
        <f t="array" ref="C9743">NPV(B9743,FCFF!$C$9:$I$9)+FCFF!$B$9+FCFF!$I$9*(1+Inputs!$B$6)/(B9743-Inputs!$B$6)/(1+B9743)^7</f>
        <v>-1942.32712</v>
      </c>
    </row>
    <row r="9744" ht="14.25" customHeight="1">
      <c r="A9744" s="7">
        <v>9731.0</v>
      </c>
      <c r="B9744" s="14">
        <f t="shared" si="1"/>
        <v>0.1130966344</v>
      </c>
      <c r="C9744" s="39">
        <f t="array" ref="C9744">NPV(B9744,FCFF!$C$9:$I$9)+FCFF!$B$9+FCFF!$I$9*(1+Inputs!$B$6)/(B9744-Inputs!$B$6)/(1+B9744)^7</f>
        <v>-1695.160423</v>
      </c>
    </row>
    <row r="9745" ht="14.25" customHeight="1">
      <c r="A9745" s="7">
        <v>9732.0</v>
      </c>
      <c r="B9745" s="14">
        <f t="shared" si="1"/>
        <v>0.120293282</v>
      </c>
      <c r="C9745" s="39">
        <f t="array" ref="C9745">NPV(B9745,FCFF!$C$9:$I$9)+FCFF!$B$9+FCFF!$I$9*(1+Inputs!$B$6)/(B9745-Inputs!$B$6)/(1+B9745)^7</f>
        <v>-1826.670283</v>
      </c>
    </row>
    <row r="9746" ht="14.25" customHeight="1">
      <c r="A9746" s="7">
        <v>9733.0</v>
      </c>
      <c r="B9746" s="14">
        <f t="shared" si="1"/>
        <v>0.102266583</v>
      </c>
      <c r="C9746" s="39">
        <f t="array" ref="C9746">NPV(B9746,FCFF!$C$9:$I$9)+FCFF!$B$9+FCFF!$I$9*(1+Inputs!$B$6)/(B9746-Inputs!$B$6)/(1+B9746)^7</f>
        <v>-1445.837738</v>
      </c>
    </row>
    <row r="9747" ht="14.25" customHeight="1">
      <c r="A9747" s="7">
        <v>9734.0</v>
      </c>
      <c r="B9747" s="14">
        <f t="shared" si="1"/>
        <v>0.1314415523</v>
      </c>
      <c r="C9747" s="39">
        <f t="array" ref="C9747">NPV(B9747,FCFF!$C$9:$I$9)+FCFF!$B$9+FCFF!$I$9*(1+Inputs!$B$6)/(B9747-Inputs!$B$6)/(1+B9747)^7</f>
        <v>-1991.503882</v>
      </c>
    </row>
    <row r="9748" ht="14.25" customHeight="1">
      <c r="A9748" s="7">
        <v>9735.0</v>
      </c>
      <c r="B9748" s="14">
        <f t="shared" si="1"/>
        <v>0.1168563078</v>
      </c>
      <c r="C9748" s="39">
        <f t="array" ref="C9748">NPV(B9748,FCFF!$C$9:$I$9)+FCFF!$B$9+FCFF!$I$9*(1+Inputs!$B$6)/(B9748-Inputs!$B$6)/(1+B9748)^7</f>
        <v>-1766.718535</v>
      </c>
    </row>
    <row r="9749" ht="14.25" customHeight="1">
      <c r="A9749" s="7">
        <v>9736.0</v>
      </c>
      <c r="B9749" s="14">
        <f t="shared" si="1"/>
        <v>0.1234749588</v>
      </c>
      <c r="C9749" s="39">
        <f t="array" ref="C9749">NPV(B9749,FCFF!$C$9:$I$9)+FCFF!$B$9+FCFF!$I$9*(1+Inputs!$B$6)/(B9749-Inputs!$B$6)/(1+B9749)^7</f>
        <v>-1878.015171</v>
      </c>
    </row>
    <row r="9750" ht="14.25" customHeight="1">
      <c r="A9750" s="7">
        <v>9737.0</v>
      </c>
      <c r="B9750" s="14">
        <f t="shared" si="1"/>
        <v>0.1199248503</v>
      </c>
      <c r="C9750" s="39">
        <f t="array" ref="C9750">NPV(B9750,FCFF!$C$9:$I$9)+FCFF!$B$9+FCFF!$I$9*(1+Inputs!$B$6)/(B9750-Inputs!$B$6)/(1+B9750)^7</f>
        <v>-1820.475154</v>
      </c>
    </row>
    <row r="9751" ht="14.25" customHeight="1">
      <c r="A9751" s="7">
        <v>9738.0</v>
      </c>
      <c r="B9751" s="14">
        <f t="shared" si="1"/>
        <v>0.1308806443</v>
      </c>
      <c r="C9751" s="39">
        <f t="array" ref="C9751">NPV(B9751,FCFF!$C$9:$I$9)+FCFF!$B$9+FCFF!$I$9*(1+Inputs!$B$6)/(B9751-Inputs!$B$6)/(1+B9751)^7</f>
        <v>-1984.146471</v>
      </c>
    </row>
    <row r="9752" ht="14.25" customHeight="1">
      <c r="A9752" s="7">
        <v>9739.0</v>
      </c>
      <c r="B9752" s="14">
        <f t="shared" si="1"/>
        <v>0.1249621025</v>
      </c>
      <c r="C9752" s="39">
        <f t="array" ref="C9752">NPV(B9752,FCFF!$C$9:$I$9)+FCFF!$B$9+FCFF!$I$9*(1+Inputs!$B$6)/(B9752-Inputs!$B$6)/(1+B9752)^7</f>
        <v>-1900.757819</v>
      </c>
    </row>
    <row r="9753" ht="14.25" customHeight="1">
      <c r="A9753" s="7">
        <v>9740.0</v>
      </c>
      <c r="B9753" s="14">
        <f t="shared" si="1"/>
        <v>0.1250674732</v>
      </c>
      <c r="C9753" s="39">
        <f t="array" ref="C9753">NPV(B9753,FCFF!$C$9:$I$9)+FCFF!$B$9+FCFF!$I$9*(1+Inputs!$B$6)/(B9753-Inputs!$B$6)/(1+B9753)^7</f>
        <v>-1902.34035</v>
      </c>
    </row>
    <row r="9754" ht="14.25" customHeight="1">
      <c r="A9754" s="7">
        <v>9741.0</v>
      </c>
      <c r="B9754" s="14">
        <f t="shared" si="1"/>
        <v>0.09347947062</v>
      </c>
      <c r="C9754" s="39">
        <f t="array" ref="C9754">NPV(B9754,FCFF!$C$9:$I$9)+FCFF!$B$9+FCFF!$I$9*(1+Inputs!$B$6)/(B9754-Inputs!$B$6)/(1+B9754)^7</f>
        <v>-1180.100147</v>
      </c>
    </row>
    <row r="9755" ht="14.25" customHeight="1">
      <c r="A9755" s="7">
        <v>9742.0</v>
      </c>
      <c r="B9755" s="14">
        <f t="shared" si="1"/>
        <v>0.1240322442</v>
      </c>
      <c r="C9755" s="39">
        <f t="array" ref="C9755">NPV(B9755,FCFF!$C$9:$I$9)+FCFF!$B$9+FCFF!$I$9*(1+Inputs!$B$6)/(B9755-Inputs!$B$6)/(1+B9755)^7</f>
        <v>-1886.627806</v>
      </c>
    </row>
    <row r="9756" ht="14.25" customHeight="1">
      <c r="A9756" s="7">
        <v>9743.0</v>
      </c>
      <c r="B9756" s="14">
        <f t="shared" si="1"/>
        <v>0.1228941161</v>
      </c>
      <c r="C9756" s="39">
        <f t="array" ref="C9756">NPV(B9756,FCFF!$C$9:$I$9)+FCFF!$B$9+FCFF!$I$9*(1+Inputs!$B$6)/(B9756-Inputs!$B$6)/(1+B9756)^7</f>
        <v>-1868.920969</v>
      </c>
    </row>
    <row r="9757" ht="14.25" customHeight="1">
      <c r="A9757" s="7">
        <v>9744.0</v>
      </c>
      <c r="B9757" s="14">
        <f t="shared" si="1"/>
        <v>0.123159448</v>
      </c>
      <c r="C9757" s="39">
        <f t="array" ref="C9757">NPV(B9757,FCFF!$C$9:$I$9)+FCFF!$B$9+FCFF!$I$9*(1+Inputs!$B$6)/(B9757-Inputs!$B$6)/(1+B9757)^7</f>
        <v>-1873.090262</v>
      </c>
    </row>
    <row r="9758" ht="14.25" customHeight="1">
      <c r="A9758" s="7">
        <v>9745.0</v>
      </c>
      <c r="B9758" s="14">
        <f t="shared" si="1"/>
        <v>0.09404802261</v>
      </c>
      <c r="C9758" s="39">
        <f t="array" ref="C9758">NPV(B9758,FCFF!$C$9:$I$9)+FCFF!$B$9+FCFF!$I$9*(1+Inputs!$B$6)/(B9758-Inputs!$B$6)/(1+B9758)^7</f>
        <v>-1199.493877</v>
      </c>
    </row>
    <row r="9759" ht="14.25" customHeight="1">
      <c r="A9759" s="7">
        <v>9746.0</v>
      </c>
      <c r="B9759" s="14">
        <f t="shared" si="1"/>
        <v>0.1215843869</v>
      </c>
      <c r="C9759" s="39">
        <f t="array" ref="C9759">NPV(B9759,FCFF!$C$9:$I$9)+FCFF!$B$9+FCFF!$I$9*(1+Inputs!$B$6)/(B9759-Inputs!$B$6)/(1+B9759)^7</f>
        <v>-1847.963176</v>
      </c>
    </row>
    <row r="9760" ht="14.25" customHeight="1">
      <c r="A9760" s="7">
        <v>9747.0</v>
      </c>
      <c r="B9760" s="14">
        <f t="shared" si="1"/>
        <v>0.1138501472</v>
      </c>
      <c r="C9760" s="39">
        <f t="array" ref="C9760">NPV(B9760,FCFF!$C$9:$I$9)+FCFF!$B$9+FCFF!$I$9*(1+Inputs!$B$6)/(B9760-Inputs!$B$6)/(1+B9760)^7</f>
        <v>-1710.039419</v>
      </c>
    </row>
    <row r="9761" ht="14.25" customHeight="1">
      <c r="A9761" s="7">
        <v>9748.0</v>
      </c>
      <c r="B9761" s="14">
        <f t="shared" si="1"/>
        <v>0.1003129497</v>
      </c>
      <c r="C9761" s="39">
        <f t="array" ref="C9761">NPV(B9761,FCFF!$C$9:$I$9)+FCFF!$B$9+FCFF!$I$9*(1+Inputs!$B$6)/(B9761-Inputs!$B$6)/(1+B9761)^7</f>
        <v>-1392.513638</v>
      </c>
    </row>
    <row r="9762" ht="14.25" customHeight="1">
      <c r="A9762" s="7">
        <v>9749.0</v>
      </c>
      <c r="B9762" s="14">
        <f t="shared" si="1"/>
        <v>0.1281461352</v>
      </c>
      <c r="C9762" s="39">
        <f t="array" ref="C9762">NPV(B9762,FCFF!$C$9:$I$9)+FCFF!$B$9+FCFF!$I$9*(1+Inputs!$B$6)/(B9762-Inputs!$B$6)/(1+B9762)^7</f>
        <v>-1946.968315</v>
      </c>
    </row>
    <row r="9763" ht="14.25" customHeight="1">
      <c r="A9763" s="7">
        <v>9750.0</v>
      </c>
      <c r="B9763" s="14">
        <f t="shared" si="1"/>
        <v>0.1055748007</v>
      </c>
      <c r="C9763" s="39">
        <f t="array" ref="C9763">NPV(B9763,FCFF!$C$9:$I$9)+FCFF!$B$9+FCFF!$I$9*(1+Inputs!$B$6)/(B9763-Inputs!$B$6)/(1+B9763)^7</f>
        <v>-1529.766044</v>
      </c>
    </row>
    <row r="9764" ht="14.25" customHeight="1">
      <c r="A9764" s="7">
        <v>9751.0</v>
      </c>
      <c r="B9764" s="14">
        <f t="shared" si="1"/>
        <v>0.100388408</v>
      </c>
      <c r="C9764" s="39">
        <f t="array" ref="C9764">NPV(B9764,FCFF!$C$9:$I$9)+FCFF!$B$9+FCFF!$I$9*(1+Inputs!$B$6)/(B9764-Inputs!$B$6)/(1+B9764)^7</f>
        <v>-1394.628721</v>
      </c>
    </row>
    <row r="9765" ht="14.25" customHeight="1">
      <c r="A9765" s="7">
        <v>9752.0</v>
      </c>
      <c r="B9765" s="14">
        <f t="shared" si="1"/>
        <v>0.09888555662</v>
      </c>
      <c r="C9765" s="39">
        <f t="array" ref="C9765">NPV(B9765,FCFF!$C$9:$I$9)+FCFF!$B$9+FCFF!$I$9*(1+Inputs!$B$6)/(B9765-Inputs!$B$6)/(1+B9765)^7</f>
        <v>-1351.625747</v>
      </c>
    </row>
    <row r="9766" ht="14.25" customHeight="1">
      <c r="A9766" s="7">
        <v>9753.0</v>
      </c>
      <c r="B9766" s="14">
        <f t="shared" si="1"/>
        <v>0.1285075382</v>
      </c>
      <c r="C9766" s="39">
        <f t="array" ref="C9766">NPV(B9766,FCFF!$C$9:$I$9)+FCFF!$B$9+FCFF!$I$9*(1+Inputs!$B$6)/(B9766-Inputs!$B$6)/(1+B9766)^7</f>
        <v>-1952.010186</v>
      </c>
    </row>
    <row r="9767" ht="14.25" customHeight="1">
      <c r="A9767" s="7">
        <v>9754.0</v>
      </c>
      <c r="B9767" s="14">
        <f t="shared" si="1"/>
        <v>0.1223279755</v>
      </c>
      <c r="C9767" s="39">
        <f t="array" ref="C9767">NPV(B9767,FCFF!$C$9:$I$9)+FCFF!$B$9+FCFF!$I$9*(1+Inputs!$B$6)/(B9767-Inputs!$B$6)/(1+B9767)^7</f>
        <v>-1859.939482</v>
      </c>
    </row>
    <row r="9768" ht="14.25" customHeight="1">
      <c r="A9768" s="7">
        <v>9755.0</v>
      </c>
      <c r="B9768" s="14">
        <f t="shared" si="1"/>
        <v>0.09920671283</v>
      </c>
      <c r="C9768" s="39">
        <f t="array" ref="C9768">NPV(B9768,FCFF!$C$9:$I$9)+FCFF!$B$9+FCFF!$I$9*(1+Inputs!$B$6)/(B9768-Inputs!$B$6)/(1+B9768)^7</f>
        <v>-1360.973118</v>
      </c>
    </row>
    <row r="9769" ht="14.25" customHeight="1">
      <c r="A9769" s="7">
        <v>9756.0</v>
      </c>
      <c r="B9769" s="14">
        <f t="shared" si="1"/>
        <v>0.1250776019</v>
      </c>
      <c r="C9769" s="39">
        <f t="array" ref="C9769">NPV(B9769,FCFF!$C$9:$I$9)+FCFF!$B$9+FCFF!$I$9*(1+Inputs!$B$6)/(B9769-Inputs!$B$6)/(1+B9769)^7</f>
        <v>-1902.492271</v>
      </c>
    </row>
    <row r="9770" ht="14.25" customHeight="1">
      <c r="A9770" s="7">
        <v>9757.0</v>
      </c>
      <c r="B9770" s="14">
        <f t="shared" si="1"/>
        <v>0.09747235738</v>
      </c>
      <c r="C9770" s="39">
        <f t="array" ref="C9770">NPV(B9770,FCFF!$C$9:$I$9)+FCFF!$B$9+FCFF!$I$9*(1+Inputs!$B$6)/(B9770-Inputs!$B$6)/(1+B9770)^7</f>
        <v>-1309.43402</v>
      </c>
    </row>
    <row r="9771" ht="14.25" customHeight="1">
      <c r="A9771" s="7">
        <v>9758.0</v>
      </c>
      <c r="B9771" s="14">
        <f t="shared" si="1"/>
        <v>0.1297649783</v>
      </c>
      <c r="C9771" s="39">
        <f t="array" ref="C9771">NPV(B9771,FCFF!$C$9:$I$9)+FCFF!$B$9+FCFF!$I$9*(1+Inputs!$B$6)/(B9771-Inputs!$B$6)/(1+B9771)^7</f>
        <v>-1969.244764</v>
      </c>
    </row>
    <row r="9772" ht="14.25" customHeight="1">
      <c r="A9772" s="7">
        <v>9759.0</v>
      </c>
      <c r="B9772" s="14">
        <f t="shared" si="1"/>
        <v>0.1192986371</v>
      </c>
      <c r="C9772" s="39">
        <f t="array" ref="C9772">NPV(B9772,FCFF!$C$9:$I$9)+FCFF!$B$9+FCFF!$I$9*(1+Inputs!$B$6)/(B9772-Inputs!$B$6)/(1+B9772)^7</f>
        <v>-1809.821291</v>
      </c>
    </row>
    <row r="9773" ht="14.25" customHeight="1">
      <c r="A9773" s="7">
        <v>9760.0</v>
      </c>
      <c r="B9773" s="14">
        <f t="shared" si="1"/>
        <v>0.1325798178</v>
      </c>
      <c r="C9773" s="39">
        <f t="array" ref="C9773">NPV(B9773,FCFF!$C$9:$I$9)+FCFF!$B$9+FCFF!$I$9*(1+Inputs!$B$6)/(B9773-Inputs!$B$6)/(1+B9773)^7</f>
        <v>-2006.165231</v>
      </c>
    </row>
    <row r="9774" ht="14.25" customHeight="1">
      <c r="A9774" s="7">
        <v>9761.0</v>
      </c>
      <c r="B9774" s="14">
        <f t="shared" si="1"/>
        <v>0.1054692945</v>
      </c>
      <c r="C9774" s="39">
        <f t="array" ref="C9774">NPV(B9774,FCFF!$C$9:$I$9)+FCFF!$B$9+FCFF!$I$9*(1+Inputs!$B$6)/(B9774-Inputs!$B$6)/(1+B9774)^7</f>
        <v>-1527.205008</v>
      </c>
    </row>
    <row r="9775" ht="14.25" customHeight="1">
      <c r="A9775" s="7">
        <v>9762.0</v>
      </c>
      <c r="B9775" s="14">
        <f t="shared" si="1"/>
        <v>0.1099026649</v>
      </c>
      <c r="C9775" s="39">
        <f t="array" ref="C9775">NPV(B9775,FCFF!$C$9:$I$9)+FCFF!$B$9+FCFF!$I$9*(1+Inputs!$B$6)/(B9775-Inputs!$B$6)/(1+B9775)^7</f>
        <v>-1628.851953</v>
      </c>
    </row>
    <row r="9776" ht="14.25" customHeight="1">
      <c r="A9776" s="7">
        <v>9763.0</v>
      </c>
      <c r="B9776" s="14">
        <f t="shared" si="1"/>
        <v>0.1098599147</v>
      </c>
      <c r="C9776" s="39">
        <f t="array" ref="C9776">NPV(B9776,FCFF!$C$9:$I$9)+FCFF!$B$9+FCFF!$I$9*(1+Inputs!$B$6)/(B9776-Inputs!$B$6)/(1+B9776)^7</f>
        <v>-1627.927183</v>
      </c>
    </row>
    <row r="9777" ht="14.25" customHeight="1">
      <c r="A9777" s="7">
        <v>9764.0</v>
      </c>
      <c r="B9777" s="14">
        <f t="shared" si="1"/>
        <v>0.1106419533</v>
      </c>
      <c r="C9777" s="39">
        <f t="array" ref="C9777">NPV(B9777,FCFF!$C$9:$I$9)+FCFF!$B$9+FCFF!$I$9*(1+Inputs!$B$6)/(B9777-Inputs!$B$6)/(1+B9777)^7</f>
        <v>-1644.68401</v>
      </c>
    </row>
    <row r="9778" ht="14.25" customHeight="1">
      <c r="A9778" s="7">
        <v>9765.0</v>
      </c>
      <c r="B9778" s="14">
        <f t="shared" si="1"/>
        <v>0.1313751278</v>
      </c>
      <c r="C9778" s="39">
        <f t="array" ref="C9778">NPV(B9778,FCFF!$C$9:$I$9)+FCFF!$B$9+FCFF!$I$9*(1+Inputs!$B$6)/(B9778-Inputs!$B$6)/(1+B9778)^7</f>
        <v>-1990.63722</v>
      </c>
    </row>
    <row r="9779" ht="14.25" customHeight="1">
      <c r="A9779" s="7">
        <v>9766.0</v>
      </c>
      <c r="B9779" s="14">
        <f t="shared" si="1"/>
        <v>0.1044292571</v>
      </c>
      <c r="C9779" s="39">
        <f t="array" ref="C9779">NPV(B9779,FCFF!$C$9:$I$9)+FCFF!$B$9+FCFF!$I$9*(1+Inputs!$B$6)/(B9779-Inputs!$B$6)/(1+B9779)^7</f>
        <v>-1501.562941</v>
      </c>
    </row>
    <row r="9780" ht="14.25" customHeight="1">
      <c r="A9780" s="7">
        <v>9767.0</v>
      </c>
      <c r="B9780" s="14">
        <f t="shared" si="1"/>
        <v>0.1067012039</v>
      </c>
      <c r="C9780" s="39">
        <f t="array" ref="C9780">NPV(B9780,FCFF!$C$9:$I$9)+FCFF!$B$9+FCFF!$I$9*(1+Inputs!$B$6)/(B9780-Inputs!$B$6)/(1+B9780)^7</f>
        <v>-1556.659384</v>
      </c>
    </row>
    <row r="9781" ht="14.25" customHeight="1">
      <c r="A9781" s="7">
        <v>9768.0</v>
      </c>
      <c r="B9781" s="14">
        <f t="shared" si="1"/>
        <v>0.1115782225</v>
      </c>
      <c r="C9781" s="39">
        <f t="array" ref="C9781">NPV(B9781,FCFF!$C$9:$I$9)+FCFF!$B$9+FCFF!$I$9*(1+Inputs!$B$6)/(B9781-Inputs!$B$6)/(1+B9781)^7</f>
        <v>-1664.308572</v>
      </c>
    </row>
    <row r="9782" ht="14.25" customHeight="1">
      <c r="A9782" s="7">
        <v>9769.0</v>
      </c>
      <c r="B9782" s="14">
        <f t="shared" si="1"/>
        <v>0.1020428004</v>
      </c>
      <c r="C9782" s="39">
        <f t="array" ref="C9782">NPV(B9782,FCFF!$C$9:$I$9)+FCFF!$B$9+FCFF!$I$9*(1+Inputs!$B$6)/(B9782-Inputs!$B$6)/(1+B9782)^7</f>
        <v>-1439.877831</v>
      </c>
    </row>
    <row r="9783" ht="14.25" customHeight="1">
      <c r="A9783" s="7">
        <v>9770.0</v>
      </c>
      <c r="B9783" s="14">
        <f t="shared" si="1"/>
        <v>0.1145635606</v>
      </c>
      <c r="C9783" s="39">
        <f t="array" ref="C9783">NPV(B9783,FCFF!$C$9:$I$9)+FCFF!$B$9+FCFF!$I$9*(1+Inputs!$B$6)/(B9783-Inputs!$B$6)/(1+B9783)^7</f>
        <v>-1723.871896</v>
      </c>
    </row>
    <row r="9784" ht="14.25" customHeight="1">
      <c r="A9784" s="7">
        <v>9771.0</v>
      </c>
      <c r="B9784" s="14">
        <f t="shared" si="1"/>
        <v>0.09455611539</v>
      </c>
      <c r="C9784" s="39">
        <f t="array" ref="C9784">NPV(B9784,FCFF!$C$9:$I$9)+FCFF!$B$9+FCFF!$I$9*(1+Inputs!$B$6)/(B9784-Inputs!$B$6)/(1+B9784)^7</f>
        <v>-1216.538964</v>
      </c>
    </row>
    <row r="9785" ht="14.25" customHeight="1">
      <c r="A9785" s="7">
        <v>9772.0</v>
      </c>
      <c r="B9785" s="14">
        <f t="shared" si="1"/>
        <v>0.09917077698</v>
      </c>
      <c r="C9785" s="39">
        <f t="array" ref="C9785">NPV(B9785,FCFF!$C$9:$I$9)+FCFF!$B$9+FCFF!$I$9*(1+Inputs!$B$6)/(B9785-Inputs!$B$6)/(1+B9785)^7</f>
        <v>-1359.931522</v>
      </c>
    </row>
    <row r="9786" ht="14.25" customHeight="1">
      <c r="A9786" s="7">
        <v>9773.0</v>
      </c>
      <c r="B9786" s="14">
        <f t="shared" si="1"/>
        <v>0.1050471723</v>
      </c>
      <c r="C9786" s="39">
        <f t="array" ref="C9786">NPV(B9786,FCFF!$C$9:$I$9)+FCFF!$B$9+FCFF!$I$9*(1+Inputs!$B$6)/(B9786-Inputs!$B$6)/(1+B9786)^7</f>
        <v>-1516.884978</v>
      </c>
    </row>
    <row r="9787" ht="14.25" customHeight="1">
      <c r="A9787" s="7">
        <v>9774.0</v>
      </c>
      <c r="B9787" s="14">
        <f t="shared" si="1"/>
        <v>0.1059754034</v>
      </c>
      <c r="C9787" s="39">
        <f t="array" ref="C9787">NPV(B9787,FCFF!$C$9:$I$9)+FCFF!$B$9+FCFF!$I$9*(1+Inputs!$B$6)/(B9787-Inputs!$B$6)/(1+B9787)^7</f>
        <v>-1539.424026</v>
      </c>
    </row>
    <row r="9788" ht="14.25" customHeight="1">
      <c r="A9788" s="7">
        <v>9775.0</v>
      </c>
      <c r="B9788" s="14">
        <f t="shared" si="1"/>
        <v>0.0975562455</v>
      </c>
      <c r="C9788" s="39">
        <f t="array" ref="C9788">NPV(B9788,FCFF!$C$9:$I$9)+FCFF!$B$9+FCFF!$I$9*(1+Inputs!$B$6)/(B9788-Inputs!$B$6)/(1+B9788)^7</f>
        <v>-1311.987877</v>
      </c>
    </row>
    <row r="9789" ht="14.25" customHeight="1">
      <c r="A9789" s="7">
        <v>9776.0</v>
      </c>
      <c r="B9789" s="14">
        <f t="shared" si="1"/>
        <v>0.1021276841</v>
      </c>
      <c r="C9789" s="39">
        <f t="array" ref="C9789">NPV(B9789,FCFF!$C$9:$I$9)+FCFF!$B$9+FCFF!$I$9*(1+Inputs!$B$6)/(B9789-Inputs!$B$6)/(1+B9789)^7</f>
        <v>-1442.142909</v>
      </c>
    </row>
    <row r="9790" ht="14.25" customHeight="1">
      <c r="A9790" s="7">
        <v>9777.0</v>
      </c>
      <c r="B9790" s="14">
        <f t="shared" si="1"/>
        <v>0.1317053113</v>
      </c>
      <c r="C9790" s="39">
        <f t="array" ref="C9790">NPV(B9790,FCFF!$C$9:$I$9)+FCFF!$B$9+FCFF!$I$9*(1+Inputs!$B$6)/(B9790-Inputs!$B$6)/(1+B9790)^7</f>
        <v>-1994.933067</v>
      </c>
    </row>
    <row r="9791" ht="14.25" customHeight="1">
      <c r="A9791" s="7">
        <v>9778.0</v>
      </c>
      <c r="B9791" s="14">
        <f t="shared" si="1"/>
        <v>0.1153652025</v>
      </c>
      <c r="C9791" s="39">
        <f t="array" ref="C9791">NPV(B9791,FCFF!$C$9:$I$9)+FCFF!$B$9+FCFF!$I$9*(1+Inputs!$B$6)/(B9791-Inputs!$B$6)/(1+B9791)^7</f>
        <v>-1739.126984</v>
      </c>
    </row>
    <row r="9792" ht="14.25" customHeight="1">
      <c r="A9792" s="7">
        <v>9779.0</v>
      </c>
      <c r="B9792" s="14">
        <f t="shared" si="1"/>
        <v>0.1112777462</v>
      </c>
      <c r="C9792" s="39">
        <f t="array" ref="C9792">NPV(B9792,FCFF!$C$9:$I$9)+FCFF!$B$9+FCFF!$I$9*(1+Inputs!$B$6)/(B9792-Inputs!$B$6)/(1+B9792)^7</f>
        <v>-1658.061497</v>
      </c>
    </row>
    <row r="9793" ht="14.25" customHeight="1">
      <c r="A9793" s="7">
        <v>9780.0</v>
      </c>
      <c r="B9793" s="14">
        <f t="shared" si="1"/>
        <v>0.1156972322</v>
      </c>
      <c r="C9793" s="39">
        <f t="array" ref="C9793">NPV(B9793,FCFF!$C$9:$I$9)+FCFF!$B$9+FCFF!$I$9*(1+Inputs!$B$6)/(B9793-Inputs!$B$6)/(1+B9793)^7</f>
        <v>-1745.358013</v>
      </c>
    </row>
    <row r="9794" ht="14.25" customHeight="1">
      <c r="A9794" s="7">
        <v>9781.0</v>
      </c>
      <c r="B9794" s="14">
        <f t="shared" si="1"/>
        <v>0.09668602464</v>
      </c>
      <c r="C9794" s="39">
        <f t="array" ref="C9794">NPV(B9794,FCFF!$C$9:$I$9)+FCFF!$B$9+FCFF!$I$9*(1+Inputs!$B$6)/(B9794-Inputs!$B$6)/(1+B9794)^7</f>
        <v>-1285.183095</v>
      </c>
    </row>
    <row r="9795" ht="14.25" customHeight="1">
      <c r="A9795" s="7">
        <v>9782.0</v>
      </c>
      <c r="B9795" s="14">
        <f t="shared" si="1"/>
        <v>0.1073708725</v>
      </c>
      <c r="C9795" s="39">
        <f t="array" ref="C9795">NPV(B9795,FCFF!$C$9:$I$9)+FCFF!$B$9+FCFF!$I$9*(1+Inputs!$B$6)/(B9795-Inputs!$B$6)/(1+B9795)^7</f>
        <v>-1572.268143</v>
      </c>
    </row>
    <row r="9796" ht="14.25" customHeight="1">
      <c r="A9796" s="7">
        <v>9783.0</v>
      </c>
      <c r="B9796" s="14">
        <f t="shared" si="1"/>
        <v>0.09714679343</v>
      </c>
      <c r="C9796" s="39">
        <f t="array" ref="C9796">NPV(B9796,FCFF!$C$9:$I$9)+FCFF!$B$9+FCFF!$I$9*(1+Inputs!$B$6)/(B9796-Inputs!$B$6)/(1+B9796)^7</f>
        <v>-1299.46227</v>
      </c>
    </row>
    <row r="9797" ht="14.25" customHeight="1">
      <c r="A9797" s="7">
        <v>9784.0</v>
      </c>
      <c r="B9797" s="14">
        <f t="shared" si="1"/>
        <v>0.1097356616</v>
      </c>
      <c r="C9797" s="39">
        <f t="array" ref="C9797">NPV(B9797,FCFF!$C$9:$I$9)+FCFF!$B$9+FCFF!$I$9*(1+Inputs!$B$6)/(B9797-Inputs!$B$6)/(1+B9797)^7</f>
        <v>-1625.233538</v>
      </c>
    </row>
    <row r="9798" ht="14.25" customHeight="1">
      <c r="A9798" s="7">
        <v>9785.0</v>
      </c>
      <c r="B9798" s="14">
        <f t="shared" si="1"/>
        <v>0.1160311478</v>
      </c>
      <c r="C9798" s="39">
        <f t="array" ref="C9798">NPV(B9798,FCFF!$C$9:$I$9)+FCFF!$B$9+FCFF!$I$9*(1+Inputs!$B$6)/(B9798-Inputs!$B$6)/(1+B9798)^7</f>
        <v>-1751.573631</v>
      </c>
    </row>
    <row r="9799" ht="14.25" customHeight="1">
      <c r="A9799" s="7">
        <v>9786.0</v>
      </c>
      <c r="B9799" s="14">
        <f t="shared" si="1"/>
        <v>0.09879059648</v>
      </c>
      <c r="C9799" s="39">
        <f t="array" ref="C9799">NPV(B9799,FCFF!$C$9:$I$9)+FCFF!$B$9+FCFF!$I$9*(1+Inputs!$B$6)/(B9799-Inputs!$B$6)/(1+B9799)^7</f>
        <v>-1348.845116</v>
      </c>
    </row>
    <row r="9800" ht="14.25" customHeight="1">
      <c r="A9800" s="7">
        <v>9787.0</v>
      </c>
      <c r="B9800" s="14">
        <f t="shared" si="1"/>
        <v>0.0936241106</v>
      </c>
      <c r="C9800" s="39">
        <f t="array" ref="C9800">NPV(B9800,FCFF!$C$9:$I$9)+FCFF!$B$9+FCFF!$I$9*(1+Inputs!$B$6)/(B9800-Inputs!$B$6)/(1+B9800)^7</f>
        <v>-1185.066458</v>
      </c>
    </row>
    <row r="9801" ht="14.25" customHeight="1">
      <c r="A9801" s="7">
        <v>9788.0</v>
      </c>
      <c r="B9801" s="14">
        <f t="shared" si="1"/>
        <v>0.1329707764</v>
      </c>
      <c r="C9801" s="39">
        <f t="array" ref="C9801">NPV(B9801,FCFF!$C$9:$I$9)+FCFF!$B$9+FCFF!$I$9*(1+Inputs!$B$6)/(B9801-Inputs!$B$6)/(1+B9801)^7</f>
        <v>-2011.119369</v>
      </c>
    </row>
    <row r="9802" ht="14.25" customHeight="1">
      <c r="A9802" s="7">
        <v>9789.0</v>
      </c>
      <c r="B9802" s="14">
        <f t="shared" si="1"/>
        <v>0.1071688975</v>
      </c>
      <c r="C9802" s="39">
        <f t="array" ref="C9802">NPV(B9802,FCFF!$C$9:$I$9)+FCFF!$B$9+FCFF!$I$9*(1+Inputs!$B$6)/(B9802-Inputs!$B$6)/(1+B9802)^7</f>
        <v>-1567.589718</v>
      </c>
    </row>
    <row r="9803" ht="14.25" customHeight="1">
      <c r="A9803" s="7">
        <v>9790.0</v>
      </c>
      <c r="B9803" s="14">
        <f t="shared" si="1"/>
        <v>0.1116802959</v>
      </c>
      <c r="C9803" s="39">
        <f t="array" ref="C9803">NPV(B9803,FCFF!$C$9:$I$9)+FCFF!$B$9+FCFF!$I$9*(1+Inputs!$B$6)/(B9803-Inputs!$B$6)/(1+B9803)^7</f>
        <v>-1666.419894</v>
      </c>
    </row>
    <row r="9804" ht="14.25" customHeight="1">
      <c r="A9804" s="7">
        <v>9791.0</v>
      </c>
      <c r="B9804" s="14">
        <f t="shared" si="1"/>
        <v>0.1184715394</v>
      </c>
      <c r="C9804" s="39">
        <f t="array" ref="C9804">NPV(B9804,FCFF!$C$9:$I$9)+FCFF!$B$9+FCFF!$I$9*(1+Inputs!$B$6)/(B9804-Inputs!$B$6)/(1+B9804)^7</f>
        <v>-1795.505355</v>
      </c>
    </row>
    <row r="9805" ht="14.25" customHeight="1">
      <c r="A9805" s="7">
        <v>9792.0</v>
      </c>
      <c r="B9805" s="14">
        <f t="shared" si="1"/>
        <v>0.1308991653</v>
      </c>
      <c r="C9805" s="39">
        <f t="array" ref="C9805">NPV(B9805,FCFF!$C$9:$I$9)+FCFF!$B$9+FCFF!$I$9*(1+Inputs!$B$6)/(B9805-Inputs!$B$6)/(1+B9805)^7</f>
        <v>-1984.390831</v>
      </c>
    </row>
    <row r="9806" ht="14.25" customHeight="1">
      <c r="A9806" s="7">
        <v>9793.0</v>
      </c>
      <c r="B9806" s="14">
        <f t="shared" si="1"/>
        <v>0.1025074389</v>
      </c>
      <c r="C9806" s="39">
        <f t="array" ref="C9806">NPV(B9806,FCFF!$C$9:$I$9)+FCFF!$B$9+FCFF!$I$9*(1+Inputs!$B$6)/(B9806-Inputs!$B$6)/(1+B9806)^7</f>
        <v>-1452.210732</v>
      </c>
    </row>
    <row r="9807" ht="14.25" customHeight="1">
      <c r="A9807" s="7">
        <v>9794.0</v>
      </c>
      <c r="B9807" s="14">
        <f t="shared" si="1"/>
        <v>0.09770496039</v>
      </c>
      <c r="C9807" s="39">
        <f t="array" ref="C9807">NPV(B9807,FCFF!$C$9:$I$9)+FCFF!$B$9+FCFF!$I$9*(1+Inputs!$B$6)/(B9807-Inputs!$B$6)/(1+B9807)^7</f>
        <v>-1316.499737</v>
      </c>
    </row>
    <row r="9808" ht="14.25" customHeight="1">
      <c r="A9808" s="7">
        <v>9795.0</v>
      </c>
      <c r="B9808" s="14">
        <f t="shared" si="1"/>
        <v>0.1025364294</v>
      </c>
      <c r="C9808" s="39">
        <f t="array" ref="C9808">NPV(B9808,FCFF!$C$9:$I$9)+FCFF!$B$9+FCFF!$I$9*(1+Inputs!$B$6)/(B9808-Inputs!$B$6)/(1+B9808)^7</f>
        <v>-1452.974924</v>
      </c>
    </row>
    <row r="9809" ht="14.25" customHeight="1">
      <c r="A9809" s="7">
        <v>9796.0</v>
      </c>
      <c r="B9809" s="14">
        <f t="shared" si="1"/>
        <v>0.1187000906</v>
      </c>
      <c r="C9809" s="39">
        <f t="array" ref="C9809">NPV(B9809,FCFF!$C$9:$I$9)+FCFF!$B$9+FCFF!$I$9*(1+Inputs!$B$6)/(B9809-Inputs!$B$6)/(1+B9809)^7</f>
        <v>-1799.489449</v>
      </c>
    </row>
    <row r="9810" ht="14.25" customHeight="1">
      <c r="A9810" s="7">
        <v>9797.0</v>
      </c>
      <c r="B9810" s="14">
        <f t="shared" si="1"/>
        <v>0.1224546068</v>
      </c>
      <c r="C9810" s="39">
        <f t="array" ref="C9810">NPV(B9810,FCFF!$C$9:$I$9)+FCFF!$B$9+FCFF!$I$9*(1+Inputs!$B$6)/(B9810-Inputs!$B$6)/(1+B9810)^7</f>
        <v>-1861.958588</v>
      </c>
    </row>
    <row r="9811" ht="14.25" customHeight="1">
      <c r="A9811" s="7">
        <v>9798.0</v>
      </c>
      <c r="B9811" s="14">
        <f t="shared" si="1"/>
        <v>0.09319328892</v>
      </c>
      <c r="C9811" s="39">
        <f t="array" ref="C9811">NPV(B9811,FCFF!$C$9:$I$9)+FCFF!$B$9+FCFF!$I$9*(1+Inputs!$B$6)/(B9811-Inputs!$B$6)/(1+B9811)^7</f>
        <v>-1170.207661</v>
      </c>
    </row>
    <row r="9812" ht="14.25" customHeight="1">
      <c r="A9812" s="7">
        <v>9799.0</v>
      </c>
      <c r="B9812" s="14">
        <f t="shared" si="1"/>
        <v>0.1278724709</v>
      </c>
      <c r="C9812" s="39">
        <f t="array" ref="C9812">NPV(B9812,FCFF!$C$9:$I$9)+FCFF!$B$9+FCFF!$I$9*(1+Inputs!$B$6)/(B9812-Inputs!$B$6)/(1+B9812)^7</f>
        <v>-1943.123701</v>
      </c>
    </row>
    <row r="9813" ht="14.25" customHeight="1">
      <c r="A9813" s="7">
        <v>9800.0</v>
      </c>
      <c r="B9813" s="14">
        <f t="shared" si="1"/>
        <v>0.1307444202</v>
      </c>
      <c r="C9813" s="39">
        <f t="array" ref="C9813">NPV(B9813,FCFF!$C$9:$I$9)+FCFF!$B$9+FCFF!$I$9*(1+Inputs!$B$6)/(B9813-Inputs!$B$6)/(1+B9813)^7</f>
        <v>-1982.34617</v>
      </c>
    </row>
    <row r="9814" ht="14.25" customHeight="1">
      <c r="A9814" s="7">
        <v>9801.0</v>
      </c>
      <c r="B9814" s="14">
        <f t="shared" si="1"/>
        <v>0.1142175378</v>
      </c>
      <c r="C9814" s="39">
        <f t="array" ref="C9814">NPV(B9814,FCFF!$C$9:$I$9)+FCFF!$B$9+FCFF!$I$9*(1+Inputs!$B$6)/(B9814-Inputs!$B$6)/(1+B9814)^7</f>
        <v>-1717.193354</v>
      </c>
    </row>
    <row r="9815" ht="14.25" customHeight="1">
      <c r="A9815" s="7">
        <v>9802.0</v>
      </c>
      <c r="B9815" s="14">
        <f t="shared" si="1"/>
        <v>0.1176654219</v>
      </c>
      <c r="C9815" s="39">
        <f t="array" ref="C9815">NPV(B9815,FCFF!$C$9:$I$9)+FCFF!$B$9+FCFF!$I$9*(1+Inputs!$B$6)/(B9815-Inputs!$B$6)/(1+B9815)^7</f>
        <v>-1781.27823</v>
      </c>
    </row>
    <row r="9816" ht="14.25" customHeight="1">
      <c r="A9816" s="7">
        <v>9803.0</v>
      </c>
      <c r="B9816" s="14">
        <f t="shared" si="1"/>
        <v>0.1016483728</v>
      </c>
      <c r="C9816" s="39">
        <f t="array" ref="C9816">NPV(B9816,FCFF!$C$9:$I$9)+FCFF!$B$9+FCFF!$I$9*(1+Inputs!$B$6)/(B9816-Inputs!$B$6)/(1+B9816)^7</f>
        <v>-1429.281498</v>
      </c>
    </row>
    <row r="9817" ht="14.25" customHeight="1">
      <c r="A9817" s="7">
        <v>9804.0</v>
      </c>
      <c r="B9817" s="14">
        <f t="shared" si="1"/>
        <v>0.1047222779</v>
      </c>
      <c r="C9817" s="39">
        <f t="array" ref="C9817">NPV(B9817,FCFF!$C$9:$I$9)+FCFF!$B$9+FCFF!$I$9*(1+Inputs!$B$6)/(B9817-Inputs!$B$6)/(1+B9817)^7</f>
        <v>-1508.860977</v>
      </c>
    </row>
    <row r="9818" ht="14.25" customHeight="1">
      <c r="A9818" s="7">
        <v>9805.0</v>
      </c>
      <c r="B9818" s="14">
        <f t="shared" si="1"/>
        <v>0.129493798</v>
      </c>
      <c r="C9818" s="39">
        <f t="array" ref="C9818">NPV(B9818,FCFF!$C$9:$I$9)+FCFF!$B$9+FCFF!$I$9*(1+Inputs!$B$6)/(B9818-Inputs!$B$6)/(1+B9818)^7</f>
        <v>-1965.567847</v>
      </c>
    </row>
    <row r="9819" ht="14.25" customHeight="1">
      <c r="A9819" s="7">
        <v>9806.0</v>
      </c>
      <c r="B9819" s="14">
        <f t="shared" si="1"/>
        <v>0.1181738549</v>
      </c>
      <c r="C9819" s="39">
        <f t="array" ref="C9819">NPV(B9819,FCFF!$C$9:$I$9)+FCFF!$B$9+FCFF!$I$9*(1+Inputs!$B$6)/(B9819-Inputs!$B$6)/(1+B9819)^7</f>
        <v>-1790.283463</v>
      </c>
    </row>
    <row r="9820" ht="14.25" customHeight="1">
      <c r="A9820" s="7">
        <v>9807.0</v>
      </c>
      <c r="B9820" s="14">
        <f t="shared" si="1"/>
        <v>0.1221786156</v>
      </c>
      <c r="C9820" s="39">
        <f t="array" ref="C9820">NPV(B9820,FCFF!$C$9:$I$9)+FCFF!$B$9+FCFF!$I$9*(1+Inputs!$B$6)/(B9820-Inputs!$B$6)/(1+B9820)^7</f>
        <v>-1857.550378</v>
      </c>
    </row>
    <row r="9821" ht="14.25" customHeight="1">
      <c r="A9821" s="7">
        <v>9808.0</v>
      </c>
      <c r="B9821" s="14">
        <f t="shared" si="1"/>
        <v>0.1111084094</v>
      </c>
      <c r="C9821" s="39">
        <f t="array" ref="C9821">NPV(B9821,FCFF!$C$9:$I$9)+FCFF!$B$9+FCFF!$I$9*(1+Inputs!$B$6)/(B9821-Inputs!$B$6)/(1+B9821)^7</f>
        <v>-1654.519757</v>
      </c>
    </row>
    <row r="9822" ht="14.25" customHeight="1">
      <c r="A9822" s="7">
        <v>9809.0</v>
      </c>
      <c r="B9822" s="14">
        <f t="shared" si="1"/>
        <v>0.1071733701</v>
      </c>
      <c r="C9822" s="39">
        <f t="array" ref="C9822">NPV(B9822,FCFF!$C$9:$I$9)+FCFF!$B$9+FCFF!$I$9*(1+Inputs!$B$6)/(B9822-Inputs!$B$6)/(1+B9822)^7</f>
        <v>-1567.693592</v>
      </c>
    </row>
    <row r="9823" ht="14.25" customHeight="1">
      <c r="A9823" s="7">
        <v>9810.0</v>
      </c>
      <c r="B9823" s="14">
        <f t="shared" si="1"/>
        <v>0.1076179277</v>
      </c>
      <c r="C9823" s="39">
        <f t="array" ref="C9823">NPV(B9823,FCFF!$C$9:$I$9)+FCFF!$B$9+FCFF!$I$9*(1+Inputs!$B$6)/(B9823-Inputs!$B$6)/(1+B9823)^7</f>
        <v>-1577.956816</v>
      </c>
    </row>
    <row r="9824" ht="14.25" customHeight="1">
      <c r="A9824" s="7">
        <v>9811.0</v>
      </c>
      <c r="B9824" s="14">
        <f t="shared" si="1"/>
        <v>0.1045433313</v>
      </c>
      <c r="C9824" s="39">
        <f t="array" ref="C9824">NPV(B9824,FCFF!$C$9:$I$9)+FCFF!$B$9+FCFF!$I$9*(1+Inputs!$B$6)/(B9824-Inputs!$B$6)/(1+B9824)^7</f>
        <v>-1504.411043</v>
      </c>
    </row>
    <row r="9825" ht="14.25" customHeight="1">
      <c r="A9825" s="7">
        <v>9812.0</v>
      </c>
      <c r="B9825" s="14">
        <f t="shared" si="1"/>
        <v>0.1076295754</v>
      </c>
      <c r="C9825" s="39">
        <f t="array" ref="C9825">NPV(B9825,FCFF!$C$9:$I$9)+FCFF!$B$9+FCFF!$I$9*(1+Inputs!$B$6)/(B9825-Inputs!$B$6)/(1+B9825)^7</f>
        <v>-1578.224097</v>
      </c>
    </row>
    <row r="9826" ht="14.25" customHeight="1">
      <c r="A9826" s="7">
        <v>9813.0</v>
      </c>
      <c r="B9826" s="14">
        <f t="shared" si="1"/>
        <v>0.1064287224</v>
      </c>
      <c r="C9826" s="39">
        <f t="array" ref="C9826">NPV(B9826,FCFF!$C$9:$I$9)+FCFF!$B$9+FCFF!$I$9*(1+Inputs!$B$6)/(B9826-Inputs!$B$6)/(1+B9826)^7</f>
        <v>-1550.22812</v>
      </c>
    </row>
    <row r="9827" ht="14.25" customHeight="1">
      <c r="A9827" s="7">
        <v>9814.0</v>
      </c>
      <c r="B9827" s="14">
        <f t="shared" si="1"/>
        <v>0.1072626115</v>
      </c>
      <c r="C9827" s="39">
        <f t="array" ref="C9827">NPV(B9827,FCFF!$C$9:$I$9)+FCFF!$B$9+FCFF!$I$9*(1+Inputs!$B$6)/(B9827-Inputs!$B$6)/(1+B9827)^7</f>
        <v>-1569.763571</v>
      </c>
    </row>
    <row r="9828" ht="14.25" customHeight="1">
      <c r="A9828" s="7">
        <v>9815.0</v>
      </c>
      <c r="B9828" s="14">
        <f t="shared" si="1"/>
        <v>0.1306471482</v>
      </c>
      <c r="C9828" s="39">
        <f t="array" ref="C9828">NPV(B9828,FCFF!$C$9:$I$9)+FCFF!$B$9+FCFF!$I$9*(1+Inputs!$B$6)/(B9828-Inputs!$B$6)/(1+B9828)^7</f>
        <v>-1981.057405</v>
      </c>
    </row>
    <row r="9829" ht="14.25" customHeight="1">
      <c r="A9829" s="7">
        <v>9816.0</v>
      </c>
      <c r="B9829" s="14">
        <f t="shared" si="1"/>
        <v>0.1235935745</v>
      </c>
      <c r="C9829" s="39">
        <f t="array" ref="C9829">NPV(B9829,FCFF!$C$9:$I$9)+FCFF!$B$9+FCFF!$I$9*(1+Inputs!$B$6)/(B9829-Inputs!$B$6)/(1+B9829)^7</f>
        <v>-1879.857512</v>
      </c>
    </row>
    <row r="9830" ht="14.25" customHeight="1">
      <c r="A9830" s="7">
        <v>9817.0</v>
      </c>
      <c r="B9830" s="14">
        <f t="shared" si="1"/>
        <v>0.1210779487</v>
      </c>
      <c r="C9830" s="39">
        <f t="array" ref="C9830">NPV(B9830,FCFF!$C$9:$I$9)+FCFF!$B$9+FCFF!$I$9*(1+Inputs!$B$6)/(B9830-Inputs!$B$6)/(1+B9830)^7</f>
        <v>-1839.687369</v>
      </c>
    </row>
    <row r="9831" ht="14.25" customHeight="1">
      <c r="A9831" s="7">
        <v>9818.0</v>
      </c>
      <c r="B9831" s="14">
        <f t="shared" si="1"/>
        <v>0.1020126065</v>
      </c>
      <c r="C9831" s="39">
        <f t="array" ref="C9831">NPV(B9831,FCFF!$C$9:$I$9)+FCFF!$B$9+FCFF!$I$9*(1+Inputs!$B$6)/(B9831-Inputs!$B$6)/(1+B9831)^7</f>
        <v>-1439.070818</v>
      </c>
    </row>
    <row r="9832" ht="14.25" customHeight="1">
      <c r="A9832" s="7">
        <v>9819.0</v>
      </c>
      <c r="B9832" s="14">
        <f t="shared" si="1"/>
        <v>0.1121996761</v>
      </c>
      <c r="C9832" s="39">
        <f t="array" ref="C9832">NPV(B9832,FCFF!$C$9:$I$9)+FCFF!$B$9+FCFF!$I$9*(1+Inputs!$B$6)/(B9832-Inputs!$B$6)/(1+B9832)^7</f>
        <v>-1677.078695</v>
      </c>
    </row>
    <row r="9833" ht="14.25" customHeight="1">
      <c r="A9833" s="7">
        <v>9820.0</v>
      </c>
      <c r="B9833" s="14">
        <f t="shared" si="1"/>
        <v>0.1003848476</v>
      </c>
      <c r="C9833" s="39">
        <f t="array" ref="C9833">NPV(B9833,FCFF!$C$9:$I$9)+FCFF!$B$9+FCFF!$I$9*(1+Inputs!$B$6)/(B9833-Inputs!$B$6)/(1+B9833)^7</f>
        <v>-1394.529024</v>
      </c>
    </row>
    <row r="9834" ht="14.25" customHeight="1">
      <c r="A9834" s="7">
        <v>9821.0</v>
      </c>
      <c r="B9834" s="14">
        <f t="shared" si="1"/>
        <v>0.09786381191</v>
      </c>
      <c r="C9834" s="39">
        <f t="array" ref="C9834">NPV(B9834,FCFF!$C$9:$I$9)+FCFF!$B$9+FCFF!$I$9*(1+Inputs!$B$6)/(B9834-Inputs!$B$6)/(1+B9834)^7</f>
        <v>-1321.297282</v>
      </c>
    </row>
    <row r="9835" ht="14.25" customHeight="1">
      <c r="A9835" s="7">
        <v>9822.0</v>
      </c>
      <c r="B9835" s="14">
        <f t="shared" si="1"/>
        <v>0.1115631025</v>
      </c>
      <c r="C9835" s="39">
        <f t="array" ref="C9835">NPV(B9835,FCFF!$C$9:$I$9)+FCFF!$B$9+FCFF!$I$9*(1+Inputs!$B$6)/(B9835-Inputs!$B$6)/(1+B9835)^7</f>
        <v>-1663.995357</v>
      </c>
    </row>
    <row r="9836" ht="14.25" customHeight="1">
      <c r="A9836" s="7">
        <v>9823.0</v>
      </c>
      <c r="B9836" s="14">
        <f t="shared" si="1"/>
        <v>0.1049831135</v>
      </c>
      <c r="C9836" s="39">
        <f t="array" ref="C9836">NPV(B9836,FCFF!$C$9:$I$9)+FCFF!$B$9+FCFF!$I$9*(1+Inputs!$B$6)/(B9836-Inputs!$B$6)/(1+B9836)^7</f>
        <v>-1515.308511</v>
      </c>
    </row>
    <row r="9837" ht="14.25" customHeight="1">
      <c r="A9837" s="7">
        <v>9824.0</v>
      </c>
      <c r="B9837" s="14">
        <f t="shared" si="1"/>
        <v>0.1321269004</v>
      </c>
      <c r="C9837" s="39">
        <f t="array" ref="C9837">NPV(B9837,FCFF!$C$9:$I$9)+FCFF!$B$9+FCFF!$I$9*(1+Inputs!$B$6)/(B9837-Inputs!$B$6)/(1+B9837)^7</f>
        <v>-2000.374156</v>
      </c>
    </row>
    <row r="9838" ht="14.25" customHeight="1">
      <c r="A9838" s="7">
        <v>9825.0</v>
      </c>
      <c r="B9838" s="14">
        <f t="shared" si="1"/>
        <v>0.1192993232</v>
      </c>
      <c r="C9838" s="39">
        <f t="array" ref="C9838">NPV(B9838,FCFF!$C$9:$I$9)+FCFF!$B$9+FCFF!$I$9*(1+Inputs!$B$6)/(B9838-Inputs!$B$6)/(1+B9838)^7</f>
        <v>-1809.833051</v>
      </c>
    </row>
    <row r="9839" ht="14.25" customHeight="1">
      <c r="A9839" s="7">
        <v>9826.0</v>
      </c>
      <c r="B9839" s="14">
        <f t="shared" si="1"/>
        <v>0.111368839</v>
      </c>
      <c r="C9839" s="39">
        <f t="array" ref="C9839">NPV(B9839,FCFF!$C$9:$I$9)+FCFF!$B$9+FCFF!$I$9*(1+Inputs!$B$6)/(B9839-Inputs!$B$6)/(1+B9839)^7</f>
        <v>-1659.96042</v>
      </c>
    </row>
    <row r="9840" ht="14.25" customHeight="1">
      <c r="A9840" s="7">
        <v>9827.0</v>
      </c>
      <c r="B9840" s="14">
        <f t="shared" si="1"/>
        <v>0.1089052548</v>
      </c>
      <c r="C9840" s="39">
        <f t="array" ref="C9840">NPV(B9840,FCFF!$C$9:$I$9)+FCFF!$B$9+FCFF!$I$9*(1+Inputs!$B$6)/(B9840-Inputs!$B$6)/(1+B9840)^7</f>
        <v>-1607.006702</v>
      </c>
    </row>
    <row r="9841" ht="14.25" customHeight="1">
      <c r="A9841" s="7">
        <v>9828.0</v>
      </c>
      <c r="B9841" s="14">
        <f t="shared" si="1"/>
        <v>0.1244570872</v>
      </c>
      <c r="C9841" s="39">
        <f t="array" ref="C9841">NPV(B9841,FCFF!$C$9:$I$9)+FCFF!$B$9+FCFF!$I$9*(1+Inputs!$B$6)/(B9841-Inputs!$B$6)/(1+B9841)^7</f>
        <v>-1893.12062</v>
      </c>
    </row>
    <row r="9842" ht="14.25" customHeight="1">
      <c r="A9842" s="7">
        <v>9829.0</v>
      </c>
      <c r="B9842" s="14">
        <f t="shared" si="1"/>
        <v>0.09598830618</v>
      </c>
      <c r="C9842" s="39">
        <f t="array" ref="C9842">NPV(B9842,FCFF!$C$9:$I$9)+FCFF!$B$9+FCFF!$I$9*(1+Inputs!$B$6)/(B9842-Inputs!$B$6)/(1+B9842)^7</f>
        <v>-1263.182244</v>
      </c>
    </row>
    <row r="9843" ht="14.25" customHeight="1">
      <c r="A9843" s="7">
        <v>9830.0</v>
      </c>
      <c r="B9843" s="14">
        <f t="shared" si="1"/>
        <v>0.1044434394</v>
      </c>
      <c r="C9843" s="39">
        <f t="array" ref="C9843">NPV(B9843,FCFF!$C$9:$I$9)+FCFF!$B$9+FCFF!$I$9*(1+Inputs!$B$6)/(B9843-Inputs!$B$6)/(1+B9843)^7</f>
        <v>-1501.917516</v>
      </c>
    </row>
    <row r="9844" ht="14.25" customHeight="1">
      <c r="A9844" s="7">
        <v>9831.0</v>
      </c>
      <c r="B9844" s="14">
        <f t="shared" si="1"/>
        <v>0.1107190138</v>
      </c>
      <c r="C9844" s="39">
        <f t="array" ref="C9844">NPV(B9844,FCFF!$C$9:$I$9)+FCFF!$B$9+FCFF!$I$9*(1+Inputs!$B$6)/(B9844-Inputs!$B$6)/(1+B9844)^7</f>
        <v>-1646.317028</v>
      </c>
    </row>
    <row r="9845" ht="14.25" customHeight="1">
      <c r="A9845" s="7">
        <v>9832.0</v>
      </c>
      <c r="B9845" s="14">
        <f t="shared" si="1"/>
        <v>0.1195546539</v>
      </c>
      <c r="C9845" s="39">
        <f t="array" ref="C9845">NPV(B9845,FCFF!$C$9:$I$9)+FCFF!$B$9+FCFF!$I$9*(1+Inputs!$B$6)/(B9845-Inputs!$B$6)/(1+B9845)^7</f>
        <v>-1814.19599</v>
      </c>
    </row>
    <row r="9846" ht="14.25" customHeight="1">
      <c r="A9846" s="7">
        <v>9833.0</v>
      </c>
      <c r="B9846" s="14">
        <f t="shared" si="1"/>
        <v>0.1038372</v>
      </c>
      <c r="C9846" s="39">
        <f t="array" ref="C9846">NPV(B9846,FCFF!$C$9:$I$9)+FCFF!$B$9+FCFF!$I$9*(1+Inputs!$B$6)/(B9846-Inputs!$B$6)/(1+B9846)^7</f>
        <v>-1486.637106</v>
      </c>
    </row>
    <row r="9847" ht="14.25" customHeight="1">
      <c r="A9847" s="7">
        <v>9834.0</v>
      </c>
      <c r="B9847" s="14">
        <f t="shared" si="1"/>
        <v>0.1083212875</v>
      </c>
      <c r="C9847" s="39">
        <f t="array" ref="C9847">NPV(B9847,FCFF!$C$9:$I$9)+FCFF!$B$9+FCFF!$I$9*(1+Inputs!$B$6)/(B9847-Inputs!$B$6)/(1+B9847)^7</f>
        <v>-1593.950547</v>
      </c>
    </row>
    <row r="9848" ht="14.25" customHeight="1">
      <c r="A9848" s="7">
        <v>9835.0</v>
      </c>
      <c r="B9848" s="14">
        <f t="shared" si="1"/>
        <v>0.1149223765</v>
      </c>
      <c r="C9848" s="39">
        <f t="array" ref="C9848">NPV(B9848,FCFF!$C$9:$I$9)+FCFF!$B$9+FCFF!$I$9*(1+Inputs!$B$6)/(B9848-Inputs!$B$6)/(1+B9848)^7</f>
        <v>-1730.737321</v>
      </c>
    </row>
    <row r="9849" ht="14.25" customHeight="1">
      <c r="A9849" s="7">
        <v>9836.0</v>
      </c>
      <c r="B9849" s="14">
        <f t="shared" si="1"/>
        <v>0.1220081908</v>
      </c>
      <c r="C9849" s="39">
        <f t="array" ref="C9849">NPV(B9849,FCFF!$C$9:$I$9)+FCFF!$B$9+FCFF!$I$9*(1+Inputs!$B$6)/(B9849-Inputs!$B$6)/(1+B9849)^7</f>
        <v>-1854.814241</v>
      </c>
    </row>
    <row r="9850" ht="14.25" customHeight="1">
      <c r="A9850" s="7">
        <v>9837.0</v>
      </c>
      <c r="B9850" s="14">
        <f t="shared" si="1"/>
        <v>0.09833218241</v>
      </c>
      <c r="C9850" s="39">
        <f t="array" ref="C9850">NPV(B9850,FCFF!$C$9:$I$9)+FCFF!$B$9+FCFF!$I$9*(1+Inputs!$B$6)/(B9850-Inputs!$B$6)/(1+B9850)^7</f>
        <v>-1335.312762</v>
      </c>
    </row>
    <row r="9851" ht="14.25" customHeight="1">
      <c r="A9851" s="7">
        <v>9838.0</v>
      </c>
      <c r="B9851" s="14">
        <f t="shared" si="1"/>
        <v>0.1010845318</v>
      </c>
      <c r="C9851" s="39">
        <f t="array" ref="C9851">NPV(B9851,FCFF!$C$9:$I$9)+FCFF!$B$9+FCFF!$I$9*(1+Inputs!$B$6)/(B9851-Inputs!$B$6)/(1+B9851)^7</f>
        <v>-1413.92746</v>
      </c>
    </row>
    <row r="9852" ht="14.25" customHeight="1">
      <c r="A9852" s="7">
        <v>9839.0</v>
      </c>
      <c r="B9852" s="14">
        <f t="shared" si="1"/>
        <v>0.1232355046</v>
      </c>
      <c r="C9852" s="39">
        <f t="array" ref="C9852">NPV(B9852,FCFF!$C$9:$I$9)+FCFF!$B$9+FCFF!$I$9*(1+Inputs!$B$6)/(B9852-Inputs!$B$6)/(1+B9852)^7</f>
        <v>-1874.280708</v>
      </c>
    </row>
    <row r="9853" ht="14.25" customHeight="1">
      <c r="A9853" s="7">
        <v>9840.0</v>
      </c>
      <c r="B9853" s="14">
        <f t="shared" si="1"/>
        <v>0.1228040111</v>
      </c>
      <c r="C9853" s="39">
        <f t="array" ref="C9853">NPV(B9853,FCFF!$C$9:$I$9)+FCFF!$B$9+FCFF!$I$9*(1+Inputs!$B$6)/(B9853-Inputs!$B$6)/(1+B9853)^7</f>
        <v>-1867.499321</v>
      </c>
    </row>
    <row r="9854" ht="14.25" customHeight="1">
      <c r="A9854" s="7">
        <v>9841.0</v>
      </c>
      <c r="B9854" s="14">
        <f t="shared" si="1"/>
        <v>0.1010634885</v>
      </c>
      <c r="C9854" s="39">
        <f t="array" ref="C9854">NPV(B9854,FCFF!$C$9:$I$9)+FCFF!$B$9+FCFF!$I$9*(1+Inputs!$B$6)/(B9854-Inputs!$B$6)/(1+B9854)^7</f>
        <v>-1413.349662</v>
      </c>
    </row>
    <row r="9855" ht="14.25" customHeight="1">
      <c r="A9855" s="7">
        <v>9842.0</v>
      </c>
      <c r="B9855" s="14">
        <f t="shared" si="1"/>
        <v>0.1061781314</v>
      </c>
      <c r="C9855" s="39">
        <f t="array" ref="C9855">NPV(B9855,FCFF!$C$9:$I$9)+FCFF!$B$9+FCFF!$I$9*(1+Inputs!$B$6)/(B9855-Inputs!$B$6)/(1+B9855)^7</f>
        <v>-1544.271961</v>
      </c>
    </row>
    <row r="9856" ht="14.25" customHeight="1">
      <c r="A9856" s="7">
        <v>9843.0</v>
      </c>
      <c r="B9856" s="14">
        <f t="shared" si="1"/>
        <v>0.1041845391</v>
      </c>
      <c r="C9856" s="39">
        <f t="array" ref="C9856">NPV(B9856,FCFF!$C$9:$I$9)+FCFF!$B$9+FCFF!$I$9*(1+Inputs!$B$6)/(B9856-Inputs!$B$6)/(1+B9856)^7</f>
        <v>-1495.422958</v>
      </c>
    </row>
    <row r="9857" ht="14.25" customHeight="1">
      <c r="A9857" s="7">
        <v>9844.0</v>
      </c>
      <c r="B9857" s="14">
        <f t="shared" si="1"/>
        <v>0.1176622547</v>
      </c>
      <c r="C9857" s="39">
        <f t="array" ref="C9857">NPV(B9857,FCFF!$C$9:$I$9)+FCFF!$B$9+FCFF!$I$9*(1+Inputs!$B$6)/(B9857-Inputs!$B$6)/(1+B9857)^7</f>
        <v>-1781.221789</v>
      </c>
    </row>
    <row r="9858" ht="14.25" customHeight="1">
      <c r="A9858" s="7">
        <v>9845.0</v>
      </c>
      <c r="B9858" s="14">
        <f t="shared" si="1"/>
        <v>0.1229366317</v>
      </c>
      <c r="C9858" s="39">
        <f t="array" ref="C9858">NPV(B9858,FCFF!$C$9:$I$9)+FCFF!$B$9+FCFF!$I$9*(1+Inputs!$B$6)/(B9858-Inputs!$B$6)/(1+B9858)^7</f>
        <v>-1869.590747</v>
      </c>
    </row>
    <row r="9859" ht="14.25" customHeight="1">
      <c r="A9859" s="7">
        <v>9846.0</v>
      </c>
      <c r="B9859" s="14">
        <f t="shared" si="1"/>
        <v>0.107806138</v>
      </c>
      <c r="C9859" s="39">
        <f t="array" ref="C9859">NPV(B9859,FCFF!$C$9:$I$9)+FCFF!$B$9+FCFF!$I$9*(1+Inputs!$B$6)/(B9859-Inputs!$B$6)/(1+B9859)^7</f>
        <v>-1582.265649</v>
      </c>
    </row>
    <row r="9860" ht="14.25" customHeight="1">
      <c r="A9860" s="7">
        <v>9847.0</v>
      </c>
      <c r="B9860" s="14">
        <f t="shared" si="1"/>
        <v>0.1017044565</v>
      </c>
      <c r="C9860" s="39">
        <f t="array" ref="C9860">NPV(B9860,FCFF!$C$9:$I$9)+FCFF!$B$9+FCFF!$I$9*(1+Inputs!$B$6)/(B9860-Inputs!$B$6)/(1+B9860)^7</f>
        <v>-1430.795382</v>
      </c>
    </row>
    <row r="9861" ht="14.25" customHeight="1">
      <c r="A9861" s="7">
        <v>9848.0</v>
      </c>
      <c r="B9861" s="14">
        <f t="shared" si="1"/>
        <v>0.1311428304</v>
      </c>
      <c r="C9861" s="39">
        <f t="array" ref="C9861">NPV(B9861,FCFF!$C$9:$I$9)+FCFF!$B$9+FCFF!$I$9*(1+Inputs!$B$6)/(B9861-Inputs!$B$6)/(1+B9861)^7</f>
        <v>-1987.596611</v>
      </c>
    </row>
    <row r="9862" ht="14.25" customHeight="1">
      <c r="A9862" s="7">
        <v>9849.0</v>
      </c>
      <c r="B9862" s="14">
        <f t="shared" si="1"/>
        <v>0.104018026</v>
      </c>
      <c r="C9862" s="39">
        <f t="array" ref="C9862">NPV(B9862,FCFF!$C$9:$I$9)+FCFF!$B$9+FCFF!$I$9*(1+Inputs!$B$6)/(B9862-Inputs!$B$6)/(1+B9862)^7</f>
        <v>-1491.221519</v>
      </c>
    </row>
    <row r="9863" ht="14.25" customHeight="1">
      <c r="A9863" s="7">
        <v>9850.0</v>
      </c>
      <c r="B9863" s="14">
        <f t="shared" si="1"/>
        <v>0.09702275689</v>
      </c>
      <c r="C9863" s="39">
        <f t="array" ref="C9863">NPV(B9863,FCFF!$C$9:$I$9)+FCFF!$B$9+FCFF!$I$9*(1+Inputs!$B$6)/(B9863-Inputs!$B$6)/(1+B9863)^7</f>
        <v>-1295.637673</v>
      </c>
    </row>
    <row r="9864" ht="14.25" customHeight="1">
      <c r="A9864" s="7">
        <v>9851.0</v>
      </c>
      <c r="B9864" s="14">
        <f t="shared" si="1"/>
        <v>0.1253061375</v>
      </c>
      <c r="C9864" s="39">
        <f t="array" ref="C9864">NPV(B9864,FCFF!$C$9:$I$9)+FCFF!$B$9+FCFF!$I$9*(1+Inputs!$B$6)/(B9864-Inputs!$B$6)/(1+B9864)^7</f>
        <v>-1905.910902</v>
      </c>
    </row>
    <row r="9865" ht="14.25" customHeight="1">
      <c r="A9865" s="7">
        <v>9852.0</v>
      </c>
      <c r="B9865" s="14">
        <f t="shared" si="1"/>
        <v>0.1093886398</v>
      </c>
      <c r="C9865" s="39">
        <f t="array" ref="C9865">NPV(B9865,FCFF!$C$9:$I$9)+FCFF!$B$9+FCFF!$I$9*(1+Inputs!$B$6)/(B9865-Inputs!$B$6)/(1+B9865)^7</f>
        <v>-1617.664471</v>
      </c>
    </row>
    <row r="9866" ht="14.25" customHeight="1">
      <c r="A9866" s="7">
        <v>9853.0</v>
      </c>
      <c r="B9866" s="14">
        <f t="shared" si="1"/>
        <v>0.1317203423</v>
      </c>
      <c r="C9866" s="39">
        <f t="array" ref="C9866">NPV(B9866,FCFF!$C$9:$I$9)+FCFF!$B$9+FCFF!$I$9*(1+Inputs!$B$6)/(B9866-Inputs!$B$6)/(1+B9866)^7</f>
        <v>-1995.127905</v>
      </c>
    </row>
    <row r="9867" ht="14.25" customHeight="1">
      <c r="A9867" s="7">
        <v>9854.0</v>
      </c>
      <c r="B9867" s="14">
        <f t="shared" si="1"/>
        <v>0.09320201044</v>
      </c>
      <c r="C9867" s="39">
        <f t="array" ref="C9867">NPV(B9867,FCFF!$C$9:$I$9)+FCFF!$B$9+FCFF!$I$9*(1+Inputs!$B$6)/(B9867-Inputs!$B$6)/(1+B9867)^7</f>
        <v>-1170.510448</v>
      </c>
    </row>
    <row r="9868" ht="14.25" customHeight="1">
      <c r="A9868" s="7">
        <v>9855.0</v>
      </c>
      <c r="B9868" s="14">
        <f t="shared" si="1"/>
        <v>0.1042356326</v>
      </c>
      <c r="C9868" s="39">
        <f t="array" ref="C9868">NPV(B9868,FCFF!$C$9:$I$9)+FCFF!$B$9+FCFF!$I$9*(1+Inputs!$B$6)/(B9868-Inputs!$B$6)/(1+B9868)^7</f>
        <v>-1496.708301</v>
      </c>
    </row>
    <row r="9869" ht="14.25" customHeight="1">
      <c r="A9869" s="7">
        <v>9856.0</v>
      </c>
      <c r="B9869" s="14">
        <f t="shared" si="1"/>
        <v>0.1120688175</v>
      </c>
      <c r="C9869" s="39">
        <f t="array" ref="C9869">NPV(B9869,FCFF!$C$9:$I$9)+FCFF!$B$9+FCFF!$I$9*(1+Inputs!$B$6)/(B9869-Inputs!$B$6)/(1+B9869)^7</f>
        <v>-1674.40639</v>
      </c>
    </row>
    <row r="9870" ht="14.25" customHeight="1">
      <c r="A9870" s="7">
        <v>9857.0</v>
      </c>
      <c r="B9870" s="14">
        <f t="shared" si="1"/>
        <v>0.1070407249</v>
      </c>
      <c r="C9870" s="39">
        <f t="array" ref="C9870">NPV(B9870,FCFF!$C$9:$I$9)+FCFF!$B$9+FCFF!$I$9*(1+Inputs!$B$6)/(B9870-Inputs!$B$6)/(1+B9870)^7</f>
        <v>-1564.607762</v>
      </c>
    </row>
    <row r="9871" ht="14.25" customHeight="1">
      <c r="A9871" s="7">
        <v>9858.0</v>
      </c>
      <c r="B9871" s="14">
        <f t="shared" si="1"/>
        <v>0.1063901619</v>
      </c>
      <c r="C9871" s="39">
        <f t="array" ref="C9871">NPV(B9871,FCFF!$C$9:$I$9)+FCFF!$B$9+FCFF!$I$9*(1+Inputs!$B$6)/(B9871-Inputs!$B$6)/(1+B9871)^7</f>
        <v>-1549.314199</v>
      </c>
    </row>
    <row r="9872" ht="14.25" customHeight="1">
      <c r="A9872" s="7">
        <v>9859.0</v>
      </c>
      <c r="B9872" s="14">
        <f t="shared" si="1"/>
        <v>0.0941864156</v>
      </c>
      <c r="C9872" s="39">
        <f t="array" ref="C9872">NPV(B9872,FCFF!$C$9:$I$9)+FCFF!$B$9+FCFF!$I$9*(1+Inputs!$B$6)/(B9872-Inputs!$B$6)/(1+B9872)^7</f>
        <v>-1204.163078</v>
      </c>
    </row>
    <row r="9873" ht="14.25" customHeight="1">
      <c r="A9873" s="7">
        <v>9860.0</v>
      </c>
      <c r="B9873" s="14">
        <f t="shared" si="1"/>
        <v>0.1180300517</v>
      </c>
      <c r="C9873" s="39">
        <f t="array" ref="C9873">NPV(B9873,FCFF!$C$9:$I$9)+FCFF!$B$9+FCFF!$I$9*(1+Inputs!$B$6)/(B9873-Inputs!$B$6)/(1+B9873)^7</f>
        <v>-1787.747572</v>
      </c>
    </row>
    <row r="9874" ht="14.25" customHeight="1">
      <c r="A9874" s="7">
        <v>9861.0</v>
      </c>
      <c r="B9874" s="14">
        <f t="shared" si="1"/>
        <v>0.1028228255</v>
      </c>
      <c r="C9874" s="39">
        <f t="array" ref="C9874">NPV(B9874,FCFF!$C$9:$I$9)+FCFF!$B$9+FCFF!$I$9*(1+Inputs!$B$6)/(B9874-Inputs!$B$6)/(1+B9874)^7</f>
        <v>-1460.491215</v>
      </c>
    </row>
    <row r="9875" ht="14.25" customHeight="1">
      <c r="A9875" s="7">
        <v>9862.0</v>
      </c>
      <c r="B9875" s="14">
        <f t="shared" si="1"/>
        <v>0.1031153641</v>
      </c>
      <c r="C9875" s="39">
        <f t="array" ref="C9875">NPV(B9875,FCFF!$C$9:$I$9)+FCFF!$B$9+FCFF!$I$9*(1+Inputs!$B$6)/(B9875-Inputs!$B$6)/(1+B9875)^7</f>
        <v>-1468.107078</v>
      </c>
    </row>
    <row r="9876" ht="14.25" customHeight="1">
      <c r="A9876" s="7">
        <v>9863.0</v>
      </c>
      <c r="B9876" s="14">
        <f t="shared" si="1"/>
        <v>0.09750822474</v>
      </c>
      <c r="C9876" s="39">
        <f t="array" ref="C9876">NPV(B9876,FCFF!$C$9:$I$9)+FCFF!$B$9+FCFF!$I$9*(1+Inputs!$B$6)/(B9876-Inputs!$B$6)/(1+B9876)^7</f>
        <v>-1310.526728</v>
      </c>
    </row>
    <row r="9877" ht="14.25" customHeight="1">
      <c r="A9877" s="7">
        <v>9864.0</v>
      </c>
      <c r="B9877" s="14">
        <f t="shared" si="1"/>
        <v>0.119359344</v>
      </c>
      <c r="C9877" s="39">
        <f t="array" ref="C9877">NPV(B9877,FCFF!$C$9:$I$9)+FCFF!$B$9+FCFF!$I$9*(1+Inputs!$B$6)/(B9877-Inputs!$B$6)/(1+B9877)^7</f>
        <v>-1810.861021</v>
      </c>
    </row>
    <row r="9878" ht="14.25" customHeight="1">
      <c r="A9878" s="7">
        <v>9865.0</v>
      </c>
      <c r="B9878" s="14">
        <f t="shared" si="1"/>
        <v>0.0985213984</v>
      </c>
      <c r="C9878" s="39">
        <f t="array" ref="C9878">NPV(B9878,FCFF!$C$9:$I$9)+FCFF!$B$9+FCFF!$I$9*(1+Inputs!$B$6)/(B9878-Inputs!$B$6)/(1+B9878)^7</f>
        <v>-1340.920409</v>
      </c>
    </row>
    <row r="9879" ht="14.25" customHeight="1">
      <c r="A9879" s="7">
        <v>9866.0</v>
      </c>
      <c r="B9879" s="14">
        <f t="shared" si="1"/>
        <v>0.1115493035</v>
      </c>
      <c r="C9879" s="39">
        <f t="array" ref="C9879">NPV(B9879,FCFF!$C$9:$I$9)+FCFF!$B$9+FCFF!$I$9*(1+Inputs!$B$6)/(B9879-Inputs!$B$6)/(1+B9879)^7</f>
        <v>-1663.709405</v>
      </c>
    </row>
    <row r="9880" ht="14.25" customHeight="1">
      <c r="A9880" s="7">
        <v>9867.0</v>
      </c>
      <c r="B9880" s="14">
        <f t="shared" si="1"/>
        <v>0.09648890783</v>
      </c>
      <c r="C9880" s="39">
        <f t="array" ref="C9880">NPV(B9880,FCFF!$C$9:$I$9)+FCFF!$B$9+FCFF!$I$9*(1+Inputs!$B$6)/(B9880-Inputs!$B$6)/(1+B9880)^7</f>
        <v>-1279.01415</v>
      </c>
    </row>
    <row r="9881" ht="14.25" customHeight="1">
      <c r="A9881" s="7">
        <v>9868.0</v>
      </c>
      <c r="B9881" s="14">
        <f t="shared" si="1"/>
        <v>0.09500690066</v>
      </c>
      <c r="C9881" s="39">
        <f t="array" ref="C9881">NPV(B9881,FCFF!$C$9:$I$9)+FCFF!$B$9+FCFF!$I$9*(1+Inputs!$B$6)/(B9881-Inputs!$B$6)/(1+B9881)^7</f>
        <v>-1231.44027</v>
      </c>
    </row>
    <row r="9882" ht="14.25" customHeight="1">
      <c r="A9882" s="7">
        <v>9869.0</v>
      </c>
      <c r="B9882" s="14">
        <f t="shared" si="1"/>
        <v>0.1027060504</v>
      </c>
      <c r="C9882" s="39">
        <f t="array" ref="C9882">NPV(B9882,FCFF!$C$9:$I$9)+FCFF!$B$9+FCFF!$I$9*(1+Inputs!$B$6)/(B9882-Inputs!$B$6)/(1+B9882)^7</f>
        <v>-1457.433772</v>
      </c>
    </row>
    <row r="9883" ht="14.25" customHeight="1">
      <c r="A9883" s="7">
        <v>9870.0</v>
      </c>
      <c r="B9883" s="14">
        <f t="shared" si="1"/>
        <v>0.1314859295</v>
      </c>
      <c r="C9883" s="39">
        <f t="array" ref="C9883">NPV(B9883,FCFF!$C$9:$I$9)+FCFF!$B$9+FCFF!$I$9*(1+Inputs!$B$6)/(B9883-Inputs!$B$6)/(1+B9883)^7</f>
        <v>-1992.082198</v>
      </c>
    </row>
    <row r="9884" ht="14.25" customHeight="1">
      <c r="A9884" s="7">
        <v>9871.0</v>
      </c>
      <c r="B9884" s="14">
        <f t="shared" si="1"/>
        <v>0.124168507</v>
      </c>
      <c r="C9884" s="39">
        <f t="array" ref="C9884">NPV(B9884,FCFF!$C$9:$I$9)+FCFF!$B$9+FCFF!$I$9*(1+Inputs!$B$6)/(B9884-Inputs!$B$6)/(1+B9884)^7</f>
        <v>-1888.717119</v>
      </c>
    </row>
    <row r="9885" ht="14.25" customHeight="1">
      <c r="A9885" s="7">
        <v>9872.0</v>
      </c>
      <c r="B9885" s="14">
        <f t="shared" si="1"/>
        <v>0.1278131472</v>
      </c>
      <c r="C9885" s="39">
        <f t="array" ref="C9885">NPV(B9885,FCFF!$C$9:$I$9)+FCFF!$B$9+FCFF!$I$9*(1+Inputs!$B$6)/(B9885-Inputs!$B$6)/(1+B9885)^7</f>
        <v>-1942.28722</v>
      </c>
    </row>
    <row r="9886" ht="14.25" customHeight="1">
      <c r="A9886" s="7">
        <v>9873.0</v>
      </c>
      <c r="B9886" s="14">
        <f t="shared" si="1"/>
        <v>0.1275485094</v>
      </c>
      <c r="C9886" s="39">
        <f t="array" ref="C9886">NPV(B9886,FCFF!$C$9:$I$9)+FCFF!$B$9+FCFF!$I$9*(1+Inputs!$B$6)/(B9886-Inputs!$B$6)/(1+B9886)^7</f>
        <v>-1938.542374</v>
      </c>
    </row>
    <row r="9887" ht="14.25" customHeight="1">
      <c r="A9887" s="7">
        <v>9874.0</v>
      </c>
      <c r="B9887" s="14">
        <f t="shared" si="1"/>
        <v>0.1004226695</v>
      </c>
      <c r="C9887" s="39">
        <f t="array" ref="C9887">NPV(B9887,FCFF!$C$9:$I$9)+FCFF!$B$9+FCFF!$I$9*(1+Inputs!$B$6)/(B9887-Inputs!$B$6)/(1+B9887)^7</f>
        <v>-1395.587556</v>
      </c>
    </row>
    <row r="9888" ht="14.25" customHeight="1">
      <c r="A9888" s="7">
        <v>9875.0</v>
      </c>
      <c r="B9888" s="14">
        <f t="shared" si="1"/>
        <v>0.1282776112</v>
      </c>
      <c r="C9888" s="39">
        <f t="array" ref="C9888">NPV(B9888,FCFF!$C$9:$I$9)+FCFF!$B$9+FCFF!$I$9*(1+Inputs!$B$6)/(B9888-Inputs!$B$6)/(1+B9888)^7</f>
        <v>-1948.807151</v>
      </c>
    </row>
    <row r="9889" ht="14.25" customHeight="1">
      <c r="A9889" s="7">
        <v>9876.0</v>
      </c>
      <c r="B9889" s="14">
        <f t="shared" si="1"/>
        <v>0.1177291673</v>
      </c>
      <c r="C9889" s="39">
        <f t="array" ref="C9889">NPV(B9889,FCFF!$C$9:$I$9)+FCFF!$B$9+FCFF!$I$9*(1+Inputs!$B$6)/(B9889-Inputs!$B$6)/(1+B9889)^7</f>
        <v>-1782.413301</v>
      </c>
    </row>
    <row r="9890" ht="14.25" customHeight="1">
      <c r="A9890" s="7">
        <v>9877.0</v>
      </c>
      <c r="B9890" s="14">
        <f t="shared" si="1"/>
        <v>0.09879562437</v>
      </c>
      <c r="C9890" s="39">
        <f t="array" ref="C9890">NPV(B9890,FCFF!$C$9:$I$9)+FCFF!$B$9+FCFF!$I$9*(1+Inputs!$B$6)/(B9890-Inputs!$B$6)/(1+B9890)^7</f>
        <v>-1348.992537</v>
      </c>
    </row>
    <row r="9891" ht="14.25" customHeight="1">
      <c r="A9891" s="7">
        <v>9878.0</v>
      </c>
      <c r="B9891" s="14">
        <f t="shared" si="1"/>
        <v>0.1290998411</v>
      </c>
      <c r="C9891" s="39">
        <f t="array" ref="C9891">NPV(B9891,FCFF!$C$9:$I$9)+FCFF!$B$9+FCFF!$I$9*(1+Inputs!$B$6)/(B9891-Inputs!$B$6)/(1+B9891)^7</f>
        <v>-1960.187343</v>
      </c>
    </row>
    <row r="9892" ht="14.25" customHeight="1">
      <c r="A9892" s="7">
        <v>9879.0</v>
      </c>
      <c r="B9892" s="14">
        <f t="shared" si="1"/>
        <v>0.1012748477</v>
      </c>
      <c r="C9892" s="39">
        <f t="array" ref="C9892">NPV(B9892,FCFF!$C$9:$I$9)+FCFF!$B$9+FCFF!$I$9*(1+Inputs!$B$6)/(B9892-Inputs!$B$6)/(1+B9892)^7</f>
        <v>-1419.137413</v>
      </c>
    </row>
    <row r="9893" ht="14.25" customHeight="1">
      <c r="A9893" s="7">
        <v>9880.0</v>
      </c>
      <c r="B9893" s="14">
        <f t="shared" si="1"/>
        <v>0.1292151881</v>
      </c>
      <c r="C9893" s="39">
        <f t="array" ref="C9893">NPV(B9893,FCFF!$C$9:$I$9)+FCFF!$B$9+FCFF!$I$9*(1+Inputs!$B$6)/(B9893-Inputs!$B$6)/(1+B9893)^7</f>
        <v>-1961.767497</v>
      </c>
    </row>
    <row r="9894" ht="14.25" customHeight="1">
      <c r="A9894" s="7">
        <v>9881.0</v>
      </c>
      <c r="B9894" s="14">
        <f t="shared" si="1"/>
        <v>0.1302380983</v>
      </c>
      <c r="C9894" s="39">
        <f t="array" ref="C9894">NPV(B9894,FCFF!$C$9:$I$9)+FCFF!$B$9+FCFF!$I$9*(1+Inputs!$B$6)/(B9894-Inputs!$B$6)/(1+B9894)^7</f>
        <v>-1975.608118</v>
      </c>
    </row>
    <row r="9895" ht="14.25" customHeight="1">
      <c r="A9895" s="7">
        <v>9882.0</v>
      </c>
      <c r="B9895" s="14">
        <f t="shared" si="1"/>
        <v>0.1181742939</v>
      </c>
      <c r="C9895" s="39">
        <f t="array" ref="C9895">NPV(B9895,FCFF!$C$9:$I$9)+FCFF!$B$9+FCFF!$I$9*(1+Inputs!$B$6)/(B9895-Inputs!$B$6)/(1+B9895)^7</f>
        <v>-1790.29119</v>
      </c>
    </row>
    <row r="9896" ht="14.25" customHeight="1">
      <c r="A9896" s="7">
        <v>9883.0</v>
      </c>
      <c r="B9896" s="14">
        <f t="shared" si="1"/>
        <v>0.09309115455</v>
      </c>
      <c r="C9896" s="39">
        <f t="array" ref="C9896">NPV(B9896,FCFF!$C$9:$I$9)+FCFF!$B$9+FCFF!$I$9*(1+Inputs!$B$6)/(B9896-Inputs!$B$6)/(1+B9896)^7</f>
        <v>-1166.655689</v>
      </c>
    </row>
    <row r="9897" ht="14.25" customHeight="1">
      <c r="A9897" s="7">
        <v>9884.0</v>
      </c>
      <c r="B9897" s="14">
        <f t="shared" si="1"/>
        <v>0.1122470493</v>
      </c>
      <c r="C9897" s="39">
        <f t="array" ref="C9897">NPV(B9897,FCFF!$C$9:$I$9)+FCFF!$B$9+FCFF!$I$9*(1+Inputs!$B$6)/(B9897-Inputs!$B$6)/(1+B9897)^7</f>
        <v>-1678.043942</v>
      </c>
    </row>
    <row r="9898" ht="14.25" customHeight="1">
      <c r="A9898" s="7">
        <v>9885.0</v>
      </c>
      <c r="B9898" s="14">
        <f t="shared" si="1"/>
        <v>0.1034427761</v>
      </c>
      <c r="C9898" s="39">
        <f t="array" ref="C9898">NPV(B9898,FCFF!$C$9:$I$9)+FCFF!$B$9+FCFF!$I$9*(1+Inputs!$B$6)/(B9898-Inputs!$B$6)/(1+B9898)^7</f>
        <v>-1476.557815</v>
      </c>
    </row>
    <row r="9899" ht="14.25" customHeight="1">
      <c r="A9899" s="7">
        <v>9886.0</v>
      </c>
      <c r="B9899" s="14">
        <f t="shared" si="1"/>
        <v>0.1022736033</v>
      </c>
      <c r="C9899" s="39">
        <f t="array" ref="C9899">NPV(B9899,FCFF!$C$9:$I$9)+FCFF!$B$9+FCFF!$I$9*(1+Inputs!$B$6)/(B9899-Inputs!$B$6)/(1+B9899)^7</f>
        <v>-1446.024102</v>
      </c>
    </row>
    <row r="9900" ht="14.25" customHeight="1">
      <c r="A9900" s="7">
        <v>9887.0</v>
      </c>
      <c r="B9900" s="14">
        <f t="shared" si="1"/>
        <v>0.09307134038</v>
      </c>
      <c r="C9900" s="39">
        <f t="array" ref="C9900">NPV(B9900,FCFF!$C$9:$I$9)+FCFF!$B$9+FCFF!$I$9*(1+Inputs!$B$6)/(B9900-Inputs!$B$6)/(1+B9900)^7</f>
        <v>-1165.965287</v>
      </c>
    </row>
    <row r="9901" ht="14.25" customHeight="1">
      <c r="A9901" s="7">
        <v>9888.0</v>
      </c>
      <c r="B9901" s="14">
        <f t="shared" si="1"/>
        <v>0.1140558911</v>
      </c>
      <c r="C9901" s="39">
        <f t="array" ref="C9901">NPV(B9901,FCFF!$C$9:$I$9)+FCFF!$B$9+FCFF!$I$9*(1+Inputs!$B$6)/(B9901-Inputs!$B$6)/(1+B9901)^7</f>
        <v>-1714.053762</v>
      </c>
    </row>
    <row r="9902" ht="14.25" customHeight="1">
      <c r="A9902" s="7">
        <v>9889.0</v>
      </c>
      <c r="B9902" s="14">
        <f t="shared" si="1"/>
        <v>0.1315241322</v>
      </c>
      <c r="C9902" s="39">
        <f t="array" ref="C9902">NPV(B9902,FCFF!$C$9:$I$9)+FCFF!$B$9+FCFF!$I$9*(1+Inputs!$B$6)/(B9902-Inputs!$B$6)/(1+B9902)^7</f>
        <v>-1992.579607</v>
      </c>
    </row>
    <row r="9903" ht="14.25" customHeight="1">
      <c r="A9903" s="7">
        <v>9890.0</v>
      </c>
      <c r="B9903" s="14">
        <f t="shared" si="1"/>
        <v>0.1184974868</v>
      </c>
      <c r="C9903" s="39">
        <f t="array" ref="C9903">NPV(B9903,FCFF!$C$9:$I$9)+FCFF!$B$9+FCFF!$I$9*(1+Inputs!$B$6)/(B9903-Inputs!$B$6)/(1+B9903)^7</f>
        <v>-1795.958762</v>
      </c>
    </row>
    <row r="9904" ht="14.25" customHeight="1">
      <c r="A9904" s="7">
        <v>9891.0</v>
      </c>
      <c r="B9904" s="14">
        <f t="shared" si="1"/>
        <v>0.1237362</v>
      </c>
      <c r="C9904" s="39">
        <f t="array" ref="C9904">NPV(B9904,FCFF!$C$9:$I$9)+FCFF!$B$9+FCFF!$I$9*(1+Inputs!$B$6)/(B9904-Inputs!$B$6)/(1+B9904)^7</f>
        <v>-1882.066181</v>
      </c>
    </row>
    <row r="9905" ht="14.25" customHeight="1">
      <c r="A9905" s="7">
        <v>9892.0</v>
      </c>
      <c r="B9905" s="14">
        <f t="shared" si="1"/>
        <v>0.1126716231</v>
      </c>
      <c r="C9905" s="39">
        <f t="array" ref="C9905">NPV(B9905,FCFF!$C$9:$I$9)+FCFF!$B$9+FCFF!$I$9*(1+Inputs!$B$6)/(B9905-Inputs!$B$6)/(1+B9905)^7</f>
        <v>-1686.643495</v>
      </c>
    </row>
    <row r="9906" ht="14.25" customHeight="1">
      <c r="A9906" s="7">
        <v>9893.0</v>
      </c>
      <c r="B9906" s="14">
        <f t="shared" si="1"/>
        <v>0.1299883873</v>
      </c>
      <c r="C9906" s="39">
        <f t="array" ref="C9906">NPV(B9906,FCFF!$C$9:$I$9)+FCFF!$B$9+FCFF!$I$9*(1+Inputs!$B$6)/(B9906-Inputs!$B$6)/(1+B9906)^7</f>
        <v>-1972.257707</v>
      </c>
    </row>
    <row r="9907" ht="14.25" customHeight="1">
      <c r="A9907" s="7">
        <v>9894.0</v>
      </c>
      <c r="B9907" s="14">
        <f t="shared" si="1"/>
        <v>0.1035033884</v>
      </c>
      <c r="C9907" s="39">
        <f t="array" ref="C9907">NPV(B9907,FCFF!$C$9:$I$9)+FCFF!$B$9+FCFF!$I$9*(1+Inputs!$B$6)/(B9907-Inputs!$B$6)/(1+B9907)^7</f>
        <v>-1478.113878</v>
      </c>
    </row>
    <row r="9908" ht="14.25" customHeight="1">
      <c r="A9908" s="7">
        <v>9895.0</v>
      </c>
      <c r="B9908" s="14">
        <f t="shared" si="1"/>
        <v>0.111371296</v>
      </c>
      <c r="C9908" s="39">
        <f t="array" ref="C9908">NPV(B9908,FCFF!$C$9:$I$9)+FCFF!$B$9+FCFF!$I$9*(1+Inputs!$B$6)/(B9908-Inputs!$B$6)/(1+B9908)^7</f>
        <v>-1660.011577</v>
      </c>
    </row>
    <row r="9909" ht="14.25" customHeight="1">
      <c r="A9909" s="7">
        <v>9896.0</v>
      </c>
      <c r="B9909" s="14">
        <f t="shared" si="1"/>
        <v>0.09353604041</v>
      </c>
      <c r="C9909" s="39">
        <f t="array" ref="C9909">NPV(B9909,FCFF!$C$9:$I$9)+FCFF!$B$9+FCFF!$I$9*(1+Inputs!$B$6)/(B9909-Inputs!$B$6)/(1+B9909)^7</f>
        <v>-1182.045172</v>
      </c>
    </row>
    <row r="9910" ht="14.25" customHeight="1">
      <c r="A9910" s="7">
        <v>9897.0</v>
      </c>
      <c r="B9910" s="14">
        <f t="shared" si="1"/>
        <v>0.1281915355</v>
      </c>
      <c r="C9910" s="39">
        <f t="array" ref="C9910">NPV(B9910,FCFF!$C$9:$I$9)+FCFF!$B$9+FCFF!$I$9*(1+Inputs!$B$6)/(B9910-Inputs!$B$6)/(1+B9910)^7</f>
        <v>-1947.603889</v>
      </c>
    </row>
    <row r="9911" ht="14.25" customHeight="1">
      <c r="A9911" s="7">
        <v>9898.0</v>
      </c>
      <c r="B9911" s="14">
        <f t="shared" si="1"/>
        <v>0.1266335165</v>
      </c>
      <c r="C9911" s="39">
        <f t="array" ref="C9911">NPV(B9911,FCFF!$C$9:$I$9)+FCFF!$B$9+FCFF!$I$9*(1+Inputs!$B$6)/(B9911-Inputs!$B$6)/(1+B9911)^7</f>
        <v>-1925.423959</v>
      </c>
    </row>
    <row r="9912" ht="14.25" customHeight="1">
      <c r="A9912" s="7">
        <v>9899.0</v>
      </c>
      <c r="B9912" s="14">
        <f t="shared" si="1"/>
        <v>0.1070813357</v>
      </c>
      <c r="C9912" s="39">
        <f t="array" ref="C9912">NPV(B9912,FCFF!$C$9:$I$9)+FCFF!$B$9+FCFF!$I$9*(1+Inputs!$B$6)/(B9912-Inputs!$B$6)/(1+B9912)^7</f>
        <v>-1565.553678</v>
      </c>
    </row>
    <row r="9913" ht="14.25" customHeight="1">
      <c r="A9913" s="7">
        <v>9900.0</v>
      </c>
      <c r="B9913" s="14">
        <f t="shared" si="1"/>
        <v>0.1168967731</v>
      </c>
      <c r="C9913" s="39">
        <f t="array" ref="C9913">NPV(B9913,FCFF!$C$9:$I$9)+FCFF!$B$9+FCFF!$I$9*(1+Inputs!$B$6)/(B9913-Inputs!$B$6)/(1+B9913)^7</f>
        <v>-1767.453464</v>
      </c>
    </row>
    <row r="9914" ht="14.25" customHeight="1">
      <c r="A9914" s="7">
        <v>9901.0</v>
      </c>
      <c r="B9914" s="14">
        <f t="shared" si="1"/>
        <v>0.1317103319</v>
      </c>
      <c r="C9914" s="39">
        <f t="array" ref="C9914">NPV(B9914,FCFF!$C$9:$I$9)+FCFF!$B$9+FCFF!$I$9*(1+Inputs!$B$6)/(B9914-Inputs!$B$6)/(1+B9914)^7</f>
        <v>-1994.998153</v>
      </c>
    </row>
    <row r="9915" ht="14.25" customHeight="1">
      <c r="A9915" s="7">
        <v>9902.0</v>
      </c>
      <c r="B9915" s="14">
        <f t="shared" si="1"/>
        <v>0.1261109205</v>
      </c>
      <c r="C9915" s="39">
        <f t="array" ref="C9915">NPV(B9915,FCFF!$C$9:$I$9)+FCFF!$B$9+FCFF!$I$9*(1+Inputs!$B$6)/(B9915-Inputs!$B$6)/(1+B9915)^7</f>
        <v>-1917.810691</v>
      </c>
    </row>
    <row r="9916" ht="14.25" customHeight="1">
      <c r="A9916" s="7">
        <v>9903.0</v>
      </c>
      <c r="B9916" s="14">
        <f t="shared" si="1"/>
        <v>0.1068318443</v>
      </c>
      <c r="C9916" s="39">
        <f t="array" ref="C9916">NPV(B9916,FCFF!$C$9:$I$9)+FCFF!$B$9+FCFF!$I$9*(1+Inputs!$B$6)/(B9916-Inputs!$B$6)/(1+B9916)^7</f>
        <v>-1559.726268</v>
      </c>
    </row>
    <row r="9917" ht="14.25" customHeight="1">
      <c r="A9917" s="7">
        <v>9904.0</v>
      </c>
      <c r="B9917" s="14">
        <f t="shared" si="1"/>
        <v>0.1263885585</v>
      </c>
      <c r="C9917" s="39">
        <f t="array" ref="C9917">NPV(B9917,FCFF!$C$9:$I$9)+FCFF!$B$9+FCFF!$I$9*(1+Inputs!$B$6)/(B9917-Inputs!$B$6)/(1+B9917)^7</f>
        <v>-1921.866424</v>
      </c>
    </row>
    <row r="9918" ht="14.25" customHeight="1">
      <c r="A9918" s="7">
        <v>9905.0</v>
      </c>
      <c r="B9918" s="14">
        <f t="shared" si="1"/>
        <v>0.1289331435</v>
      </c>
      <c r="C9918" s="39">
        <f t="array" ref="C9918">NPV(B9918,FCFF!$C$9:$I$9)+FCFF!$B$9+FCFF!$I$9*(1+Inputs!$B$6)/(B9918-Inputs!$B$6)/(1+B9918)^7</f>
        <v>-1957.896677</v>
      </c>
    </row>
    <row r="9919" ht="14.25" customHeight="1">
      <c r="A9919" s="7">
        <v>9906.0</v>
      </c>
      <c r="B9919" s="14">
        <f t="shared" si="1"/>
        <v>0.1111525035</v>
      </c>
      <c r="C9919" s="39">
        <f t="array" ref="C9919">NPV(B9919,FCFF!$C$9:$I$9)+FCFF!$B$9+FCFF!$I$9*(1+Inputs!$B$6)/(B9919-Inputs!$B$6)/(1+B9919)^7</f>
        <v>-1655.443476</v>
      </c>
    </row>
    <row r="9920" ht="14.25" customHeight="1">
      <c r="A9920" s="7">
        <v>9907.0</v>
      </c>
      <c r="B9920" s="14">
        <f t="shared" si="1"/>
        <v>0.100132707</v>
      </c>
      <c r="C9920" s="39">
        <f t="array" ref="C9920">NPV(B9920,FCFF!$C$9:$I$9)+FCFF!$B$9+FCFF!$I$9*(1+Inputs!$B$6)/(B9920-Inputs!$B$6)/(1+B9920)^7</f>
        <v>-1387.442911</v>
      </c>
    </row>
    <row r="9921" ht="14.25" customHeight="1">
      <c r="A9921" s="7">
        <v>9908.0</v>
      </c>
      <c r="B9921" s="14">
        <f t="shared" si="1"/>
        <v>0.1281536442</v>
      </c>
      <c r="C9921" s="39">
        <f t="array" ref="C9921">NPV(B9921,FCFF!$C$9:$I$9)+FCFF!$B$9+FCFF!$I$9*(1+Inputs!$B$6)/(B9921-Inputs!$B$6)/(1+B9921)^7</f>
        <v>-1947.073479</v>
      </c>
    </row>
    <row r="9922" ht="14.25" customHeight="1">
      <c r="A9922" s="7">
        <v>9909.0</v>
      </c>
      <c r="B9922" s="14">
        <f t="shared" si="1"/>
        <v>0.1044353535</v>
      </c>
      <c r="C9922" s="39">
        <f t="array" ref="C9922">NPV(B9922,FCFF!$C$9:$I$9)+FCFF!$B$9+FCFF!$I$9*(1+Inputs!$B$6)/(B9922-Inputs!$B$6)/(1+B9922)^7</f>
        <v>-1501.715376</v>
      </c>
    </row>
    <row r="9923" ht="14.25" customHeight="1">
      <c r="A9923" s="7">
        <v>9910.0</v>
      </c>
      <c r="B9923" s="14">
        <f t="shared" si="1"/>
        <v>0.1249171897</v>
      </c>
      <c r="C9923" s="39">
        <f t="array" ref="C9923">NPV(B9923,FCFF!$C$9:$I$9)+FCFF!$B$9+FCFF!$I$9*(1+Inputs!$B$6)/(B9923-Inputs!$B$6)/(1+B9923)^7</f>
        <v>-1900.082144</v>
      </c>
    </row>
    <row r="9924" ht="14.25" customHeight="1">
      <c r="A9924" s="7">
        <v>9911.0</v>
      </c>
      <c r="B9924" s="14">
        <f t="shared" si="1"/>
        <v>0.1044009051</v>
      </c>
      <c r="C9924" s="39">
        <f t="array" ref="C9924">NPV(B9924,FCFF!$C$9:$I$9)+FCFF!$B$9+FCFF!$I$9*(1+Inputs!$B$6)/(B9924-Inputs!$B$6)/(1+B9924)^7</f>
        <v>-1500.853694</v>
      </c>
    </row>
    <row r="9925" ht="14.25" customHeight="1">
      <c r="A9925" s="7">
        <v>9912.0</v>
      </c>
      <c r="B9925" s="14">
        <f t="shared" si="1"/>
        <v>0.1250484429</v>
      </c>
      <c r="C9925" s="39">
        <f t="array" ref="C9925">NPV(B9925,FCFF!$C$9:$I$9)+FCFF!$B$9+FCFF!$I$9*(1+Inputs!$B$6)/(B9925-Inputs!$B$6)/(1+B9925)^7</f>
        <v>-1902.054818</v>
      </c>
    </row>
    <row r="9926" ht="14.25" customHeight="1">
      <c r="A9926" s="7">
        <v>9913.0</v>
      </c>
      <c r="B9926" s="14">
        <f t="shared" si="1"/>
        <v>0.1172118269</v>
      </c>
      <c r="C9926" s="39">
        <f t="array" ref="C9926">NPV(B9926,FCFF!$C$9:$I$9)+FCFF!$B$9+FCFF!$I$9*(1+Inputs!$B$6)/(B9926-Inputs!$B$6)/(1+B9926)^7</f>
        <v>-1773.150954</v>
      </c>
    </row>
    <row r="9927" ht="14.25" customHeight="1">
      <c r="A9927" s="7">
        <v>9914.0</v>
      </c>
      <c r="B9927" s="14">
        <f t="shared" si="1"/>
        <v>0.1315277666</v>
      </c>
      <c r="C9927" s="39">
        <f t="array" ref="C9927">NPV(B9927,FCFF!$C$9:$I$9)+FCFF!$B$9+FCFF!$I$9*(1+Inputs!$B$6)/(B9927-Inputs!$B$6)/(1+B9927)^7</f>
        <v>-1992.626908</v>
      </c>
    </row>
    <row r="9928" ht="14.25" customHeight="1">
      <c r="A9928" s="7">
        <v>9915.0</v>
      </c>
      <c r="B9928" s="14">
        <f t="shared" si="1"/>
        <v>0.09567263307</v>
      </c>
      <c r="C9928" s="39">
        <f t="array" ref="C9928">NPV(B9928,FCFF!$C$9:$I$9)+FCFF!$B$9+FCFF!$I$9*(1+Inputs!$B$6)/(B9928-Inputs!$B$6)/(1+B9928)^7</f>
        <v>-1253.075256</v>
      </c>
    </row>
    <row r="9929" ht="14.25" customHeight="1">
      <c r="A9929" s="7">
        <v>9916.0</v>
      </c>
      <c r="B9929" s="14">
        <f t="shared" si="1"/>
        <v>0.101928864</v>
      </c>
      <c r="C9929" s="39">
        <f t="array" ref="C9929">NPV(B9929,FCFF!$C$9:$I$9)+FCFF!$B$9+FCFF!$I$9*(1+Inputs!$B$6)/(B9929-Inputs!$B$6)/(1+B9929)^7</f>
        <v>-1436.828991</v>
      </c>
    </row>
    <row r="9930" ht="14.25" customHeight="1">
      <c r="A9930" s="7">
        <v>9917.0</v>
      </c>
      <c r="B9930" s="14">
        <f t="shared" si="1"/>
        <v>0.1035967595</v>
      </c>
      <c r="C9930" s="39">
        <f t="array" ref="C9930">NPV(B9930,FCFF!$C$9:$I$9)+FCFF!$B$9+FCFF!$I$9*(1+Inputs!$B$6)/(B9930-Inputs!$B$6)/(1+B9930)^7</f>
        <v>-1480.50584</v>
      </c>
    </row>
    <row r="9931" ht="14.25" customHeight="1">
      <c r="A9931" s="7">
        <v>9918.0</v>
      </c>
      <c r="B9931" s="14">
        <f t="shared" si="1"/>
        <v>0.114975245</v>
      </c>
      <c r="C9931" s="39">
        <f t="array" ref="C9931">NPV(B9931,FCFF!$C$9:$I$9)+FCFF!$B$9+FCFF!$I$9*(1+Inputs!$B$6)/(B9931-Inputs!$B$6)/(1+B9931)^7</f>
        <v>-1731.743762</v>
      </c>
    </row>
    <row r="9932" ht="14.25" customHeight="1">
      <c r="A9932" s="7">
        <v>9919.0</v>
      </c>
      <c r="B9932" s="14">
        <f t="shared" si="1"/>
        <v>0.1262177667</v>
      </c>
      <c r="C9932" s="39">
        <f t="array" ref="C9932">NPV(B9932,FCFF!$C$9:$I$9)+FCFF!$B$9+FCFF!$I$9*(1+Inputs!$B$6)/(B9932-Inputs!$B$6)/(1+B9932)^7</f>
        <v>-1919.374477</v>
      </c>
    </row>
    <row r="9933" ht="14.25" customHeight="1">
      <c r="A9933" s="7">
        <v>9920.0</v>
      </c>
      <c r="B9933" s="14">
        <f t="shared" si="1"/>
        <v>0.1057020834</v>
      </c>
      <c r="C9933" s="39">
        <f t="array" ref="C9933">NPV(B9933,FCFF!$C$9:$I$9)+FCFF!$B$9+FCFF!$I$9*(1+Inputs!$B$6)/(B9933-Inputs!$B$6)/(1+B9933)^7</f>
        <v>-1532.845974</v>
      </c>
    </row>
    <row r="9934" ht="14.25" customHeight="1">
      <c r="A9934" s="7">
        <v>9921.0</v>
      </c>
      <c r="B9934" s="14">
        <f t="shared" si="1"/>
        <v>0.1127090535</v>
      </c>
      <c r="C9934" s="39">
        <f t="array" ref="C9934">NPV(B9934,FCFF!$C$9:$I$9)+FCFF!$B$9+FCFF!$I$9*(1+Inputs!$B$6)/(B9934-Inputs!$B$6)/(1+B9934)^7</f>
        <v>-1687.39723</v>
      </c>
    </row>
    <row r="9935" ht="14.25" customHeight="1">
      <c r="A9935" s="7">
        <v>9922.0</v>
      </c>
      <c r="B9935" s="14">
        <f t="shared" si="1"/>
        <v>0.09853488049</v>
      </c>
      <c r="C9935" s="39">
        <f t="array" ref="C9935">NPV(B9935,FCFF!$C$9:$I$9)+FCFF!$B$9+FCFF!$I$9*(1+Inputs!$B$6)/(B9935-Inputs!$B$6)/(1+B9935)^7</f>
        <v>-1341.318782</v>
      </c>
    </row>
    <row r="9936" ht="14.25" customHeight="1">
      <c r="A9936" s="7">
        <v>9923.0</v>
      </c>
      <c r="B9936" s="14">
        <f t="shared" si="1"/>
        <v>0.1257424657</v>
      </c>
      <c r="C9936" s="39">
        <f t="array" ref="C9936">NPV(B9936,FCFF!$C$9:$I$9)+FCFF!$B$9+FCFF!$I$9*(1+Inputs!$B$6)/(B9936-Inputs!$B$6)/(1+B9936)^7</f>
        <v>-1912.389257</v>
      </c>
    </row>
    <row r="9937" ht="14.25" customHeight="1">
      <c r="A9937" s="7">
        <v>9924.0</v>
      </c>
      <c r="B9937" s="14">
        <f t="shared" si="1"/>
        <v>0.1277777791</v>
      </c>
      <c r="C9937" s="39">
        <f t="array" ref="C9937">NPV(B9937,FCFF!$C$9:$I$9)+FCFF!$B$9+FCFF!$I$9*(1+Inputs!$B$6)/(B9937-Inputs!$B$6)/(1+B9937)^7</f>
        <v>-1941.787998</v>
      </c>
    </row>
    <row r="9938" ht="14.25" customHeight="1">
      <c r="A9938" s="7">
        <v>9925.0</v>
      </c>
      <c r="B9938" s="14">
        <f t="shared" si="1"/>
        <v>0.09651915219</v>
      </c>
      <c r="C9938" s="39">
        <f t="array" ref="C9938">NPV(B9938,FCFF!$C$9:$I$9)+FCFF!$B$9+FCFF!$I$9*(1+Inputs!$B$6)/(B9938-Inputs!$B$6)/(1+B9938)^7</f>
        <v>-1279.963042</v>
      </c>
    </row>
    <row r="9939" ht="14.25" customHeight="1">
      <c r="A9939" s="7">
        <v>9926.0</v>
      </c>
      <c r="B9939" s="14">
        <f t="shared" si="1"/>
        <v>0.1103933255</v>
      </c>
      <c r="C9939" s="39">
        <f t="array" ref="C9939">NPV(B9939,FCFF!$C$9:$I$9)+FCFF!$B$9+FCFF!$I$9*(1+Inputs!$B$6)/(B9939-Inputs!$B$6)/(1+B9939)^7</f>
        <v>-1639.393163</v>
      </c>
    </row>
    <row r="9940" ht="14.25" customHeight="1">
      <c r="A9940" s="7">
        <v>9927.0</v>
      </c>
      <c r="B9940" s="14">
        <f t="shared" si="1"/>
        <v>0.115248533</v>
      </c>
      <c r="C9940" s="39">
        <f t="array" ref="C9940">NPV(B9940,FCFF!$C$9:$I$9)+FCFF!$B$9+FCFF!$I$9*(1+Inputs!$B$6)/(B9940-Inputs!$B$6)/(1+B9940)^7</f>
        <v>-1736.925442</v>
      </c>
    </row>
    <row r="9941" ht="14.25" customHeight="1">
      <c r="A9941" s="7">
        <v>9928.0</v>
      </c>
      <c r="B9941" s="14">
        <f t="shared" si="1"/>
        <v>0.1167472358</v>
      </c>
      <c r="C9941" s="39">
        <f t="array" ref="C9941">NPV(B9941,FCFF!$C$9:$I$9)+FCFF!$B$9+FCFF!$I$9*(1+Inputs!$B$6)/(B9941-Inputs!$B$6)/(1+B9941)^7</f>
        <v>-1764.733984</v>
      </c>
    </row>
    <row r="9942" ht="14.25" customHeight="1">
      <c r="A9942" s="7">
        <v>9929.0</v>
      </c>
      <c r="B9942" s="14">
        <f t="shared" si="1"/>
        <v>0.1171411126</v>
      </c>
      <c r="C9942" s="39">
        <f t="array" ref="C9942">NPV(B9942,FCFF!$C$9:$I$9)+FCFF!$B$9+FCFF!$I$9*(1+Inputs!$B$6)/(B9942-Inputs!$B$6)/(1+B9942)^7</f>
        <v>-1771.875914</v>
      </c>
    </row>
    <row r="9943" ht="14.25" customHeight="1">
      <c r="A9943" s="7">
        <v>9930.0</v>
      </c>
      <c r="B9943" s="14">
        <f t="shared" si="1"/>
        <v>0.09450668552</v>
      </c>
      <c r="C9943" s="39">
        <f t="array" ref="C9943">NPV(B9943,FCFF!$C$9:$I$9)+FCFF!$B$9+FCFF!$I$9*(1+Inputs!$B$6)/(B9943-Inputs!$B$6)/(1+B9943)^7</f>
        <v>-1214.89242</v>
      </c>
    </row>
    <row r="9944" ht="14.25" customHeight="1">
      <c r="A9944" s="7">
        <v>9931.0</v>
      </c>
      <c r="B9944" s="14">
        <f t="shared" si="1"/>
        <v>0.1012509302</v>
      </c>
      <c r="C9944" s="39">
        <f t="array" ref="C9944">NPV(B9944,FCFF!$C$9:$I$9)+FCFF!$B$9+FCFF!$I$9*(1+Inputs!$B$6)/(B9944-Inputs!$B$6)/(1+B9944)^7</f>
        <v>-1418.484209</v>
      </c>
    </row>
    <row r="9945" ht="14.25" customHeight="1">
      <c r="A9945" s="7">
        <v>9932.0</v>
      </c>
      <c r="B9945" s="14">
        <f t="shared" si="1"/>
        <v>0.1055639673</v>
      </c>
      <c r="C9945" s="39">
        <f t="array" ref="C9945">NPV(B9945,FCFF!$C$9:$I$9)+FCFF!$B$9+FCFF!$I$9*(1+Inputs!$B$6)/(B9945-Inputs!$B$6)/(1+B9945)^7</f>
        <v>-1529.503412</v>
      </c>
    </row>
    <row r="9946" ht="14.25" customHeight="1">
      <c r="A9946" s="7">
        <v>9933.0</v>
      </c>
      <c r="B9946" s="14">
        <f t="shared" si="1"/>
        <v>0.1007114672</v>
      </c>
      <c r="C9946" s="39">
        <f t="array" ref="C9946">NPV(B9946,FCFF!$C$9:$I$9)+FCFF!$B$9+FCFF!$I$9*(1+Inputs!$B$6)/(B9946-Inputs!$B$6)/(1+B9946)^7</f>
        <v>-1403.632586</v>
      </c>
    </row>
    <row r="9947" ht="14.25" customHeight="1">
      <c r="A9947" s="7">
        <v>9934.0</v>
      </c>
      <c r="B9947" s="14">
        <f t="shared" si="1"/>
        <v>0.1152795657</v>
      </c>
      <c r="C9947" s="39">
        <f t="array" ref="C9947">NPV(B9947,FCFF!$C$9:$I$9)+FCFF!$B$9+FCFF!$I$9*(1+Inputs!$B$6)/(B9947-Inputs!$B$6)/(1+B9947)^7</f>
        <v>-1737.511641</v>
      </c>
    </row>
    <row r="9948" ht="14.25" customHeight="1">
      <c r="A9948" s="7">
        <v>9935.0</v>
      </c>
      <c r="B9948" s="14">
        <f t="shared" si="1"/>
        <v>0.1229376814</v>
      </c>
      <c r="C9948" s="39">
        <f t="array" ref="C9948">NPV(B9948,FCFF!$C$9:$I$9)+FCFF!$B$9+FCFF!$I$9*(1+Inputs!$B$6)/(B9948-Inputs!$B$6)/(1+B9948)^7</f>
        <v>-1869.607276</v>
      </c>
    </row>
    <row r="9949" ht="14.25" customHeight="1">
      <c r="A9949" s="7">
        <v>9936.0</v>
      </c>
      <c r="B9949" s="14">
        <f t="shared" si="1"/>
        <v>0.1301948818</v>
      </c>
      <c r="C9949" s="39">
        <f t="array" ref="C9949">NPV(B9949,FCFF!$C$9:$I$9)+FCFF!$B$9+FCFF!$I$9*(1+Inputs!$B$6)/(B9949-Inputs!$B$6)/(1+B9949)^7</f>
        <v>-1975.029573</v>
      </c>
    </row>
    <row r="9950" ht="14.25" customHeight="1">
      <c r="A9950" s="7">
        <v>9937.0</v>
      </c>
      <c r="B9950" s="14">
        <f t="shared" si="1"/>
        <v>0.1002242775</v>
      </c>
      <c r="C9950" s="39">
        <f t="array" ref="C9950">NPV(B9950,FCFF!$C$9:$I$9)+FCFF!$B$9+FCFF!$I$9*(1+Inputs!$B$6)/(B9950-Inputs!$B$6)/(1+B9950)^7</f>
        <v>-1390.022319</v>
      </c>
    </row>
    <row r="9951" ht="14.25" customHeight="1">
      <c r="A9951" s="7">
        <v>9938.0</v>
      </c>
      <c r="B9951" s="14">
        <f t="shared" si="1"/>
        <v>0.1304755102</v>
      </c>
      <c r="C9951" s="39">
        <f t="array" ref="C9951">NPV(B9951,FCFF!$C$9:$I$9)+FCFF!$B$9+FCFF!$I$9*(1+Inputs!$B$6)/(B9951-Inputs!$B$6)/(1+B9951)^7</f>
        <v>-1978.776746</v>
      </c>
    </row>
    <row r="9952" ht="14.25" customHeight="1">
      <c r="A9952" s="7">
        <v>9939.0</v>
      </c>
      <c r="B9952" s="14">
        <f t="shared" si="1"/>
        <v>0.1159892152</v>
      </c>
      <c r="C9952" s="39">
        <f t="array" ref="C9952">NPV(B9952,FCFF!$C$9:$I$9)+FCFF!$B$9+FCFF!$I$9*(1+Inputs!$B$6)/(B9952-Inputs!$B$6)/(1+B9952)^7</f>
        <v>-1750.795862</v>
      </c>
    </row>
    <row r="9953" ht="14.25" customHeight="1">
      <c r="A9953" s="7">
        <v>9940.0</v>
      </c>
      <c r="B9953" s="14">
        <f t="shared" si="1"/>
        <v>0.1056562665</v>
      </c>
      <c r="C9953" s="39">
        <f t="array" ref="C9953">NPV(B9953,FCFF!$C$9:$I$9)+FCFF!$B$9+FCFF!$I$9*(1+Inputs!$B$6)/(B9953-Inputs!$B$6)/(1+B9953)^7</f>
        <v>-1531.738536</v>
      </c>
    </row>
    <row r="9954" ht="14.25" customHeight="1">
      <c r="A9954" s="7">
        <v>9941.0</v>
      </c>
      <c r="B9954" s="14">
        <f t="shared" si="1"/>
        <v>0.1089495637</v>
      </c>
      <c r="C9954" s="39">
        <f t="array" ref="C9954">NPV(B9954,FCFF!$C$9:$I$9)+FCFF!$B$9+FCFF!$I$9*(1+Inputs!$B$6)/(B9954-Inputs!$B$6)/(1+B9954)^7</f>
        <v>-1607.98923</v>
      </c>
    </row>
    <row r="9955" ht="14.25" customHeight="1">
      <c r="A9955" s="7">
        <v>9942.0</v>
      </c>
      <c r="B9955" s="14">
        <f t="shared" si="1"/>
        <v>0.1088395429</v>
      </c>
      <c r="C9955" s="39">
        <f t="array" ref="C9955">NPV(B9955,FCFF!$C$9:$I$9)+FCFF!$B$9+FCFF!$I$9*(1+Inputs!$B$6)/(B9955-Inputs!$B$6)/(1+B9955)^7</f>
        <v>-1605.547475</v>
      </c>
    </row>
    <row r="9956" ht="14.25" customHeight="1">
      <c r="A9956" s="7">
        <v>9943.0</v>
      </c>
      <c r="B9956" s="14">
        <f t="shared" si="1"/>
        <v>0.1141569826</v>
      </c>
      <c r="C9956" s="39">
        <f t="array" ref="C9956">NPV(B9956,FCFF!$C$9:$I$9)+FCFF!$B$9+FCFF!$I$9*(1+Inputs!$B$6)/(B9956-Inputs!$B$6)/(1+B9956)^7</f>
        <v>-1716.018692</v>
      </c>
    </row>
    <row r="9957" ht="14.25" customHeight="1">
      <c r="A9957" s="7">
        <v>9944.0</v>
      </c>
      <c r="B9957" s="14">
        <f t="shared" si="1"/>
        <v>0.1105442374</v>
      </c>
      <c r="C9957" s="39">
        <f t="array" ref="C9957">NPV(B9957,FCFF!$C$9:$I$9)+FCFF!$B$9+FCFF!$I$9*(1+Inputs!$B$6)/(B9957-Inputs!$B$6)/(1+B9957)^7</f>
        <v>-1642.608627</v>
      </c>
    </row>
    <row r="9958" ht="14.25" customHeight="1">
      <c r="A9958" s="7">
        <v>9945.0</v>
      </c>
      <c r="B9958" s="14">
        <f t="shared" si="1"/>
        <v>0.1115701318</v>
      </c>
      <c r="C9958" s="39">
        <f t="array" ref="C9958">NPV(B9958,FCFF!$C$9:$I$9)+FCFF!$B$9+FCFF!$I$9*(1+Inputs!$B$6)/(B9958-Inputs!$B$6)/(1+B9958)^7</f>
        <v>-1664.140985</v>
      </c>
    </row>
    <row r="9959" ht="14.25" customHeight="1">
      <c r="A9959" s="7">
        <v>9946.0</v>
      </c>
      <c r="B9959" s="14">
        <f t="shared" si="1"/>
        <v>0.1072338456</v>
      </c>
      <c r="C9959" s="39">
        <f t="array" ref="C9959">NPV(B9959,FCFF!$C$9:$I$9)+FCFF!$B$9+FCFF!$I$9*(1+Inputs!$B$6)/(B9959-Inputs!$B$6)/(1+B9959)^7</f>
        <v>-1569.096872</v>
      </c>
    </row>
    <row r="9960" ht="14.25" customHeight="1">
      <c r="A9960" s="7">
        <v>9947.0</v>
      </c>
      <c r="B9960" s="14">
        <f t="shared" si="1"/>
        <v>0.1133340377</v>
      </c>
      <c r="C9960" s="39">
        <f t="array" ref="C9960">NPV(B9960,FCFF!$C$9:$I$9)+FCFF!$B$9+FCFF!$I$9*(1+Inputs!$B$6)/(B9960-Inputs!$B$6)/(1+B9960)^7</f>
        <v>-1699.878473</v>
      </c>
    </row>
    <row r="9961" ht="14.25" customHeight="1">
      <c r="A9961" s="7">
        <v>9948.0</v>
      </c>
      <c r="B9961" s="14">
        <f t="shared" si="1"/>
        <v>0.1326145712</v>
      </c>
      <c r="C9961" s="39">
        <f t="array" ref="C9961">NPV(B9961,FCFF!$C$9:$I$9)+FCFF!$B$9+FCFF!$I$9*(1+Inputs!$B$6)/(B9961-Inputs!$B$6)/(1+B9961)^7</f>
        <v>-2006.607288</v>
      </c>
    </row>
    <row r="9962" ht="14.25" customHeight="1">
      <c r="A9962" s="7">
        <v>9949.0</v>
      </c>
      <c r="B9962" s="14">
        <f t="shared" si="1"/>
        <v>0.1119296103</v>
      </c>
      <c r="C9962" s="39">
        <f t="array" ref="C9962">NPV(B9962,FCFF!$C$9:$I$9)+FCFF!$B$9+FCFF!$I$9*(1+Inputs!$B$6)/(B9962-Inputs!$B$6)/(1+B9962)^7</f>
        <v>-1671.553864</v>
      </c>
    </row>
    <row r="9963" ht="14.25" customHeight="1">
      <c r="A9963" s="7">
        <v>9950.0</v>
      </c>
      <c r="B9963" s="14">
        <f t="shared" si="1"/>
        <v>0.09665789632</v>
      </c>
      <c r="C9963" s="39">
        <f t="array" ref="C9963">NPV(B9963,FCFF!$C$9:$I$9)+FCFF!$B$9+FCFF!$I$9*(1+Inputs!$B$6)/(B9963-Inputs!$B$6)/(1+B9963)^7</f>
        <v>-1284.305021</v>
      </c>
    </row>
    <row r="9964" ht="14.25" customHeight="1">
      <c r="A9964" s="7">
        <v>9951.0</v>
      </c>
      <c r="B9964" s="14">
        <f t="shared" si="1"/>
        <v>0.1127330352</v>
      </c>
      <c r="C9964" s="39">
        <f t="array" ref="C9964">NPV(B9964,FCFF!$C$9:$I$9)+FCFF!$B$9+FCFF!$I$9*(1+Inputs!$B$6)/(B9964-Inputs!$B$6)/(1+B9964)^7</f>
        <v>-1687.879776</v>
      </c>
    </row>
    <row r="9965" ht="14.25" customHeight="1">
      <c r="A9965" s="7">
        <v>9952.0</v>
      </c>
      <c r="B9965" s="14">
        <f t="shared" si="1"/>
        <v>0.1256621578</v>
      </c>
      <c r="C9965" s="39">
        <f t="array" ref="C9965">NPV(B9965,FCFF!$C$9:$I$9)+FCFF!$B$9+FCFF!$I$9*(1+Inputs!$B$6)/(B9965-Inputs!$B$6)/(1+B9965)^7</f>
        <v>-1911.201655</v>
      </c>
    </row>
    <row r="9966" ht="14.25" customHeight="1">
      <c r="A9966" s="7">
        <v>9953.0</v>
      </c>
      <c r="B9966" s="14">
        <f t="shared" si="1"/>
        <v>0.09429233384</v>
      </c>
      <c r="C9966" s="39">
        <f t="array" ref="C9966">NPV(B9966,FCFF!$C$9:$I$9)+FCFF!$B$9+FCFF!$I$9*(1+Inputs!$B$6)/(B9966-Inputs!$B$6)/(1+B9966)^7</f>
        <v>-1207.723167</v>
      </c>
    </row>
    <row r="9967" ht="14.25" customHeight="1">
      <c r="A9967" s="7">
        <v>9954.0</v>
      </c>
      <c r="B9967" s="14">
        <f t="shared" si="1"/>
        <v>0.1173447314</v>
      </c>
      <c r="C9967" s="39">
        <f t="array" ref="C9967">NPV(B9967,FCFF!$C$9:$I$9)+FCFF!$B$9+FCFF!$I$9*(1+Inputs!$B$6)/(B9967-Inputs!$B$6)/(1+B9967)^7</f>
        <v>-1775.541466</v>
      </c>
    </row>
    <row r="9968" ht="14.25" customHeight="1">
      <c r="A9968" s="7">
        <v>9955.0</v>
      </c>
      <c r="B9968" s="14">
        <f t="shared" si="1"/>
        <v>0.1039199585</v>
      </c>
      <c r="C9968" s="39">
        <f t="array" ref="C9968">NPV(B9968,FCFF!$C$9:$I$9)+FCFF!$B$9+FCFF!$I$9*(1+Inputs!$B$6)/(B9968-Inputs!$B$6)/(1+B9968)^7</f>
        <v>-1488.738082</v>
      </c>
    </row>
    <row r="9969" ht="14.25" customHeight="1">
      <c r="A9969" s="7">
        <v>9956.0</v>
      </c>
      <c r="B9969" s="14">
        <f t="shared" si="1"/>
        <v>0.1018956537</v>
      </c>
      <c r="C9969" s="39">
        <f t="array" ref="C9969">NPV(B9969,FCFF!$C$9:$I$9)+FCFF!$B$9+FCFF!$I$9*(1+Inputs!$B$6)/(B9969-Inputs!$B$6)/(1+B9969)^7</f>
        <v>-1435.938473</v>
      </c>
    </row>
    <row r="9970" ht="14.25" customHeight="1">
      <c r="A9970" s="7">
        <v>9957.0</v>
      </c>
      <c r="B9970" s="14">
        <f t="shared" si="1"/>
        <v>0.09927352787</v>
      </c>
      <c r="C9970" s="39">
        <f t="array" ref="C9970">NPV(B9970,FCFF!$C$9:$I$9)+FCFF!$B$9+FCFF!$I$9*(1+Inputs!$B$6)/(B9970-Inputs!$B$6)/(1+B9970)^7</f>
        <v>-1362.906857</v>
      </c>
    </row>
    <row r="9971" ht="14.25" customHeight="1">
      <c r="A9971" s="7">
        <v>9958.0</v>
      </c>
      <c r="B9971" s="14">
        <f t="shared" si="1"/>
        <v>0.1101952851</v>
      </c>
      <c r="C9971" s="39">
        <f t="array" ref="C9971">NPV(B9971,FCFF!$C$9:$I$9)+FCFF!$B$9+FCFF!$I$9*(1+Inputs!$B$6)/(B9971-Inputs!$B$6)/(1+B9971)^7</f>
        <v>-1635.15456</v>
      </c>
    </row>
    <row r="9972" ht="14.25" customHeight="1">
      <c r="A9972" s="7">
        <v>9959.0</v>
      </c>
      <c r="B9972" s="14">
        <f t="shared" si="1"/>
        <v>0.1008346651</v>
      </c>
      <c r="C9972" s="39">
        <f t="array" ref="C9972">NPV(B9972,FCFF!$C$9:$I$9)+FCFF!$B$9+FCFF!$I$9*(1+Inputs!$B$6)/(B9972-Inputs!$B$6)/(1+B9972)^7</f>
        <v>-1407.044381</v>
      </c>
    </row>
    <row r="9973" ht="14.25" customHeight="1">
      <c r="A9973" s="7">
        <v>9960.0</v>
      </c>
      <c r="B9973" s="14">
        <f t="shared" si="1"/>
        <v>0.09419817822</v>
      </c>
      <c r="C9973" s="39">
        <f t="array" ref="C9973">NPV(B9973,FCFF!$C$9:$I$9)+FCFF!$B$9+FCFF!$I$9*(1+Inputs!$B$6)/(B9973-Inputs!$B$6)/(1+B9973)^7</f>
        <v>-1204.559014</v>
      </c>
    </row>
    <row r="9974" ht="14.25" customHeight="1">
      <c r="A9974" s="7">
        <v>9961.0</v>
      </c>
      <c r="B9974" s="14">
        <f t="shared" si="1"/>
        <v>0.1061060449</v>
      </c>
      <c r="C9974" s="39">
        <f t="array" ref="C9974">NPV(B9974,FCFF!$C$9:$I$9)+FCFF!$B$9+FCFF!$I$9*(1+Inputs!$B$6)/(B9974-Inputs!$B$6)/(1+B9974)^7</f>
        <v>-1542.551146</v>
      </c>
    </row>
    <row r="9975" ht="14.25" customHeight="1">
      <c r="A9975" s="7">
        <v>9962.0</v>
      </c>
      <c r="B9975" s="14">
        <f t="shared" si="1"/>
        <v>0.1151330925</v>
      </c>
      <c r="C9975" s="39">
        <f t="array" ref="C9975">NPV(B9975,FCFF!$C$9:$I$9)+FCFF!$B$9+FCFF!$I$9*(1+Inputs!$B$6)/(B9975-Inputs!$B$6)/(1+B9975)^7</f>
        <v>-1734.740876</v>
      </c>
    </row>
    <row r="9976" ht="14.25" customHeight="1">
      <c r="A9976" s="7">
        <v>9963.0</v>
      </c>
      <c r="B9976" s="14">
        <f t="shared" si="1"/>
        <v>0.132562176</v>
      </c>
      <c r="C9976" s="39">
        <f t="array" ref="C9976">NPV(B9976,FCFF!$C$9:$I$9)+FCFF!$B$9+FCFF!$I$9*(1+Inputs!$B$6)/(B9976-Inputs!$B$6)/(1+B9976)^7</f>
        <v>-2005.940704</v>
      </c>
    </row>
    <row r="9977" ht="14.25" customHeight="1">
      <c r="A9977" s="7">
        <v>9964.0</v>
      </c>
      <c r="B9977" s="14">
        <f t="shared" si="1"/>
        <v>0.1291102515</v>
      </c>
      <c r="C9977" s="39">
        <f t="array" ref="C9977">NPV(B9977,FCFF!$C$9:$I$9)+FCFF!$B$9+FCFF!$I$9*(1+Inputs!$B$6)/(B9977-Inputs!$B$6)/(1+B9977)^7</f>
        <v>-1960.330119</v>
      </c>
    </row>
    <row r="9978" ht="14.25" customHeight="1">
      <c r="A9978" s="7">
        <v>9965.0</v>
      </c>
      <c r="B9978" s="14">
        <f t="shared" si="1"/>
        <v>0.1296677286</v>
      </c>
      <c r="C9978" s="39">
        <f t="array" ref="C9978">NPV(B9978,FCFF!$C$9:$I$9)+FCFF!$B$9+FCFF!$I$9*(1+Inputs!$B$6)/(B9978-Inputs!$B$6)/(1+B9978)^7</f>
        <v>-1967.928656</v>
      </c>
    </row>
    <row r="9979" ht="14.25" customHeight="1">
      <c r="A9979" s="7">
        <v>9966.0</v>
      </c>
      <c r="B9979" s="14">
        <f t="shared" si="1"/>
        <v>0.1265319265</v>
      </c>
      <c r="C9979" s="39">
        <f t="array" ref="C9979">NPV(B9979,FCFF!$C$9:$I$9)+FCFF!$B$9+FCFF!$I$9*(1+Inputs!$B$6)/(B9979-Inputs!$B$6)/(1+B9979)^7</f>
        <v>-1923.950921</v>
      </c>
    </row>
    <row r="9980" ht="14.25" customHeight="1">
      <c r="A9980" s="7">
        <v>9967.0</v>
      </c>
      <c r="B9980" s="14">
        <f t="shared" si="1"/>
        <v>0.09550143299</v>
      </c>
      <c r="C9980" s="39">
        <f t="array" ref="C9980">NPV(B9980,FCFF!$C$9:$I$9)+FCFF!$B$9+FCFF!$I$9*(1+Inputs!$B$6)/(B9980-Inputs!$B$6)/(1+B9980)^7</f>
        <v>-1247.553356</v>
      </c>
    </row>
    <row r="9981" ht="14.25" customHeight="1">
      <c r="A9981" s="7">
        <v>9968.0</v>
      </c>
      <c r="B9981" s="14">
        <f t="shared" si="1"/>
        <v>0.0940664615</v>
      </c>
      <c r="C9981" s="39">
        <f t="array" ref="C9981">NPV(B9981,FCFF!$C$9:$I$9)+FCFF!$B$9+FCFF!$I$9*(1+Inputs!$B$6)/(B9981-Inputs!$B$6)/(1+B9981)^7</f>
        <v>-1200.117135</v>
      </c>
    </row>
    <row r="9982" ht="14.25" customHeight="1">
      <c r="A9982" s="7">
        <v>9969.0</v>
      </c>
      <c r="B9982" s="14">
        <f t="shared" si="1"/>
        <v>0.1037012922</v>
      </c>
      <c r="C9982" s="39">
        <f t="array" ref="C9982">NPV(B9982,FCFF!$C$9:$I$9)+FCFF!$B$9+FCFF!$I$9*(1+Inputs!$B$6)/(B9982-Inputs!$B$6)/(1+B9982)^7</f>
        <v>-1483.176435</v>
      </c>
    </row>
    <row r="9983" ht="14.25" customHeight="1">
      <c r="A9983" s="7">
        <v>9970.0</v>
      </c>
      <c r="B9983" s="14">
        <f t="shared" si="1"/>
        <v>0.1116892919</v>
      </c>
      <c r="C9983" s="39">
        <f t="array" ref="C9983">NPV(B9983,FCFF!$C$9:$I$9)+FCFF!$B$9+FCFF!$I$9*(1+Inputs!$B$6)/(B9983-Inputs!$B$6)/(1+B9983)^7</f>
        <v>-1666.605708</v>
      </c>
    </row>
    <row r="9984" ht="14.25" customHeight="1">
      <c r="A9984" s="7">
        <v>9971.0</v>
      </c>
      <c r="B9984" s="14">
        <f t="shared" si="1"/>
        <v>0.1227110651</v>
      </c>
      <c r="C9984" s="39">
        <f t="array" ref="C9984">NPV(B9984,FCFF!$C$9:$I$9)+FCFF!$B$9+FCFF!$I$9*(1+Inputs!$B$6)/(B9984-Inputs!$B$6)/(1+B9984)^7</f>
        <v>-1866.029761</v>
      </c>
    </row>
    <row r="9985" ht="14.25" customHeight="1">
      <c r="A9985" s="7">
        <v>9972.0</v>
      </c>
      <c r="B9985" s="14">
        <f t="shared" si="1"/>
        <v>0.1213626714</v>
      </c>
      <c r="C9985" s="39">
        <f t="array" ref="C9985">NPV(B9985,FCFF!$C$9:$I$9)+FCFF!$B$9+FCFF!$I$9*(1+Inputs!$B$6)/(B9985-Inputs!$B$6)/(1+B9985)^7</f>
        <v>-1844.352074</v>
      </c>
    </row>
    <row r="9986" ht="14.25" customHeight="1">
      <c r="A9986" s="7">
        <v>9973.0</v>
      </c>
      <c r="B9986" s="14">
        <f t="shared" si="1"/>
        <v>0.1309164061</v>
      </c>
      <c r="C9986" s="39">
        <f t="array" ref="C9986">NPV(B9986,FCFF!$C$9:$I$9)+FCFF!$B$9+FCFF!$I$9*(1+Inputs!$B$6)/(B9986-Inputs!$B$6)/(1+B9986)^7</f>
        <v>-1984.618214</v>
      </c>
    </row>
    <row r="9987" ht="14.25" customHeight="1">
      <c r="A9987" s="7">
        <v>9974.0</v>
      </c>
      <c r="B9987" s="14">
        <f t="shared" si="1"/>
        <v>0.1303889651</v>
      </c>
      <c r="C9987" s="39">
        <f t="array" ref="C9987">NPV(B9987,FCFF!$C$9:$I$9)+FCFF!$B$9+FCFF!$I$9*(1+Inputs!$B$6)/(B9987-Inputs!$B$6)/(1+B9987)^7</f>
        <v>-1977.623553</v>
      </c>
    </row>
    <row r="9988" ht="14.25" customHeight="1">
      <c r="A9988" s="7">
        <v>9975.0</v>
      </c>
      <c r="B9988" s="14">
        <f t="shared" si="1"/>
        <v>0.1155945146</v>
      </c>
      <c r="C9988" s="39">
        <f t="array" ref="C9988">NPV(B9988,FCFF!$C$9:$I$9)+FCFF!$B$9+FCFF!$I$9*(1+Inputs!$B$6)/(B9988-Inputs!$B$6)/(1+B9988)^7</f>
        <v>-1743.435773</v>
      </c>
    </row>
    <row r="9989" ht="14.25" customHeight="1">
      <c r="A9989" s="7">
        <v>9976.0</v>
      </c>
      <c r="B9989" s="14">
        <f t="shared" si="1"/>
        <v>0.1265258792</v>
      </c>
      <c r="C9989" s="39">
        <f t="array" ref="C9989">NPV(B9989,FCFF!$C$9:$I$9)+FCFF!$B$9+FCFF!$I$9*(1+Inputs!$B$6)/(B9989-Inputs!$B$6)/(1+B9989)^7</f>
        <v>-1923.86313</v>
      </c>
    </row>
    <row r="9990" ht="14.25" customHeight="1">
      <c r="A9990" s="7">
        <v>9977.0</v>
      </c>
      <c r="B9990" s="14">
        <f t="shared" si="1"/>
        <v>0.09617150312</v>
      </c>
      <c r="C9990" s="39">
        <f t="array" ref="C9990">NPV(B9990,FCFF!$C$9:$I$9)+FCFF!$B$9+FCFF!$I$9*(1+Inputs!$B$6)/(B9990-Inputs!$B$6)/(1+B9990)^7</f>
        <v>-1269.003678</v>
      </c>
    </row>
    <row r="9991" ht="14.25" customHeight="1">
      <c r="A9991" s="7">
        <v>9978.0</v>
      </c>
      <c r="B9991" s="14">
        <f t="shared" si="1"/>
        <v>0.1019161296</v>
      </c>
      <c r="C9991" s="39">
        <f t="array" ref="C9991">NPV(B9991,FCFF!$C$9:$I$9)+FCFF!$B$9+FCFF!$I$9*(1+Inputs!$B$6)/(B9991-Inputs!$B$6)/(1+B9991)^7</f>
        <v>-1436.487621</v>
      </c>
    </row>
    <row r="9992" ht="14.25" customHeight="1">
      <c r="A9992" s="7">
        <v>9979.0</v>
      </c>
      <c r="B9992" s="14">
        <f t="shared" si="1"/>
        <v>0.09671970067</v>
      </c>
      <c r="C9992" s="39">
        <f t="array" ref="C9992">NPV(B9992,FCFF!$C$9:$I$9)+FCFF!$B$9+FCFF!$I$9*(1+Inputs!$B$6)/(B9992-Inputs!$B$6)/(1+B9992)^7</f>
        <v>-1286.23338</v>
      </c>
    </row>
    <row r="9993" ht="14.25" customHeight="1">
      <c r="A9993" s="7">
        <v>9980.0</v>
      </c>
      <c r="B9993" s="14">
        <f t="shared" si="1"/>
        <v>0.1102041688</v>
      </c>
      <c r="C9993" s="39">
        <f t="array" ref="C9993">NPV(B9993,FCFF!$C$9:$I$9)+FCFF!$B$9+FCFF!$I$9*(1+Inputs!$B$6)/(B9993-Inputs!$B$6)/(1+B9993)^7</f>
        <v>-1635.345159</v>
      </c>
    </row>
    <row r="9994" ht="14.25" customHeight="1">
      <c r="A9994" s="7">
        <v>9981.0</v>
      </c>
      <c r="B9994" s="14">
        <f t="shared" si="1"/>
        <v>0.1006906295</v>
      </c>
      <c r="C9994" s="39">
        <f t="array" ref="C9994">NPV(B9994,FCFF!$C$9:$I$9)+FCFF!$B$9+FCFF!$I$9*(1+Inputs!$B$6)/(B9994-Inputs!$B$6)/(1+B9994)^7</f>
        <v>-1403.05433</v>
      </c>
    </row>
    <row r="9995" ht="14.25" customHeight="1">
      <c r="A9995" s="7">
        <v>9982.0</v>
      </c>
      <c r="B9995" s="14">
        <f t="shared" si="1"/>
        <v>0.1104589239</v>
      </c>
      <c r="C9995" s="39">
        <f t="array" ref="C9995">NPV(B9995,FCFF!$C$9:$I$9)+FCFF!$B$9+FCFF!$I$9*(1+Inputs!$B$6)/(B9995-Inputs!$B$6)/(1+B9995)^7</f>
        <v>-1640.792394</v>
      </c>
    </row>
    <row r="9996" ht="14.25" customHeight="1">
      <c r="A9996" s="7">
        <v>9983.0</v>
      </c>
      <c r="B9996" s="14">
        <f t="shared" si="1"/>
        <v>0.1224511829</v>
      </c>
      <c r="C9996" s="39">
        <f t="array" ref="C9996">NPV(B9996,FCFF!$C$9:$I$9)+FCFF!$B$9+FCFF!$I$9*(1+Inputs!$B$6)/(B9996-Inputs!$B$6)/(1+B9996)^7</f>
        <v>-1861.904074</v>
      </c>
    </row>
    <row r="9997" ht="14.25" customHeight="1">
      <c r="A9997" s="7">
        <v>9984.0</v>
      </c>
      <c r="B9997" s="14">
        <f t="shared" si="1"/>
        <v>0.1203894937</v>
      </c>
      <c r="C9997" s="39">
        <f t="array" ref="C9997">NPV(B9997,FCFF!$C$9:$I$9)+FCFF!$B$9+FCFF!$I$9*(1+Inputs!$B$6)/(B9997-Inputs!$B$6)/(1+B9997)^7</f>
        <v>-1828.279263</v>
      </c>
    </row>
    <row r="9998" ht="14.25" customHeight="1">
      <c r="A9998" s="7">
        <v>9985.0</v>
      </c>
      <c r="B9998" s="14">
        <f t="shared" si="1"/>
        <v>0.1232784679</v>
      </c>
      <c r="C9998" s="39">
        <f t="array" ref="C9998">NPV(B9998,FCFF!$C$9:$I$9)+FCFF!$B$9+FCFF!$I$9*(1+Inputs!$B$6)/(B9998-Inputs!$B$6)/(1+B9998)^7</f>
        <v>-1874.952259</v>
      </c>
    </row>
    <row r="9999" ht="14.25" customHeight="1">
      <c r="A9999" s="7">
        <v>9986.0</v>
      </c>
      <c r="B9999" s="14">
        <f t="shared" si="1"/>
        <v>0.1006505613</v>
      </c>
      <c r="C9999" s="39">
        <f t="array" ref="C9999">NPV(B9999,FCFF!$C$9:$I$9)+FCFF!$B$9+FCFF!$I$9*(1+Inputs!$B$6)/(B9999-Inputs!$B$6)/(1+B9999)^7</f>
        <v>-1401.94145</v>
      </c>
    </row>
    <row r="10000" ht="14.25" customHeight="1">
      <c r="A10000" s="7">
        <v>9987.0</v>
      </c>
      <c r="B10000" s="14">
        <f t="shared" si="1"/>
        <v>0.1202056231</v>
      </c>
      <c r="C10000" s="39">
        <f t="array" ref="C10000">NPV(B10000,FCFF!$C$9:$I$9)+FCFF!$B$9+FCFF!$I$9*(1+Inputs!$B$6)/(B10000-Inputs!$B$6)/(1+B10000)^7</f>
        <v>-1825.20117</v>
      </c>
    </row>
    <row r="10001" ht="14.25" customHeight="1">
      <c r="A10001" s="7">
        <v>9988.0</v>
      </c>
      <c r="B10001" s="14">
        <f t="shared" si="1"/>
        <v>0.09573134505</v>
      </c>
      <c r="C10001" s="39">
        <f t="array" ref="C10001">NPV(B10001,FCFF!$C$9:$I$9)+FCFF!$B$9+FCFF!$I$9*(1+Inputs!$B$6)/(B10001-Inputs!$B$6)/(1+B10001)^7</f>
        <v>-1254.962367</v>
      </c>
    </row>
    <row r="10002" ht="14.25" customHeight="1">
      <c r="A10002" s="7">
        <v>9989.0</v>
      </c>
      <c r="B10002" s="14">
        <f t="shared" si="1"/>
        <v>0.1087544866</v>
      </c>
      <c r="C10002" s="39">
        <f t="array" ref="C10002">NPV(B10002,FCFF!$C$9:$I$9)+FCFF!$B$9+FCFF!$I$9*(1+Inputs!$B$6)/(B10002-Inputs!$B$6)/(1+B10002)^7</f>
        <v>-1603.654957</v>
      </c>
    </row>
    <row r="10003" ht="14.25" customHeight="1">
      <c r="A10003" s="7">
        <v>9990.0</v>
      </c>
      <c r="B10003" s="14">
        <f t="shared" si="1"/>
        <v>0.11207649</v>
      </c>
      <c r="C10003" s="39">
        <f t="array" ref="C10003">NPV(B10003,FCFF!$C$9:$I$9)+FCFF!$B$9+FCFF!$I$9*(1+Inputs!$B$6)/(B10003-Inputs!$B$6)/(1+B10003)^7</f>
        <v>-1674.563317</v>
      </c>
    </row>
    <row r="10004" ht="14.25" customHeight="1">
      <c r="A10004" s="7">
        <v>9991.0</v>
      </c>
      <c r="B10004" s="14">
        <f t="shared" si="1"/>
        <v>0.1075241589</v>
      </c>
      <c r="C10004" s="39">
        <f t="array" ref="C10004">NPV(B10004,FCFF!$C$9:$I$9)+FCFF!$B$9+FCFF!$I$9*(1+Inputs!$B$6)/(B10004-Inputs!$B$6)/(1+B10004)^7</f>
        <v>-1575.802085</v>
      </c>
    </row>
    <row r="10005" ht="14.25" customHeight="1">
      <c r="A10005" s="7">
        <v>9992.0</v>
      </c>
      <c r="B10005" s="14">
        <f t="shared" si="1"/>
        <v>0.1308946844</v>
      </c>
      <c r="C10005" s="39">
        <f t="array" ref="C10005">NPV(B10005,FCFF!$C$9:$I$9)+FCFF!$B$9+FCFF!$I$9*(1+Inputs!$B$6)/(B10005-Inputs!$B$6)/(1+B10005)^7</f>
        <v>-1984.331721</v>
      </c>
    </row>
    <row r="10006" ht="14.25" customHeight="1">
      <c r="A10006" s="7">
        <v>9993.0</v>
      </c>
      <c r="B10006" s="14">
        <f t="shared" si="1"/>
        <v>0.1243349739</v>
      </c>
      <c r="C10006" s="39">
        <f t="array" ref="C10006">NPV(B10006,FCFF!$C$9:$I$9)+FCFF!$B$9+FCFF!$I$9*(1+Inputs!$B$6)/(B10006-Inputs!$B$6)/(1+B10006)^7</f>
        <v>-1891.260788</v>
      </c>
    </row>
    <row r="10007" ht="14.25" customHeight="1">
      <c r="A10007" s="7">
        <v>9994.0</v>
      </c>
      <c r="B10007" s="14">
        <f t="shared" si="1"/>
        <v>0.1148913587</v>
      </c>
      <c r="C10007" s="39">
        <f t="array" ref="C10007">NPV(B10007,FCFF!$C$9:$I$9)+FCFF!$B$9+FCFF!$I$9*(1+Inputs!$B$6)/(B10007-Inputs!$B$6)/(1+B10007)^7</f>
        <v>-1730.146236</v>
      </c>
    </row>
    <row r="10008" ht="14.25" customHeight="1">
      <c r="A10008" s="7">
        <v>9995.0</v>
      </c>
      <c r="B10008" s="14">
        <f t="shared" si="1"/>
        <v>0.1287880847</v>
      </c>
      <c r="C10008" s="39">
        <f t="array" ref="C10008">NPV(B10008,FCFF!$C$9:$I$9)+FCFF!$B$9+FCFF!$I$9*(1+Inputs!$B$6)/(B10008-Inputs!$B$6)/(1+B10008)^7</f>
        <v>-1955.896551</v>
      </c>
    </row>
    <row r="10009" ht="14.25" customHeight="1">
      <c r="A10009" s="7">
        <v>9996.0</v>
      </c>
      <c r="B10009" s="14">
        <f t="shared" si="1"/>
        <v>0.1013608108</v>
      </c>
      <c r="C10009" s="39">
        <f t="array" ref="C10009">NPV(B10009,FCFF!$C$9:$I$9)+FCFF!$B$9+FCFF!$I$9*(1+Inputs!$B$6)/(B10009-Inputs!$B$6)/(1+B10009)^7</f>
        <v>-1421.481479</v>
      </c>
    </row>
    <row r="10010" ht="14.25" customHeight="1">
      <c r="A10010" s="7">
        <v>9997.0</v>
      </c>
      <c r="B10010" s="14">
        <f t="shared" si="1"/>
        <v>0.1114495254</v>
      </c>
      <c r="C10010" s="39">
        <f t="array" ref="C10010">NPV(B10010,FCFF!$C$9:$I$9)+FCFF!$B$9+FCFF!$I$9*(1+Inputs!$B$6)/(B10010-Inputs!$B$6)/(1+B10010)^7</f>
        <v>-1661.638733</v>
      </c>
    </row>
    <row r="10011" ht="14.25" customHeight="1">
      <c r="A10011" s="7">
        <v>9998.0</v>
      </c>
      <c r="B10011" s="14">
        <f t="shared" si="1"/>
        <v>0.1182608798</v>
      </c>
      <c r="C10011" s="39">
        <f t="array" ref="C10011">NPV(B10011,FCFF!$C$9:$I$9)+FCFF!$B$9+FCFF!$I$9*(1+Inputs!$B$6)/(B10011-Inputs!$B$6)/(1+B10011)^7</f>
        <v>-1791.813869</v>
      </c>
    </row>
    <row r="10012" ht="14.25" customHeight="1">
      <c r="A10012" s="7">
        <v>9999.0</v>
      </c>
      <c r="B10012" s="14">
        <f t="shared" si="1"/>
        <v>0.1102870821</v>
      </c>
      <c r="C10012" s="39">
        <f t="array" ref="C10012">NPV(B10012,FCFF!$C$9:$I$9)+FCFF!$B$9+FCFF!$I$9*(1+Inputs!$B$6)/(B10012-Inputs!$B$6)/(1+B10012)^7</f>
        <v>-1637.121953</v>
      </c>
    </row>
    <row r="10013" ht="14.25" customHeight="1">
      <c r="A10013" s="7">
        <v>10000.0</v>
      </c>
      <c r="B10013" s="14">
        <f t="shared" si="1"/>
        <v>0.09776516374</v>
      </c>
      <c r="C10013" s="39">
        <f t="array" ref="C10013">NPV(B10013,FCFF!$C$9:$I$9)+FCFF!$B$9+FCFF!$I$9*(1+Inputs!$B$6)/(B10013-Inputs!$B$6)/(1+B10013)^7</f>
        <v>-1318.320614</v>
      </c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6" width="8.71"/>
  </cols>
  <sheetData>
    <row r="1" ht="14.25" customHeight="1">
      <c r="A1" s="46" t="s">
        <v>161</v>
      </c>
      <c r="B1" s="46"/>
      <c r="C1" s="46"/>
      <c r="D1" s="46"/>
      <c r="E1" s="46"/>
      <c r="F1" s="46"/>
      <c r="G1" s="46"/>
      <c r="H1" s="46"/>
      <c r="I1" s="46"/>
    </row>
    <row r="2" ht="14.25" customHeight="1"/>
    <row r="3" ht="14.25" customHeight="1">
      <c r="A3" s="7" t="s">
        <v>162</v>
      </c>
      <c r="B3" s="7" t="s">
        <v>163</v>
      </c>
      <c r="C3" s="7" t="s">
        <v>132</v>
      </c>
      <c r="D3" s="7" t="s">
        <v>164</v>
      </c>
    </row>
    <row r="4" ht="14.25" customHeight="1">
      <c r="A4" s="7" t="s">
        <v>123</v>
      </c>
      <c r="B4" s="14">
        <f>Inputs!$B$33-0.01</f>
        <v>0.103</v>
      </c>
      <c r="C4" s="14">
        <f>Inputs!$B$33</f>
        <v>0.113</v>
      </c>
      <c r="D4" s="14">
        <f>Inputs!$B$33+0.01</f>
        <v>0.123</v>
      </c>
    </row>
    <row r="5" ht="14.25" customHeight="1">
      <c r="A5" s="7" t="s">
        <v>125</v>
      </c>
      <c r="B5" s="14">
        <f>Inputs!$B$6-0.005</f>
        <v>0.02</v>
      </c>
      <c r="C5" s="14">
        <f>Inputs!$B$6</f>
        <v>0.025</v>
      </c>
      <c r="D5" s="14">
        <f>Inputs!$B$6+0.005</f>
        <v>0.03</v>
      </c>
    </row>
    <row r="6" ht="14.25" customHeight="1">
      <c r="A6" s="7" t="s">
        <v>165</v>
      </c>
      <c r="B6" s="7">
        <v>0.9</v>
      </c>
      <c r="C6" s="7">
        <v>1.0</v>
      </c>
      <c r="D6" s="7">
        <v>1.1</v>
      </c>
    </row>
    <row r="7" ht="14.25" customHeight="1"/>
    <row r="8" ht="14.25" customHeight="1"/>
    <row r="9" ht="14.25" customHeight="1"/>
    <row r="10" ht="14.25" customHeight="1">
      <c r="A10" s="7" t="s">
        <v>162</v>
      </c>
      <c r="B10" s="7" t="s">
        <v>166</v>
      </c>
      <c r="C10" s="7" t="s">
        <v>167</v>
      </c>
      <c r="D10" s="7" t="s">
        <v>168</v>
      </c>
    </row>
    <row r="11" ht="14.25" customHeight="1">
      <c r="A11" s="7" t="s">
        <v>123</v>
      </c>
      <c r="B11" s="39">
        <f t="array" ref="B11">NPV($B$4,FCFF!$C$9:$I$9)+FCFF!$B$9+FCFF!$I$9*(1+Inputs!$B$6)/($B$4-Inputs!$B$6)/(1+$B$4)^7</f>
        <v>-1465.111117</v>
      </c>
      <c r="C11" s="39">
        <f t="array" ref="C11">NPV($D$4,FCFF!$C$9:$I$9)+FCFF!$B$9+FCFF!$I$9*(1+Inputs!$B$6)/($D$4-Inputs!$B$6)/(1+$D$4)^7</f>
        <v>-1870.587819</v>
      </c>
      <c r="D11" s="7">
        <f t="shared" ref="D11:D13" si="1">ABS(C11-B11)</f>
        <v>405.4767015</v>
      </c>
    </row>
    <row r="12" ht="14.25" customHeight="1">
      <c r="A12" s="7" t="s">
        <v>125</v>
      </c>
      <c r="B12" s="39">
        <f t="array" ref="B12">NPV(Inputs!$B$33,FCFF!$C$9:$I$9)+FCFF!$B$9+FCFF!$I$9*(1+$B$5)/(Inputs!$B$33-$B$5)/(1+Inputs!$B$33)^7</f>
        <v>-1758.006645</v>
      </c>
      <c r="C12" s="39">
        <f t="array" ref="C12">NPV(Inputs!$B$33,FCFF!$C$9:$I$9)+FCFF!$B$9+FCFF!$I$9*(1+$D$5)/(Inputs!$B$33-$D$5)/(1+Inputs!$B$33)^7</f>
        <v>-1620.652985</v>
      </c>
      <c r="D12" s="7">
        <f t="shared" si="1"/>
        <v>137.3536596</v>
      </c>
    </row>
    <row r="13" ht="14.25" customHeight="1">
      <c r="A13" s="7" t="s">
        <v>165</v>
      </c>
      <c r="B13" s="39">
        <f t="array" ref="B13">NPV(Inputs!$B$33,C15:I15)+B15+INDEX(B15:I15,1,8)*(1+Inputs!$B$6)/(Inputs!$B$33-Inputs!$B$6)/(1+Inputs!$B$33)^7</f>
        <v>-1523.908717</v>
      </c>
      <c r="C13" s="39">
        <f t="array" ref="C13">NPV(Inputs!$B$33,C16:I16)+B16+INDEX(B16:I16,1,8)*(1+Inputs!$B$6)/(Inputs!$B$33-Inputs!$B$6)/(1+Inputs!$B$33)^7</f>
        <v>-1862.555098</v>
      </c>
      <c r="D13" s="7">
        <f t="shared" si="1"/>
        <v>338.6463815</v>
      </c>
    </row>
    <row r="14" ht="14.25" customHeight="1"/>
    <row r="15" ht="14.25" customHeight="1">
      <c r="A15" s="7" t="s">
        <v>169</v>
      </c>
      <c r="B15" s="7">
        <f>FCFF!B9*$B$6</f>
        <v>-2250</v>
      </c>
      <c r="C15" s="7">
        <f>FCFF!C9*$B$6</f>
        <v>-251.025</v>
      </c>
      <c r="D15" s="7">
        <f>FCFF!D9*$B$6</f>
        <v>-186.9</v>
      </c>
      <c r="E15" s="7">
        <f>FCFF!E9*$B$6</f>
        <v>-87.4185</v>
      </c>
      <c r="F15" s="7">
        <f>FCFF!F9*$B$6</f>
        <v>-51.7931475</v>
      </c>
      <c r="G15" s="7">
        <f>FCFF!G9*$B$6</f>
        <v>76.497285</v>
      </c>
      <c r="H15" s="7">
        <f>FCFF!H9*$B$6</f>
        <v>134.0998275</v>
      </c>
      <c r="I15" s="7">
        <f>FCFF!I9*$B$6</f>
        <v>181.3905975</v>
      </c>
    </row>
    <row r="16" ht="14.25" customHeight="1">
      <c r="A16" s="7" t="s">
        <v>170</v>
      </c>
      <c r="B16" s="7">
        <f>FCFF!B9*$D$6</f>
        <v>-2750</v>
      </c>
      <c r="C16" s="7">
        <f>FCFF!C9*$D$6</f>
        <v>-306.8083333</v>
      </c>
      <c r="D16" s="7">
        <f>FCFF!D9*$D$6</f>
        <v>-228.4333333</v>
      </c>
      <c r="E16" s="7">
        <f>FCFF!E9*$D$6</f>
        <v>-106.8448333</v>
      </c>
      <c r="F16" s="7">
        <f>FCFF!F9*$D$6</f>
        <v>-63.30273583</v>
      </c>
      <c r="G16" s="7">
        <f>FCFF!G9*$D$6</f>
        <v>93.49668167</v>
      </c>
      <c r="H16" s="7">
        <f>FCFF!H9*$D$6</f>
        <v>163.8997892</v>
      </c>
      <c r="I16" s="7">
        <f>FCFF!I9*$D$6</f>
        <v>221.6996192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8.14"/>
    <col customWidth="1" min="3" max="3" width="17.71"/>
    <col customWidth="1" min="4" max="4" width="16.86"/>
    <col customWidth="1" min="5" max="5" width="13.71"/>
    <col customWidth="1" min="6" max="26" width="8.71"/>
  </cols>
  <sheetData>
    <row r="1" ht="14.25" customHeight="1">
      <c r="A1" s="47" t="s">
        <v>171</v>
      </c>
      <c r="B1" s="47" t="s">
        <v>172</v>
      </c>
      <c r="C1" s="47" t="s">
        <v>173</v>
      </c>
      <c r="D1" s="47" t="s">
        <v>174</v>
      </c>
      <c r="E1" s="47" t="s">
        <v>175</v>
      </c>
      <c r="F1" s="47" t="s">
        <v>176</v>
      </c>
      <c r="G1" s="47" t="s">
        <v>177</v>
      </c>
    </row>
    <row r="2" ht="14.25" customHeight="1">
      <c r="A2" s="48" t="s">
        <v>178</v>
      </c>
      <c r="B2" s="48">
        <v>5685.0</v>
      </c>
      <c r="C2" s="48">
        <v>7330.0</v>
      </c>
      <c r="D2" s="48">
        <v>7776.0</v>
      </c>
      <c r="E2" s="48">
        <v>5955.0</v>
      </c>
      <c r="F2" s="48">
        <v>5759.0</v>
      </c>
      <c r="G2" s="48">
        <v>5132.0</v>
      </c>
    </row>
    <row r="3" ht="14.25" customHeight="1">
      <c r="A3" s="48" t="s">
        <v>179</v>
      </c>
      <c r="B3" s="48">
        <v>-3354.0</v>
      </c>
      <c r="C3" s="48">
        <v>-4875.0</v>
      </c>
      <c r="D3" s="48">
        <v>-4636.0</v>
      </c>
      <c r="E3" s="48">
        <v>-6016.0</v>
      </c>
      <c r="F3" s="48">
        <v>-3629.0</v>
      </c>
      <c r="G3" s="48">
        <v>-881.0</v>
      </c>
    </row>
    <row r="4" ht="14.25" customHeight="1">
      <c r="A4" s="48" t="s">
        <v>180</v>
      </c>
      <c r="B4" s="48">
        <v>4443.0</v>
      </c>
      <c r="C4" s="48">
        <v>3452.0</v>
      </c>
      <c r="D4" s="48">
        <v>2621.0</v>
      </c>
      <c r="E4" s="48">
        <v>2607.0</v>
      </c>
      <c r="F4" s="48">
        <v>3784.0</v>
      </c>
      <c r="G4" s="48">
        <v>5575.0</v>
      </c>
    </row>
    <row r="5" ht="14.25" customHeight="1">
      <c r="A5" s="48" t="s">
        <v>181</v>
      </c>
      <c r="B5" s="48">
        <v>1242.0</v>
      </c>
      <c r="C5" s="48">
        <v>3878.0</v>
      </c>
      <c r="D5" s="48">
        <v>5155.0</v>
      </c>
      <c r="E5" s="48">
        <v>3348.0</v>
      </c>
      <c r="F5" s="48">
        <v>1975.0</v>
      </c>
      <c r="G5" s="48">
        <v>-443.0</v>
      </c>
    </row>
    <row r="6" ht="14.25" customHeight="1">
      <c r="A6" s="48" t="s">
        <v>182</v>
      </c>
      <c r="B6" s="48" t="s">
        <v>183</v>
      </c>
      <c r="C6" s="48" t="s">
        <v>183</v>
      </c>
      <c r="D6" s="48" t="s">
        <v>183</v>
      </c>
      <c r="E6" s="48" t="s">
        <v>183</v>
      </c>
      <c r="F6" s="48" t="s">
        <v>183</v>
      </c>
      <c r="G6" s="48">
        <v>1097.0</v>
      </c>
    </row>
    <row r="7" ht="14.25" customHeight="1">
      <c r="A7" s="48" t="s">
        <v>184</v>
      </c>
      <c r="B7" s="48" t="s">
        <v>183</v>
      </c>
      <c r="C7" s="48" t="s">
        <v>183</v>
      </c>
      <c r="D7" s="48" t="s">
        <v>183</v>
      </c>
      <c r="E7" s="48" t="s">
        <v>183</v>
      </c>
      <c r="F7" s="48" t="s">
        <v>183</v>
      </c>
      <c r="G7" s="48">
        <v>4035.0</v>
      </c>
    </row>
    <row r="8" ht="14.25" customHeight="1">
      <c r="A8" s="48" t="s">
        <v>185</v>
      </c>
      <c r="B8" s="48" t="s">
        <v>186</v>
      </c>
      <c r="C8" s="48" t="s">
        <v>186</v>
      </c>
      <c r="D8" s="48" t="s">
        <v>186</v>
      </c>
      <c r="E8" s="48" t="s">
        <v>186</v>
      </c>
      <c r="F8" s="48" t="s">
        <v>186</v>
      </c>
      <c r="G8" s="48" t="s">
        <v>186</v>
      </c>
    </row>
    <row r="9" ht="14.25" customHeight="1">
      <c r="A9" s="48" t="s">
        <v>187</v>
      </c>
      <c r="B9" s="48">
        <v>17.6192</v>
      </c>
      <c r="C9" s="48">
        <v>24.8331</v>
      </c>
      <c r="D9" s="48">
        <v>27.1186</v>
      </c>
      <c r="E9" s="48">
        <v>20.2207</v>
      </c>
      <c r="F9" s="48">
        <v>18.2756</v>
      </c>
      <c r="G9" s="48">
        <v>14.381</v>
      </c>
    </row>
    <row r="10" ht="14.25" customHeight="1">
      <c r="A10" s="48" t="s">
        <v>188</v>
      </c>
      <c r="B10" s="48">
        <v>1.3296</v>
      </c>
      <c r="C10" s="48">
        <v>1.1627</v>
      </c>
      <c r="D10" s="48">
        <v>4.6889</v>
      </c>
      <c r="E10" s="48">
        <v>4.3625</v>
      </c>
      <c r="F10" s="48">
        <v>6.1674</v>
      </c>
      <c r="G10" s="48">
        <v>7.6382</v>
      </c>
    </row>
    <row r="11" ht="14.25" customHeight="1">
      <c r="A11" s="48" t="s">
        <v>189</v>
      </c>
      <c r="B11" s="48">
        <v>-3.5407</v>
      </c>
      <c r="C11" s="48">
        <v>-8.5794</v>
      </c>
      <c r="D11" s="48">
        <v>1.4857</v>
      </c>
      <c r="E11" s="48">
        <v>1.9197</v>
      </c>
      <c r="F11" s="48">
        <v>3.9009</v>
      </c>
      <c r="G11" s="48">
        <v>6.1438</v>
      </c>
    </row>
    <row r="12" ht="14.25" customHeight="1"/>
    <row r="13" ht="14.25" customHeight="1"/>
    <row r="14" ht="14.25" customHeight="1">
      <c r="A14" s="49" t="s">
        <v>171</v>
      </c>
      <c r="B14" s="49" t="s">
        <v>190</v>
      </c>
      <c r="C14" s="49" t="s">
        <v>191</v>
      </c>
      <c r="D14" s="49" t="s">
        <v>192</v>
      </c>
      <c r="E14" s="49" t="s">
        <v>193</v>
      </c>
    </row>
    <row r="15" ht="14.25" customHeight="1">
      <c r="A15" s="50" t="s">
        <v>194</v>
      </c>
      <c r="B15" s="51"/>
      <c r="C15" s="51"/>
      <c r="D15" s="51"/>
      <c r="E15" s="51"/>
    </row>
    <row r="16" ht="14.25" customHeight="1">
      <c r="A16" s="51" t="s">
        <v>195</v>
      </c>
      <c r="B16" s="52">
        <v>0.144</v>
      </c>
      <c r="C16" s="53">
        <v>0.087</v>
      </c>
      <c r="D16" s="53">
        <v>0.16</v>
      </c>
      <c r="E16" s="53">
        <v>0.537</v>
      </c>
    </row>
    <row r="17" ht="14.25" customHeight="1">
      <c r="A17" s="51" t="s">
        <v>196</v>
      </c>
      <c r="B17" s="50" t="s">
        <v>197</v>
      </c>
      <c r="C17" s="53">
        <v>0.499</v>
      </c>
      <c r="D17" s="53">
        <v>1.05</v>
      </c>
      <c r="E17" s="53">
        <v>0.54</v>
      </c>
    </row>
    <row r="18" ht="14.25" customHeight="1">
      <c r="A18" s="50" t="s">
        <v>198</v>
      </c>
      <c r="B18" s="51"/>
      <c r="C18" s="51"/>
      <c r="D18" s="51"/>
      <c r="E18" s="51"/>
    </row>
    <row r="19" ht="14.25" customHeight="1">
      <c r="A19" s="51" t="s">
        <v>199</v>
      </c>
      <c r="B19" s="50" t="s">
        <v>200</v>
      </c>
      <c r="C19" s="51" t="s">
        <v>201</v>
      </c>
      <c r="D19" s="51" t="s">
        <v>202</v>
      </c>
      <c r="E19" s="51" t="s">
        <v>203</v>
      </c>
    </row>
    <row r="20" ht="14.25" customHeight="1">
      <c r="A20" s="51" t="s">
        <v>204</v>
      </c>
      <c r="B20" s="50" t="s">
        <v>205</v>
      </c>
      <c r="C20" s="51" t="s">
        <v>206</v>
      </c>
      <c r="D20" s="51" t="s">
        <v>207</v>
      </c>
      <c r="E20" s="51" t="s">
        <v>208</v>
      </c>
    </row>
    <row r="21" ht="14.25" customHeight="1">
      <c r="A21" s="50" t="s">
        <v>209</v>
      </c>
      <c r="B21" s="51"/>
      <c r="C21" s="51"/>
      <c r="D21" s="51"/>
      <c r="E21" s="51"/>
    </row>
    <row r="22" ht="14.25" customHeight="1">
      <c r="A22" s="51" t="s">
        <v>210</v>
      </c>
      <c r="B22" s="50" t="s">
        <v>211</v>
      </c>
      <c r="C22" s="51" t="s">
        <v>212</v>
      </c>
      <c r="D22" s="51" t="s">
        <v>213</v>
      </c>
      <c r="E22" s="51" t="s">
        <v>183</v>
      </c>
    </row>
    <row r="23" ht="14.25" customHeight="1">
      <c r="A23" s="50" t="s">
        <v>214</v>
      </c>
      <c r="B23" s="51"/>
      <c r="C23" s="51"/>
      <c r="D23" s="51"/>
      <c r="E23" s="51"/>
    </row>
    <row r="24" ht="14.25" customHeight="1">
      <c r="A24" s="51" t="s">
        <v>215</v>
      </c>
      <c r="B24" s="54">
        <v>0.79</v>
      </c>
      <c r="C24" s="55">
        <v>0.85</v>
      </c>
      <c r="D24" s="55">
        <v>0.82</v>
      </c>
      <c r="E24" s="55">
        <v>0.8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56" t="s">
        <v>216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43"/>
    <col customWidth="1" min="3" max="7" width="7.57"/>
    <col customWidth="1" min="8" max="8" width="7.29"/>
    <col customWidth="1" min="9" max="26" width="8.71"/>
  </cols>
  <sheetData>
    <row r="1" ht="14.25" customHeight="1"/>
    <row r="2" ht="18.0" customHeight="1">
      <c r="B2" s="56" t="s">
        <v>217</v>
      </c>
    </row>
    <row r="3" ht="14.25" customHeight="1">
      <c r="B3" s="57"/>
      <c r="C3" s="57"/>
      <c r="D3" s="57"/>
      <c r="E3" s="57"/>
      <c r="F3" s="57"/>
      <c r="G3" s="57"/>
      <c r="H3" s="57"/>
    </row>
    <row r="4" ht="15.0" customHeight="1">
      <c r="B4" s="58" t="s">
        <v>171</v>
      </c>
      <c r="C4" s="58">
        <v>2019.0</v>
      </c>
      <c r="D4" s="58">
        <v>2020.0</v>
      </c>
      <c r="E4" s="58">
        <v>2021.0</v>
      </c>
      <c r="F4" s="58">
        <v>2022.0</v>
      </c>
      <c r="G4" s="58">
        <v>2023.0</v>
      </c>
      <c r="H4" s="58">
        <v>2024.0</v>
      </c>
    </row>
    <row r="5" ht="14.25" customHeight="1">
      <c r="B5" s="59" t="s">
        <v>178</v>
      </c>
      <c r="C5" s="59">
        <v>5685.0</v>
      </c>
      <c r="D5" s="59">
        <v>7330.0</v>
      </c>
      <c r="E5" s="59">
        <v>7776.0</v>
      </c>
      <c r="F5" s="59">
        <v>5955.0</v>
      </c>
      <c r="G5" s="59">
        <v>5759.0</v>
      </c>
      <c r="H5" s="59">
        <v>5132.0</v>
      </c>
    </row>
    <row r="6" ht="14.25" customHeight="1">
      <c r="B6" s="59" t="s">
        <v>182</v>
      </c>
      <c r="C6" s="59">
        <v>775.0</v>
      </c>
      <c r="D6" s="59">
        <v>1272.0</v>
      </c>
      <c r="E6" s="59">
        <v>279.0</v>
      </c>
      <c r="F6" s="59">
        <v>358.0</v>
      </c>
      <c r="G6" s="59">
        <v>809.0</v>
      </c>
      <c r="H6" s="59">
        <v>1097.0</v>
      </c>
    </row>
    <row r="7" ht="14.25" customHeight="1">
      <c r="B7" s="59" t="s">
        <v>184</v>
      </c>
      <c r="C7" s="59">
        <v>4910.0</v>
      </c>
      <c r="D7" s="59">
        <v>6058.0</v>
      </c>
      <c r="E7" s="59">
        <v>7497.0</v>
      </c>
      <c r="F7" s="59">
        <v>5597.0</v>
      </c>
      <c r="G7" s="59">
        <v>4950.0</v>
      </c>
      <c r="H7" s="59">
        <v>4035.0</v>
      </c>
    </row>
    <row r="8" ht="14.25" customHeight="1">
      <c r="B8" s="59" t="s">
        <v>180</v>
      </c>
      <c r="C8" s="59">
        <v>4443.0</v>
      </c>
      <c r="D8" s="59">
        <v>3452.0</v>
      </c>
      <c r="E8" s="59">
        <v>2621.0</v>
      </c>
      <c r="F8" s="59">
        <v>2607.0</v>
      </c>
      <c r="G8" s="59">
        <v>3784.0</v>
      </c>
      <c r="H8" s="59">
        <v>5575.0</v>
      </c>
    </row>
    <row r="9" ht="14.25" customHeight="1">
      <c r="B9" s="59" t="s">
        <v>181</v>
      </c>
      <c r="C9" s="59">
        <v>1242.0</v>
      </c>
      <c r="D9" s="59">
        <v>3878.0</v>
      </c>
      <c r="E9" s="59">
        <v>5155.0</v>
      </c>
      <c r="F9" s="59">
        <v>3348.0</v>
      </c>
      <c r="G9" s="59">
        <v>1975.0</v>
      </c>
      <c r="H9" s="59">
        <v>-443.0</v>
      </c>
    </row>
    <row r="10" ht="14.25" customHeight="1">
      <c r="B10" s="59" t="s">
        <v>218</v>
      </c>
      <c r="C10" s="59">
        <v>-3354.0</v>
      </c>
      <c r="D10" s="59">
        <v>-4875.0</v>
      </c>
      <c r="E10" s="59">
        <v>-4636.0</v>
      </c>
      <c r="F10" s="59">
        <v>-6016.0</v>
      </c>
      <c r="G10" s="59">
        <v>-3629.0</v>
      </c>
      <c r="H10" s="59">
        <v>-881.0</v>
      </c>
    </row>
    <row r="11" ht="14.25" customHeight="1">
      <c r="B11" s="59" t="s">
        <v>219</v>
      </c>
      <c r="C11" s="59">
        <v>17.6192</v>
      </c>
      <c r="D11" s="59">
        <v>24.8331</v>
      </c>
      <c r="E11" s="59">
        <v>27.1186</v>
      </c>
      <c r="F11" s="59">
        <v>20.2207</v>
      </c>
      <c r="G11" s="59">
        <v>18.2756</v>
      </c>
      <c r="H11" s="59">
        <v>14.381</v>
      </c>
    </row>
    <row r="12" ht="14.25" customHeight="1">
      <c r="B12" s="59" t="s">
        <v>220</v>
      </c>
      <c r="C12" s="59" t="s">
        <v>221</v>
      </c>
      <c r="D12" s="59" t="s">
        <v>221</v>
      </c>
      <c r="E12" s="59" t="s">
        <v>221</v>
      </c>
      <c r="F12" s="59" t="s">
        <v>221</v>
      </c>
      <c r="G12" s="59" t="s">
        <v>221</v>
      </c>
      <c r="H12" s="59" t="s">
        <v>221</v>
      </c>
    </row>
    <row r="13" ht="14.25" customHeight="1">
      <c r="B13" s="59" t="s">
        <v>222</v>
      </c>
      <c r="C13" s="59">
        <v>359.0</v>
      </c>
      <c r="D13" s="59">
        <v>293.0</v>
      </c>
      <c r="E13" s="59">
        <v>1477.0</v>
      </c>
      <c r="F13" s="59">
        <v>1793.0</v>
      </c>
      <c r="G13" s="59">
        <v>2800.0</v>
      </c>
      <c r="H13" s="59">
        <v>3399.0</v>
      </c>
    </row>
    <row r="14" ht="14.25" customHeight="1">
      <c r="B14" s="59" t="s">
        <v>223</v>
      </c>
      <c r="C14" s="59">
        <v>3.4429</v>
      </c>
      <c r="D14" s="59">
        <v>13.2355</v>
      </c>
      <c r="E14" s="59">
        <v>3.4848</v>
      </c>
      <c r="F14" s="59">
        <v>1.8611</v>
      </c>
      <c r="G14" s="59">
        <v>0.7054</v>
      </c>
      <c r="H14" s="59">
        <v>-0.1303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2025-11-30T06:11:31Z</dcterms:created>
  <dc:creator>Aneesh Barhate</dc:creator>
</cp:coreProperties>
</file>